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son.kerr\Downloads\"/>
    </mc:Choice>
  </mc:AlternateContent>
  <xr:revisionPtr revIDLastSave="0" documentId="13_ncr:1_{5E625DAC-520C-4A76-8382-7ACD2F93703A}" xr6:coauthVersionLast="47" xr6:coauthVersionMax="47" xr10:uidLastSave="{00000000-0000-0000-0000-000000000000}"/>
  <bookViews>
    <workbookView xWindow="-120" yWindow="-120" windowWidth="29040" windowHeight="15720" tabRatio="863" firstSheet="1" activeTab="6" xr2:uid="{00000000-000D-0000-FFFF-FFFF00000000}"/>
  </bookViews>
  <sheets>
    <sheet name="Lookups" sheetId="14" state="veryHidden" r:id="rId1"/>
    <sheet name="Agenda &amp; Attendance" sheetId="5" r:id="rId2"/>
    <sheet name="AOB" sheetId="7" r:id="rId3"/>
    <sheet name="Control" sheetId="3" r:id="rId4"/>
    <sheet name="PRB Prob Summary" sheetId="18" r:id="rId5"/>
    <sheet name="PRB KE Summary" sheetId="19" r:id="rId6"/>
    <sheet name="Problem Master Data" sheetId="1" r:id="rId7"/>
    <sheet name="KE Master Data" sheetId="2" r:id="rId8"/>
    <sheet name="Recommendations" sheetId="6" state="hidden" r:id="rId9"/>
    <sheet name="CSIP Register" sheetId="21" state="hidden" r:id="rId10"/>
    <sheet name="Prob PRB Summary Data" sheetId="16" state="veryHidden" r:id="rId11"/>
    <sheet name="KE PRB Summary Data" sheetId="17" state="veryHidden" r:id="rId12"/>
  </sheets>
  <externalReferences>
    <externalReference r:id="rId13"/>
  </externalReferences>
  <definedNames>
    <definedName name="_xlnm._FilterDatabase" localSheetId="9" hidden="1">'CSIP Register'!$A$1:$O$1</definedName>
    <definedName name="_xlnm._FilterDatabase" localSheetId="7" hidden="1">'KE Master Data'!$A$1:$U$434</definedName>
    <definedName name="_xlnm._FilterDatabase" localSheetId="11" hidden="1">'KE PRB Summary Data'!$A$1:$T$434</definedName>
    <definedName name="_xlnm._FilterDatabase" localSheetId="10" hidden="1">'Prob PRB Summary Data'!$A$1:$AG$1</definedName>
    <definedName name="_xlnm._FilterDatabase" localSheetId="6" hidden="1">'Problem Master Data'!$A$1:$AG$500</definedName>
    <definedName name="_xlnm._FilterDatabase" localSheetId="8" hidden="1">Recommendations!$A$5:$H$5</definedName>
    <definedName name="_xleta.IFERROR" hidden="1" xlm="1">#NAME?</definedName>
    <definedName name="_xleta.LEFT" hidden="1" xlm="1">#NAME?</definedName>
    <definedName name="Owner">[1]Sheet2!$C$1:$C$3</definedName>
    <definedName name="_xlnm.Print_Area" localSheetId="2">AOB!$A$1:$G$17</definedName>
    <definedName name="_xlnm.Print_Area" localSheetId="8">Recommendations!$A$1:$H$28</definedName>
    <definedName name="Priority">[1]Sheet2!$A$1:$A$3</definedName>
    <definedName name="Status">[1]Sheet2!$E$1:$E$10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2" i="18" l="1"/>
  <c r="D301" i="18" s="1"/>
  <c r="D6" i="18" l="1"/>
  <c r="D713" i="19"/>
  <c r="D716" i="19" s="1"/>
  <c r="D720" i="19"/>
  <c r="D725" i="19" s="1"/>
  <c r="D727" i="19"/>
  <c r="D730" i="19" s="1"/>
  <c r="D734" i="19"/>
  <c r="D739" i="19" s="1"/>
  <c r="D741" i="19"/>
  <c r="D746" i="19" s="1"/>
  <c r="D748" i="19"/>
  <c r="D753" i="19" s="1"/>
  <c r="D755" i="19"/>
  <c r="D760" i="19" s="1"/>
  <c r="D762" i="19"/>
  <c r="D767" i="19" s="1"/>
  <c r="D769" i="19"/>
  <c r="D773" i="19" s="1"/>
  <c r="D776" i="19"/>
  <c r="D780" i="19" s="1"/>
  <c r="D783" i="19"/>
  <c r="D788" i="19" s="1"/>
  <c r="D790" i="19"/>
  <c r="D794" i="19" s="1"/>
  <c r="D797" i="19"/>
  <c r="D802" i="19" s="1"/>
  <c r="D804" i="19"/>
  <c r="D809" i="19" s="1"/>
  <c r="D811" i="19"/>
  <c r="D816" i="19" s="1"/>
  <c r="D818" i="19"/>
  <c r="D823" i="19" s="1"/>
  <c r="D825" i="19"/>
  <c r="D830" i="19" s="1"/>
  <c r="D832" i="19"/>
  <c r="D837" i="19" s="1"/>
  <c r="D839" i="19"/>
  <c r="D844" i="19" s="1"/>
  <c r="D846" i="19"/>
  <c r="D850" i="19" s="1"/>
  <c r="D853" i="19"/>
  <c r="D858" i="19" s="1"/>
  <c r="D860" i="19"/>
  <c r="D865" i="19" s="1"/>
  <c r="D867" i="19"/>
  <c r="D872" i="19" s="1"/>
  <c r="D874" i="19"/>
  <c r="D879" i="19" s="1"/>
  <c r="D881" i="19"/>
  <c r="D886" i="19" s="1"/>
  <c r="D888" i="19"/>
  <c r="D893" i="19" s="1"/>
  <c r="D895" i="19"/>
  <c r="D900" i="19" s="1"/>
  <c r="D902" i="19"/>
  <c r="D907" i="19" s="1"/>
  <c r="D909" i="19"/>
  <c r="D912" i="19" s="1"/>
  <c r="D916" i="19"/>
  <c r="D921" i="19" s="1"/>
  <c r="D923" i="19"/>
  <c r="D928" i="19" s="1"/>
  <c r="D930" i="19"/>
  <c r="D935" i="19" s="1"/>
  <c r="D937" i="19"/>
  <c r="D942" i="19" s="1"/>
  <c r="D944" i="19"/>
  <c r="D949" i="19" s="1"/>
  <c r="D951" i="19"/>
  <c r="D956" i="19" s="1"/>
  <c r="D958" i="19"/>
  <c r="D963" i="19" s="1"/>
  <c r="D965" i="19"/>
  <c r="D970" i="19" s="1"/>
  <c r="D972" i="19"/>
  <c r="D976" i="19" s="1"/>
  <c r="D979" i="19"/>
  <c r="D984" i="19" s="1"/>
  <c r="D986" i="19"/>
  <c r="D991" i="19" s="1"/>
  <c r="D993" i="19"/>
  <c r="D998" i="19" s="1"/>
  <c r="D1000" i="19"/>
  <c r="D1005" i="19" s="1"/>
  <c r="D1007" i="19"/>
  <c r="D1012" i="19" s="1"/>
  <c r="D1014" i="19"/>
  <c r="D1019" i="19" s="1"/>
  <c r="D1021" i="19"/>
  <c r="D1026" i="19" s="1"/>
  <c r="D1028" i="19"/>
  <c r="D1033" i="19" s="1"/>
  <c r="D1035" i="19"/>
  <c r="D1040" i="19" s="1"/>
  <c r="D1042" i="19"/>
  <c r="D1047" i="19" s="1"/>
  <c r="D1049" i="19"/>
  <c r="D1054" i="19" s="1"/>
  <c r="D706" i="19"/>
  <c r="D711" i="19" s="1"/>
  <c r="D9" i="18" l="1"/>
  <c r="D15" i="18"/>
  <c r="A790" i="19"/>
  <c r="A832" i="19"/>
  <c r="A881" i="19"/>
  <c r="A888" i="19"/>
  <c r="A930" i="19"/>
  <c r="A972" i="19"/>
  <c r="A979" i="19"/>
  <c r="A986" i="19"/>
  <c r="A1014" i="19"/>
  <c r="A755" i="19"/>
  <c r="A839" i="19"/>
  <c r="A916" i="19"/>
  <c r="A762" i="19"/>
  <c r="A776" i="19"/>
  <c r="A846" i="19"/>
  <c r="A874" i="19"/>
  <c r="A895" i="19"/>
  <c r="A1021" i="19"/>
  <c r="A734" i="19"/>
  <c r="A1028" i="19"/>
  <c r="A741" i="19"/>
  <c r="A1035" i="19"/>
  <c r="A748" i="19"/>
  <c r="A867" i="19"/>
  <c r="A783" i="19"/>
  <c r="A923" i="19"/>
  <c r="A860" i="19"/>
  <c r="A1000" i="19"/>
  <c r="A727" i="19"/>
  <c r="A1007" i="19"/>
  <c r="A797" i="19"/>
  <c r="A937" i="19"/>
  <c r="A804" i="19"/>
  <c r="A944" i="19"/>
  <c r="A720" i="19"/>
  <c r="A811" i="19"/>
  <c r="A951" i="19"/>
  <c r="A818" i="19"/>
  <c r="A958" i="19"/>
  <c r="A993" i="19"/>
  <c r="A825" i="19"/>
  <c r="A965" i="19"/>
  <c r="A853" i="19"/>
  <c r="A902" i="19"/>
  <c r="A1042" i="19"/>
  <c r="A769" i="19"/>
  <c r="A909" i="19"/>
  <c r="A1049" i="19"/>
  <c r="A706" i="19"/>
  <c r="A713" i="19"/>
  <c r="A6" i="18"/>
  <c r="D10" i="18"/>
  <c r="D1051" i="19"/>
  <c r="D1053" i="19"/>
  <c r="D1044" i="19"/>
  <c r="D1046" i="19"/>
  <c r="D1050" i="19"/>
  <c r="D1052" i="19"/>
  <c r="D1043" i="19"/>
  <c r="D1045" i="19"/>
  <c r="D1030" i="19"/>
  <c r="D1032" i="19"/>
  <c r="D1036" i="19"/>
  <c r="D1037" i="19"/>
  <c r="D1038" i="19"/>
  <c r="D1039" i="19"/>
  <c r="D1029" i="19"/>
  <c r="D1031" i="19"/>
  <c r="D1022" i="19"/>
  <c r="D1023" i="19"/>
  <c r="D1024" i="19"/>
  <c r="D1025" i="19"/>
  <c r="D1009" i="19"/>
  <c r="D1011" i="19"/>
  <c r="D1015" i="19"/>
  <c r="D1016" i="19"/>
  <c r="D1017" i="19"/>
  <c r="D1018" i="19"/>
  <c r="D1008" i="19"/>
  <c r="D1010" i="19"/>
  <c r="D1001" i="19"/>
  <c r="D1002" i="19"/>
  <c r="D1003" i="19"/>
  <c r="D1004" i="19"/>
  <c r="D994" i="19"/>
  <c r="D995" i="19"/>
  <c r="D996" i="19"/>
  <c r="D997" i="19"/>
  <c r="D987" i="19"/>
  <c r="D988" i="19"/>
  <c r="D989" i="19"/>
  <c r="D990" i="19"/>
  <c r="D973" i="19"/>
  <c r="D977" i="19"/>
  <c r="D980" i="19"/>
  <c r="D981" i="19"/>
  <c r="D982" i="19"/>
  <c r="D983" i="19"/>
  <c r="D974" i="19"/>
  <c r="D975" i="19"/>
  <c r="D960" i="19"/>
  <c r="D962" i="19"/>
  <c r="D966" i="19"/>
  <c r="D967" i="19"/>
  <c r="D968" i="19"/>
  <c r="D969" i="19"/>
  <c r="D953" i="19"/>
  <c r="D955" i="19"/>
  <c r="D959" i="19"/>
  <c r="D961" i="19"/>
  <c r="D952" i="19"/>
  <c r="D954" i="19"/>
  <c r="D945" i="19"/>
  <c r="D946" i="19"/>
  <c r="D947" i="19"/>
  <c r="D948" i="19"/>
  <c r="D938" i="19"/>
  <c r="D939" i="19"/>
  <c r="D940" i="19"/>
  <c r="D941" i="19"/>
  <c r="D931" i="19"/>
  <c r="D932" i="19"/>
  <c r="D933" i="19"/>
  <c r="D934" i="19"/>
  <c r="D918" i="19"/>
  <c r="D920" i="19"/>
  <c r="D924" i="19"/>
  <c r="D925" i="19"/>
  <c r="D926" i="19"/>
  <c r="D927" i="19"/>
  <c r="D911" i="19"/>
  <c r="D913" i="19"/>
  <c r="D914" i="19"/>
  <c r="D917" i="19"/>
  <c r="D919" i="19"/>
  <c r="D910" i="19"/>
  <c r="D897" i="19"/>
  <c r="D899" i="19"/>
  <c r="D903" i="19"/>
  <c r="D904" i="19"/>
  <c r="D905" i="19"/>
  <c r="D906" i="19"/>
  <c r="D896" i="19"/>
  <c r="D898" i="19"/>
  <c r="D889" i="19"/>
  <c r="D890" i="19"/>
  <c r="D891" i="19"/>
  <c r="D892" i="19"/>
  <c r="D882" i="19"/>
  <c r="D883" i="19"/>
  <c r="D884" i="19"/>
  <c r="D885" i="19"/>
  <c r="D875" i="19"/>
  <c r="D876" i="19"/>
  <c r="D877" i="19"/>
  <c r="D878" i="19"/>
  <c r="D868" i="19"/>
  <c r="D869" i="19"/>
  <c r="D870" i="19"/>
  <c r="D871" i="19"/>
  <c r="D861" i="19"/>
  <c r="D862" i="19"/>
  <c r="D863" i="19"/>
  <c r="D864" i="19"/>
  <c r="D851" i="19"/>
  <c r="D854" i="19"/>
  <c r="D855" i="19"/>
  <c r="D856" i="19"/>
  <c r="D857" i="19"/>
  <c r="D847" i="19"/>
  <c r="D848" i="19"/>
  <c r="D849" i="19"/>
  <c r="D843" i="19"/>
  <c r="D840" i="19"/>
  <c r="D842" i="19"/>
  <c r="D841" i="19"/>
  <c r="D827" i="19"/>
  <c r="D829" i="19"/>
  <c r="D833" i="19"/>
  <c r="D834" i="19"/>
  <c r="D835" i="19"/>
  <c r="D836" i="19"/>
  <c r="D826" i="19"/>
  <c r="D828" i="19"/>
  <c r="D820" i="19"/>
  <c r="D821" i="19"/>
  <c r="D819" i="19"/>
  <c r="D822" i="19"/>
  <c r="D806" i="19"/>
  <c r="D808" i="19"/>
  <c r="D812" i="19"/>
  <c r="D813" i="19"/>
  <c r="D814" i="19"/>
  <c r="D815" i="19"/>
  <c r="D805" i="19"/>
  <c r="D807" i="19"/>
  <c r="D798" i="19"/>
  <c r="D799" i="19"/>
  <c r="D800" i="19"/>
  <c r="D801" i="19"/>
  <c r="D795" i="19"/>
  <c r="D791" i="19"/>
  <c r="D792" i="19"/>
  <c r="D793" i="19"/>
  <c r="D781" i="19"/>
  <c r="D784" i="19"/>
  <c r="D785" i="19"/>
  <c r="D786" i="19"/>
  <c r="D787" i="19"/>
  <c r="D777" i="19"/>
  <c r="D778" i="19"/>
  <c r="D779" i="19"/>
  <c r="D770" i="19"/>
  <c r="D771" i="19"/>
  <c r="D774" i="19"/>
  <c r="D772" i="19"/>
  <c r="D763" i="19"/>
  <c r="D764" i="19"/>
  <c r="D765" i="19"/>
  <c r="D766" i="19"/>
  <c r="D750" i="19"/>
  <c r="D752" i="19"/>
  <c r="D745" i="19"/>
  <c r="D756" i="19"/>
  <c r="D757" i="19"/>
  <c r="D758" i="19"/>
  <c r="D759" i="19"/>
  <c r="D743" i="19"/>
  <c r="D749" i="19"/>
  <c r="D751" i="19"/>
  <c r="D738" i="19"/>
  <c r="D742" i="19"/>
  <c r="D744" i="19"/>
  <c r="D735" i="19"/>
  <c r="D736" i="19"/>
  <c r="D737" i="19"/>
  <c r="D731" i="19"/>
  <c r="D732" i="19"/>
  <c r="D715" i="19"/>
  <c r="D728" i="19"/>
  <c r="D729" i="19"/>
  <c r="D717" i="19"/>
  <c r="D718" i="19"/>
  <c r="D721" i="19"/>
  <c r="D722" i="19"/>
  <c r="D723" i="19"/>
  <c r="D724" i="19"/>
  <c r="D709" i="19"/>
  <c r="D710" i="19"/>
  <c r="D714" i="19"/>
  <c r="D707" i="19"/>
  <c r="D708" i="19"/>
  <c r="D671" i="19"/>
  <c r="A671" i="19" s="1"/>
  <c r="D678" i="19"/>
  <c r="A678" i="19" s="1"/>
  <c r="D685" i="19"/>
  <c r="A685" i="19" s="1"/>
  <c r="D692" i="19"/>
  <c r="D699" i="19"/>
  <c r="A699" i="19" s="1"/>
  <c r="D41" i="19"/>
  <c r="D48" i="19"/>
  <c r="D55" i="19"/>
  <c r="D62" i="19"/>
  <c r="D69" i="19"/>
  <c r="D76" i="19"/>
  <c r="A76" i="19" s="1"/>
  <c r="D83" i="19"/>
  <c r="D90" i="19"/>
  <c r="D97" i="19"/>
  <c r="D104" i="19"/>
  <c r="D111" i="19"/>
  <c r="D118" i="19"/>
  <c r="D125" i="19"/>
  <c r="D132" i="19"/>
  <c r="D139" i="19"/>
  <c r="A139" i="19" s="1"/>
  <c r="D146" i="19"/>
  <c r="A146" i="19" s="1"/>
  <c r="D153" i="19"/>
  <c r="A153" i="19" s="1"/>
  <c r="D160" i="19"/>
  <c r="A160" i="19" s="1"/>
  <c r="D167" i="19"/>
  <c r="A167" i="19" s="1"/>
  <c r="D174" i="19"/>
  <c r="A174" i="19" s="1"/>
  <c r="D181" i="19"/>
  <c r="A181" i="19" s="1"/>
  <c r="D188" i="19"/>
  <c r="A188" i="19" s="1"/>
  <c r="D195" i="19"/>
  <c r="A195" i="19" s="1"/>
  <c r="D202" i="19"/>
  <c r="A202" i="19" s="1"/>
  <c r="D209" i="19"/>
  <c r="A209" i="19" s="1"/>
  <c r="D216" i="19"/>
  <c r="D223" i="19"/>
  <c r="A223" i="19" s="1"/>
  <c r="D230" i="19"/>
  <c r="A230" i="19" s="1"/>
  <c r="D237" i="19"/>
  <c r="A237" i="19" s="1"/>
  <c r="D244" i="19"/>
  <c r="D251" i="19"/>
  <c r="A251" i="19" s="1"/>
  <c r="D258" i="19"/>
  <c r="A258" i="19" s="1"/>
  <c r="D265" i="19"/>
  <c r="A265" i="19" s="1"/>
  <c r="D272" i="19"/>
  <c r="A272" i="19" s="1"/>
  <c r="D279" i="19"/>
  <c r="A279" i="19" s="1"/>
  <c r="D286" i="19"/>
  <c r="A286" i="19" s="1"/>
  <c r="D293" i="19"/>
  <c r="A293" i="19" s="1"/>
  <c r="D300" i="19"/>
  <c r="A300" i="19" s="1"/>
  <c r="D307" i="19"/>
  <c r="A307" i="19" s="1"/>
  <c r="D314" i="19"/>
  <c r="A314" i="19" s="1"/>
  <c r="D321" i="19"/>
  <c r="D328" i="19"/>
  <c r="A328" i="19" s="1"/>
  <c r="D335" i="19"/>
  <c r="A335" i="19" s="1"/>
  <c r="D342" i="19"/>
  <c r="A342" i="19" s="1"/>
  <c r="D349" i="19"/>
  <c r="A349" i="19" s="1"/>
  <c r="D356" i="19"/>
  <c r="A356" i="19" s="1"/>
  <c r="D363" i="19"/>
  <c r="A363" i="19" s="1"/>
  <c r="D370" i="19"/>
  <c r="A370" i="19" s="1"/>
  <c r="D377" i="19"/>
  <c r="A377" i="19" s="1"/>
  <c r="D384" i="19"/>
  <c r="A384" i="19" s="1"/>
  <c r="D391" i="19"/>
  <c r="A391" i="19" s="1"/>
  <c r="D398" i="19"/>
  <c r="A398" i="19" s="1"/>
  <c r="D405" i="19"/>
  <c r="A405" i="19" s="1"/>
  <c r="D412" i="19"/>
  <c r="A412" i="19" s="1"/>
  <c r="D419" i="19"/>
  <c r="A419" i="19" s="1"/>
  <c r="D426" i="19"/>
  <c r="A426" i="19" s="1"/>
  <c r="D433" i="19"/>
  <c r="A433" i="19" s="1"/>
  <c r="D440" i="19"/>
  <c r="A440" i="19" s="1"/>
  <c r="D447" i="19"/>
  <c r="A447" i="19" s="1"/>
  <c r="D454" i="19"/>
  <c r="A454" i="19" s="1"/>
  <c r="D461" i="19"/>
  <c r="A461" i="19" s="1"/>
  <c r="D468" i="19"/>
  <c r="A468" i="19" s="1"/>
  <c r="D475" i="19"/>
  <c r="A475" i="19" s="1"/>
  <c r="D482" i="19"/>
  <c r="A482" i="19" s="1"/>
  <c r="D489" i="19"/>
  <c r="A489" i="19" s="1"/>
  <c r="D496" i="19"/>
  <c r="A496" i="19" s="1"/>
  <c r="D503" i="19"/>
  <c r="A503" i="19" s="1"/>
  <c r="D510" i="19"/>
  <c r="A510" i="19" s="1"/>
  <c r="D517" i="19"/>
  <c r="A517" i="19" s="1"/>
  <c r="D524" i="19"/>
  <c r="A524" i="19" s="1"/>
  <c r="D531" i="19"/>
  <c r="A531" i="19" s="1"/>
  <c r="D538" i="19"/>
  <c r="A538" i="19" s="1"/>
  <c r="D545" i="19"/>
  <c r="A545" i="19" s="1"/>
  <c r="D552" i="19"/>
  <c r="A552" i="19" s="1"/>
  <c r="D559" i="19"/>
  <c r="A559" i="19" s="1"/>
  <c r="D566" i="19"/>
  <c r="A566" i="19" s="1"/>
  <c r="D573" i="19"/>
  <c r="A573" i="19" s="1"/>
  <c r="D580" i="19"/>
  <c r="A580" i="19" s="1"/>
  <c r="D587" i="19"/>
  <c r="A587" i="19" s="1"/>
  <c r="D594" i="19"/>
  <c r="A594" i="19" s="1"/>
  <c r="D601" i="19"/>
  <c r="A601" i="19" s="1"/>
  <c r="D608" i="19"/>
  <c r="A608" i="19" s="1"/>
  <c r="D615" i="19"/>
  <c r="A615" i="19" s="1"/>
  <c r="D622" i="19"/>
  <c r="A622" i="19" s="1"/>
  <c r="D629" i="19"/>
  <c r="A629" i="19" s="1"/>
  <c r="D636" i="19"/>
  <c r="A636" i="19" s="1"/>
  <c r="D643" i="19"/>
  <c r="A643" i="19" s="1"/>
  <c r="D650" i="19"/>
  <c r="A650" i="19" s="1"/>
  <c r="D657" i="19"/>
  <c r="A657" i="19" s="1"/>
  <c r="D664" i="19"/>
  <c r="A664" i="19" s="1"/>
  <c r="D13" i="19"/>
  <c r="D20" i="19"/>
  <c r="D27" i="19"/>
  <c r="D34" i="19"/>
  <c r="D6" i="19"/>
  <c r="T501" i="2"/>
  <c r="U501" i="2"/>
  <c r="D247" i="19" l="1"/>
  <c r="A244" i="19"/>
  <c r="D109" i="19"/>
  <c r="A104" i="19"/>
  <c r="D100" i="19"/>
  <c r="A97" i="19"/>
  <c r="D93" i="19"/>
  <c r="A90" i="19"/>
  <c r="D86" i="19"/>
  <c r="A83" i="19"/>
  <c r="D219" i="19"/>
  <c r="A216" i="19"/>
  <c r="D74" i="19"/>
  <c r="A69" i="19"/>
  <c r="D66" i="19"/>
  <c r="A62" i="19"/>
  <c r="D116" i="19"/>
  <c r="A111" i="19"/>
  <c r="D60" i="19"/>
  <c r="A55" i="19"/>
  <c r="D51" i="19"/>
  <c r="A48" i="19"/>
  <c r="D16" i="19"/>
  <c r="A13" i="19"/>
  <c r="D324" i="19"/>
  <c r="A321" i="19"/>
  <c r="D45" i="19"/>
  <c r="A41" i="19"/>
  <c r="D695" i="19"/>
  <c r="A692" i="19"/>
  <c r="D134" i="19"/>
  <c r="A132" i="19"/>
  <c r="D11" i="19"/>
  <c r="A6" i="19"/>
  <c r="D39" i="19"/>
  <c r="A34" i="19"/>
  <c r="D32" i="19"/>
  <c r="A27" i="19"/>
  <c r="D130" i="19"/>
  <c r="A125" i="19"/>
  <c r="D25" i="19"/>
  <c r="A20" i="19"/>
  <c r="D123" i="19"/>
  <c r="A118" i="19"/>
  <c r="D44" i="19"/>
  <c r="D571" i="19"/>
  <c r="D569" i="19"/>
  <c r="D403" i="19"/>
  <c r="D401" i="19"/>
  <c r="D291" i="19"/>
  <c r="D289" i="19"/>
  <c r="D179" i="19"/>
  <c r="D177" i="19"/>
  <c r="D452" i="19"/>
  <c r="D450" i="19"/>
  <c r="D557" i="19"/>
  <c r="D555" i="19"/>
  <c r="D501" i="19"/>
  <c r="D499" i="19"/>
  <c r="D445" i="19"/>
  <c r="D443" i="19"/>
  <c r="D389" i="19"/>
  <c r="D387" i="19"/>
  <c r="D333" i="19"/>
  <c r="D331" i="19"/>
  <c r="D277" i="19"/>
  <c r="D275" i="19"/>
  <c r="D165" i="19"/>
  <c r="D163" i="19"/>
  <c r="D459" i="19"/>
  <c r="D457" i="19"/>
  <c r="D669" i="19"/>
  <c r="D667" i="19"/>
  <c r="D606" i="19"/>
  <c r="D604" i="19"/>
  <c r="D438" i="19"/>
  <c r="D436" i="19"/>
  <c r="D270" i="19"/>
  <c r="D268" i="19"/>
  <c r="D214" i="19"/>
  <c r="D212" i="19"/>
  <c r="D158" i="19"/>
  <c r="D156" i="19"/>
  <c r="D107" i="19"/>
  <c r="D627" i="19"/>
  <c r="D625" i="19"/>
  <c r="D508" i="19"/>
  <c r="D506" i="19"/>
  <c r="D340" i="19"/>
  <c r="D338" i="19"/>
  <c r="D228" i="19"/>
  <c r="D226" i="19"/>
  <c r="D172" i="19"/>
  <c r="D170" i="19"/>
  <c r="D662" i="19"/>
  <c r="D660" i="19"/>
  <c r="D550" i="19"/>
  <c r="D548" i="19"/>
  <c r="D494" i="19"/>
  <c r="D492" i="19"/>
  <c r="D382" i="19"/>
  <c r="D380" i="19"/>
  <c r="D655" i="19"/>
  <c r="D653" i="19"/>
  <c r="D599" i="19"/>
  <c r="D597" i="19"/>
  <c r="D543" i="19"/>
  <c r="D541" i="19"/>
  <c r="D487" i="19"/>
  <c r="D485" i="19"/>
  <c r="D431" i="19"/>
  <c r="D429" i="19"/>
  <c r="D375" i="19"/>
  <c r="D373" i="19"/>
  <c r="D319" i="19"/>
  <c r="D317" i="19"/>
  <c r="D263" i="19"/>
  <c r="D261" i="19"/>
  <c r="D207" i="19"/>
  <c r="D205" i="19"/>
  <c r="D151" i="19"/>
  <c r="D149" i="19"/>
  <c r="D704" i="19"/>
  <c r="D702" i="19"/>
  <c r="D114" i="19"/>
  <c r="D564" i="19"/>
  <c r="D562" i="19"/>
  <c r="D396" i="19"/>
  <c r="D394" i="19"/>
  <c r="D648" i="19"/>
  <c r="D646" i="19"/>
  <c r="D592" i="19"/>
  <c r="D590" i="19"/>
  <c r="D536" i="19"/>
  <c r="D534" i="19"/>
  <c r="D480" i="19"/>
  <c r="D478" i="19"/>
  <c r="D424" i="19"/>
  <c r="D422" i="19"/>
  <c r="D368" i="19"/>
  <c r="D366" i="19"/>
  <c r="D312" i="19"/>
  <c r="D310" i="19"/>
  <c r="D256" i="19"/>
  <c r="D254" i="19"/>
  <c r="D200" i="19"/>
  <c r="D198" i="19"/>
  <c r="D144" i="19"/>
  <c r="D142" i="19"/>
  <c r="D121" i="19"/>
  <c r="D515" i="19"/>
  <c r="D513" i="19"/>
  <c r="D347" i="19"/>
  <c r="D345" i="19"/>
  <c r="D235" i="19"/>
  <c r="D233" i="19"/>
  <c r="D676" i="19"/>
  <c r="D674" i="19"/>
  <c r="D613" i="19"/>
  <c r="D611" i="19"/>
  <c r="D641" i="19"/>
  <c r="D639" i="19"/>
  <c r="D585" i="19"/>
  <c r="D583" i="19"/>
  <c r="D529" i="19"/>
  <c r="D527" i="19"/>
  <c r="D473" i="19"/>
  <c r="D471" i="19"/>
  <c r="D417" i="19"/>
  <c r="D415" i="19"/>
  <c r="D361" i="19"/>
  <c r="D359" i="19"/>
  <c r="D305" i="19"/>
  <c r="D303" i="19"/>
  <c r="D193" i="19"/>
  <c r="D191" i="19"/>
  <c r="D80" i="19"/>
  <c r="D79" i="19"/>
  <c r="D690" i="19"/>
  <c r="D688" i="19"/>
  <c r="D128" i="19"/>
  <c r="D620" i="19"/>
  <c r="D618" i="19"/>
  <c r="D284" i="19"/>
  <c r="D282" i="19"/>
  <c r="D634" i="19"/>
  <c r="D632" i="19"/>
  <c r="D578" i="19"/>
  <c r="D576" i="19"/>
  <c r="D522" i="19"/>
  <c r="D520" i="19"/>
  <c r="D466" i="19"/>
  <c r="D464" i="19"/>
  <c r="D410" i="19"/>
  <c r="D408" i="19"/>
  <c r="D354" i="19"/>
  <c r="D352" i="19"/>
  <c r="D298" i="19"/>
  <c r="D296" i="19"/>
  <c r="D242" i="19"/>
  <c r="D240" i="19"/>
  <c r="D185" i="19"/>
  <c r="D184" i="19"/>
  <c r="D683" i="19"/>
  <c r="D681" i="19"/>
  <c r="D135" i="19"/>
  <c r="D37" i="19"/>
  <c r="D58" i="19"/>
  <c r="D9" i="19"/>
  <c r="D65" i="19"/>
  <c r="D72" i="19"/>
  <c r="D23" i="19"/>
  <c r="D30" i="19"/>
  <c r="D694" i="19"/>
  <c r="D696" i="19"/>
  <c r="D697" i="19"/>
  <c r="D700" i="19"/>
  <c r="D701" i="19"/>
  <c r="D703" i="19"/>
  <c r="D680" i="19"/>
  <c r="D682" i="19"/>
  <c r="D693" i="19"/>
  <c r="D675" i="19"/>
  <c r="D686" i="19"/>
  <c r="D687" i="19"/>
  <c r="D689" i="19"/>
  <c r="D673" i="19"/>
  <c r="D679" i="19"/>
  <c r="D672" i="19"/>
  <c r="D665" i="19"/>
  <c r="D666" i="19"/>
  <c r="D668" i="19"/>
  <c r="D658" i="19"/>
  <c r="D659" i="19"/>
  <c r="D661" i="19"/>
  <c r="D651" i="19"/>
  <c r="D652" i="19"/>
  <c r="D654" i="19"/>
  <c r="D644" i="19"/>
  <c r="D645" i="19"/>
  <c r="D647" i="19"/>
  <c r="D637" i="19"/>
  <c r="D638" i="19"/>
  <c r="D640" i="19"/>
  <c r="D630" i="19"/>
  <c r="D631" i="19"/>
  <c r="D633" i="19"/>
  <c r="D623" i="19"/>
  <c r="D624" i="19"/>
  <c r="D626" i="19"/>
  <c r="D616" i="19"/>
  <c r="D617" i="19"/>
  <c r="D619" i="19"/>
  <c r="D609" i="19"/>
  <c r="D610" i="19"/>
  <c r="D612" i="19"/>
  <c r="D602" i="19"/>
  <c r="D603" i="19"/>
  <c r="D605" i="19"/>
  <c r="D595" i="19"/>
  <c r="D596" i="19"/>
  <c r="D598" i="19"/>
  <c r="D582" i="19"/>
  <c r="D584" i="19"/>
  <c r="D588" i="19"/>
  <c r="D589" i="19"/>
  <c r="D591" i="19"/>
  <c r="D581" i="19"/>
  <c r="D574" i="19"/>
  <c r="D575" i="19"/>
  <c r="D577" i="19"/>
  <c r="D563" i="19"/>
  <c r="D561" i="19"/>
  <c r="D567" i="19"/>
  <c r="D568" i="19"/>
  <c r="D570" i="19"/>
  <c r="D560" i="19"/>
  <c r="D553" i="19"/>
  <c r="D554" i="19"/>
  <c r="D556" i="19"/>
  <c r="D546" i="19"/>
  <c r="D547" i="19"/>
  <c r="D549" i="19"/>
  <c r="D539" i="19"/>
  <c r="D540" i="19"/>
  <c r="D542" i="19"/>
  <c r="D532" i="19"/>
  <c r="D533" i="19"/>
  <c r="D535" i="19"/>
  <c r="D525" i="19"/>
  <c r="D526" i="19"/>
  <c r="D528" i="19"/>
  <c r="D518" i="19"/>
  <c r="D519" i="19"/>
  <c r="D521" i="19"/>
  <c r="D511" i="19"/>
  <c r="D512" i="19"/>
  <c r="D514" i="19"/>
  <c r="D504" i="19"/>
  <c r="D505" i="19"/>
  <c r="D507" i="19"/>
  <c r="D497" i="19"/>
  <c r="D498" i="19"/>
  <c r="D500" i="19"/>
  <c r="D490" i="19"/>
  <c r="D491" i="19"/>
  <c r="D493" i="19"/>
  <c r="D483" i="19"/>
  <c r="D484" i="19"/>
  <c r="D486" i="19"/>
  <c r="D476" i="19"/>
  <c r="D477" i="19"/>
  <c r="D479" i="19"/>
  <c r="D469" i="19"/>
  <c r="D470" i="19"/>
  <c r="D472" i="19"/>
  <c r="D462" i="19"/>
  <c r="D463" i="19"/>
  <c r="D465" i="19"/>
  <c r="D455" i="19"/>
  <c r="D456" i="19"/>
  <c r="D458" i="19"/>
  <c r="D448" i="19"/>
  <c r="D449" i="19"/>
  <c r="D451" i="19"/>
  <c r="D441" i="19"/>
  <c r="D442" i="19"/>
  <c r="D444" i="19"/>
  <c r="D434" i="19"/>
  <c r="D435" i="19"/>
  <c r="D437" i="19"/>
  <c r="D427" i="19"/>
  <c r="D428" i="19"/>
  <c r="D430" i="19"/>
  <c r="D400" i="19"/>
  <c r="D420" i="19"/>
  <c r="D421" i="19"/>
  <c r="D423" i="19"/>
  <c r="D402" i="19"/>
  <c r="D413" i="19"/>
  <c r="D414" i="19"/>
  <c r="D416" i="19"/>
  <c r="D406" i="19"/>
  <c r="D407" i="19"/>
  <c r="D409" i="19"/>
  <c r="D399" i="19"/>
  <c r="D392" i="19"/>
  <c r="D393" i="19"/>
  <c r="D395" i="19"/>
  <c r="D385" i="19"/>
  <c r="D386" i="19"/>
  <c r="D388" i="19"/>
  <c r="D378" i="19"/>
  <c r="D379" i="19"/>
  <c r="D381" i="19"/>
  <c r="D371" i="19"/>
  <c r="D372" i="19"/>
  <c r="D374" i="19"/>
  <c r="D364" i="19"/>
  <c r="D365" i="19"/>
  <c r="D367" i="19"/>
  <c r="D357" i="19"/>
  <c r="D358" i="19"/>
  <c r="D360" i="19"/>
  <c r="D350" i="19"/>
  <c r="D351" i="19"/>
  <c r="D353" i="19"/>
  <c r="D325" i="19"/>
  <c r="D343" i="19"/>
  <c r="D344" i="19"/>
  <c r="D346" i="19"/>
  <c r="D332" i="19"/>
  <c r="D336" i="19"/>
  <c r="D337" i="19"/>
  <c r="D339" i="19"/>
  <c r="D326" i="19"/>
  <c r="D329" i="19"/>
  <c r="D330" i="19"/>
  <c r="D322" i="19"/>
  <c r="D323" i="19"/>
  <c r="D315" i="19"/>
  <c r="D316" i="19"/>
  <c r="D318" i="19"/>
  <c r="D288" i="19"/>
  <c r="D308" i="19"/>
  <c r="D309" i="19"/>
  <c r="D311" i="19"/>
  <c r="D290" i="19"/>
  <c r="D301" i="19"/>
  <c r="D302" i="19"/>
  <c r="D304" i="19"/>
  <c r="D294" i="19"/>
  <c r="D295" i="19"/>
  <c r="D297" i="19"/>
  <c r="D283" i="19"/>
  <c r="D281" i="19"/>
  <c r="D287" i="19"/>
  <c r="D280" i="19"/>
  <c r="D273" i="19"/>
  <c r="D274" i="19"/>
  <c r="D276" i="19"/>
  <c r="D248" i="19"/>
  <c r="D266" i="19"/>
  <c r="D267" i="19"/>
  <c r="D269" i="19"/>
  <c r="D259" i="19"/>
  <c r="D260" i="19"/>
  <c r="D262" i="19"/>
  <c r="D246" i="19"/>
  <c r="D249" i="19"/>
  <c r="D252" i="19"/>
  <c r="D253" i="19"/>
  <c r="D255" i="19"/>
  <c r="D245" i="19"/>
  <c r="D238" i="19"/>
  <c r="D239" i="19"/>
  <c r="D241" i="19"/>
  <c r="D220" i="19"/>
  <c r="D231" i="19"/>
  <c r="D232" i="19"/>
  <c r="D234" i="19"/>
  <c r="D221" i="19"/>
  <c r="D224" i="19"/>
  <c r="D225" i="19"/>
  <c r="D227" i="19"/>
  <c r="D204" i="19"/>
  <c r="D217" i="19"/>
  <c r="D218" i="19"/>
  <c r="D206" i="19"/>
  <c r="D210" i="19"/>
  <c r="D211" i="19"/>
  <c r="D213" i="19"/>
  <c r="D162" i="19"/>
  <c r="D203" i="19"/>
  <c r="D196" i="19"/>
  <c r="D197" i="19"/>
  <c r="D199" i="19"/>
  <c r="D186" i="19"/>
  <c r="D189" i="19"/>
  <c r="D190" i="19"/>
  <c r="D192" i="19"/>
  <c r="D182" i="19"/>
  <c r="D183" i="19"/>
  <c r="D175" i="19"/>
  <c r="D176" i="19"/>
  <c r="D178" i="19"/>
  <c r="D164" i="19"/>
  <c r="D168" i="19"/>
  <c r="D169" i="19"/>
  <c r="D171" i="19"/>
  <c r="D157" i="19"/>
  <c r="D161" i="19"/>
  <c r="D136" i="19"/>
  <c r="D154" i="19"/>
  <c r="D155" i="19"/>
  <c r="D137" i="19"/>
  <c r="D147" i="19"/>
  <c r="D148" i="19"/>
  <c r="D150" i="19"/>
  <c r="D140" i="19"/>
  <c r="D141" i="19"/>
  <c r="D143" i="19"/>
  <c r="D133" i="19"/>
  <c r="D126" i="19"/>
  <c r="D127" i="19"/>
  <c r="D129" i="19"/>
  <c r="D94" i="19"/>
  <c r="D119" i="19"/>
  <c r="D120" i="19"/>
  <c r="D122" i="19"/>
  <c r="D95" i="19"/>
  <c r="D112" i="19"/>
  <c r="D113" i="19"/>
  <c r="D115" i="19"/>
  <c r="D101" i="19"/>
  <c r="D105" i="19"/>
  <c r="D106" i="19"/>
  <c r="D108" i="19"/>
  <c r="D102" i="19"/>
  <c r="D92" i="19"/>
  <c r="D98" i="19"/>
  <c r="D99" i="19"/>
  <c r="D85" i="19"/>
  <c r="D87" i="19"/>
  <c r="D88" i="19"/>
  <c r="D91" i="19"/>
  <c r="D78" i="19"/>
  <c r="D81" i="19"/>
  <c r="D84" i="19"/>
  <c r="D71" i="19"/>
  <c r="D73" i="19"/>
  <c r="D77" i="19"/>
  <c r="D57" i="19"/>
  <c r="D64" i="19"/>
  <c r="D67" i="19"/>
  <c r="D70" i="19"/>
  <c r="D50" i="19"/>
  <c r="D52" i="19"/>
  <c r="D59" i="19"/>
  <c r="D63" i="19"/>
  <c r="D46" i="19"/>
  <c r="D56" i="19"/>
  <c r="D43" i="19"/>
  <c r="D53" i="19"/>
  <c r="D49" i="19"/>
  <c r="D42" i="19"/>
  <c r="D35" i="19"/>
  <c r="D36" i="19"/>
  <c r="D38" i="19"/>
  <c r="D28" i="19"/>
  <c r="D29" i="19"/>
  <c r="D31" i="19"/>
  <c r="D15" i="19"/>
  <c r="D17" i="19"/>
  <c r="D18" i="19"/>
  <c r="D21" i="19"/>
  <c r="D22" i="19"/>
  <c r="D24" i="19"/>
  <c r="D14" i="19"/>
  <c r="D8" i="19"/>
  <c r="D10" i="19"/>
  <c r="D7" i="19"/>
  <c r="D424" i="18" l="1"/>
  <c r="A424" i="18" s="1"/>
  <c r="A3" i="6"/>
  <c r="A2" i="6"/>
  <c r="A3" i="7"/>
  <c r="A2" i="7"/>
  <c r="D433" i="18" l="1"/>
  <c r="D425" i="18"/>
  <c r="D428" i="18"/>
  <c r="D429" i="18"/>
  <c r="D432" i="18"/>
  <c r="AD501" i="1"/>
  <c r="AE501" i="1"/>
  <c r="AF501" i="1"/>
  <c r="AG501" i="1"/>
  <c r="D39" i="18" l="1"/>
  <c r="D50" i="18"/>
  <c r="D61" i="18"/>
  <c r="D72" i="18"/>
  <c r="D83" i="18"/>
  <c r="D94" i="18"/>
  <c r="D103" i="18" s="1"/>
  <c r="D105" i="18"/>
  <c r="D28" i="18"/>
  <c r="D1040" i="18"/>
  <c r="A1040" i="18" s="1"/>
  <c r="D1051" i="18"/>
  <c r="A1051" i="18" s="1"/>
  <c r="D1062" i="18"/>
  <c r="A1062" i="18" s="1"/>
  <c r="D1073" i="18"/>
  <c r="A1073" i="18" s="1"/>
  <c r="D1084" i="18"/>
  <c r="A1084" i="18" s="1"/>
  <c r="D1095" i="18"/>
  <c r="A1095" i="18" s="1"/>
  <c r="D1018" i="18"/>
  <c r="A1018" i="18" s="1"/>
  <c r="D1029" i="18"/>
  <c r="A1029" i="18" s="1"/>
  <c r="D17" i="18"/>
  <c r="D116" i="18"/>
  <c r="D127" i="18"/>
  <c r="D136" i="18" s="1"/>
  <c r="D138" i="18"/>
  <c r="D149" i="18"/>
  <c r="D160" i="18"/>
  <c r="D171" i="18"/>
  <c r="D182" i="18"/>
  <c r="D193" i="18"/>
  <c r="D204" i="18"/>
  <c r="D215" i="18"/>
  <c r="D226" i="18"/>
  <c r="D237" i="18"/>
  <c r="D248" i="18"/>
  <c r="D259" i="18"/>
  <c r="D270" i="18"/>
  <c r="D281" i="18"/>
  <c r="A292" i="18"/>
  <c r="D303" i="18"/>
  <c r="D314" i="18"/>
  <c r="D325" i="18"/>
  <c r="D336" i="18"/>
  <c r="D347" i="18"/>
  <c r="D358" i="18"/>
  <c r="D369" i="18"/>
  <c r="D380" i="18"/>
  <c r="D391" i="18"/>
  <c r="D402" i="18"/>
  <c r="D413" i="18"/>
  <c r="D435" i="18"/>
  <c r="A435" i="18" s="1"/>
  <c r="D446" i="18"/>
  <c r="A446" i="18" s="1"/>
  <c r="D457" i="18"/>
  <c r="A457" i="18" s="1"/>
  <c r="D468" i="18"/>
  <c r="A468" i="18" s="1"/>
  <c r="D479" i="18"/>
  <c r="A479" i="18" s="1"/>
  <c r="D490" i="18"/>
  <c r="A490" i="18" s="1"/>
  <c r="D501" i="18"/>
  <c r="A501" i="18" s="1"/>
  <c r="D512" i="18"/>
  <c r="A512" i="18" s="1"/>
  <c r="D523" i="18"/>
  <c r="A523" i="18" s="1"/>
  <c r="D534" i="18"/>
  <c r="A534" i="18" s="1"/>
  <c r="D545" i="18"/>
  <c r="A545" i="18" s="1"/>
  <c r="D556" i="18"/>
  <c r="A556" i="18" s="1"/>
  <c r="D567" i="18"/>
  <c r="A567" i="18" s="1"/>
  <c r="D578" i="18"/>
  <c r="A578" i="18" s="1"/>
  <c r="D589" i="18"/>
  <c r="A589" i="18" s="1"/>
  <c r="D600" i="18"/>
  <c r="A600" i="18" s="1"/>
  <c r="D611" i="18"/>
  <c r="A611" i="18" s="1"/>
  <c r="D622" i="18"/>
  <c r="A622" i="18" s="1"/>
  <c r="D633" i="18"/>
  <c r="A633" i="18" s="1"/>
  <c r="D644" i="18"/>
  <c r="A644" i="18" s="1"/>
  <c r="D655" i="18"/>
  <c r="A655" i="18" s="1"/>
  <c r="D666" i="18"/>
  <c r="A666" i="18" s="1"/>
  <c r="D677" i="18"/>
  <c r="A677" i="18" s="1"/>
  <c r="D688" i="18"/>
  <c r="A688" i="18" s="1"/>
  <c r="D699" i="18"/>
  <c r="A699" i="18" s="1"/>
  <c r="D710" i="18"/>
  <c r="A710" i="18" s="1"/>
  <c r="D721" i="18"/>
  <c r="A721" i="18" s="1"/>
  <c r="D732" i="18"/>
  <c r="A732" i="18" s="1"/>
  <c r="D743" i="18"/>
  <c r="A743" i="18" s="1"/>
  <c r="D754" i="18"/>
  <c r="A754" i="18" s="1"/>
  <c r="D765" i="18"/>
  <c r="A765" i="18" s="1"/>
  <c r="D776" i="18"/>
  <c r="A776" i="18" s="1"/>
  <c r="D787" i="18"/>
  <c r="A787" i="18" s="1"/>
  <c r="D798" i="18"/>
  <c r="A798" i="18" s="1"/>
  <c r="D809" i="18"/>
  <c r="A809" i="18" s="1"/>
  <c r="D820" i="18"/>
  <c r="A820" i="18" s="1"/>
  <c r="D831" i="18"/>
  <c r="A831" i="18" s="1"/>
  <c r="D842" i="18"/>
  <c r="A842" i="18" s="1"/>
  <c r="D853" i="18"/>
  <c r="A853" i="18" s="1"/>
  <c r="D864" i="18"/>
  <c r="A864" i="18" s="1"/>
  <c r="D875" i="18"/>
  <c r="A875" i="18" s="1"/>
  <c r="D886" i="18"/>
  <c r="A886" i="18" s="1"/>
  <c r="D897" i="18"/>
  <c r="A897" i="18" s="1"/>
  <c r="D908" i="18"/>
  <c r="A908" i="18" s="1"/>
  <c r="D919" i="18"/>
  <c r="A919" i="18" s="1"/>
  <c r="D930" i="18"/>
  <c r="A930" i="18" s="1"/>
  <c r="D941" i="18"/>
  <c r="A941" i="18" s="1"/>
  <c r="D952" i="18"/>
  <c r="A952" i="18" s="1"/>
  <c r="D963" i="18"/>
  <c r="A963" i="18" s="1"/>
  <c r="D974" i="18"/>
  <c r="A974" i="18" s="1"/>
  <c r="D985" i="18"/>
  <c r="A985" i="18" s="1"/>
  <c r="D996" i="18"/>
  <c r="A996" i="18" s="1"/>
  <c r="D1007" i="18"/>
  <c r="A1007" i="18" s="1"/>
  <c r="D7" i="18"/>
  <c r="D774" i="18" l="1"/>
  <c r="D807" i="18"/>
  <c r="D730" i="18"/>
  <c r="D708" i="18"/>
  <c r="D697" i="18"/>
  <c r="D818" i="18"/>
  <c r="D543" i="18"/>
  <c r="D532" i="18"/>
  <c r="D950" i="18"/>
  <c r="D576" i="18"/>
  <c r="D565" i="18"/>
  <c r="D796" i="18"/>
  <c r="D785" i="18"/>
  <c r="D763" i="18"/>
  <c r="D917" i="18"/>
  <c r="D466" i="18"/>
  <c r="D675" i="18"/>
  <c r="D664" i="18"/>
  <c r="D873" i="18"/>
  <c r="D862" i="18"/>
  <c r="D631" i="18"/>
  <c r="D598" i="18"/>
  <c r="D961" i="18"/>
  <c r="D521" i="18"/>
  <c r="D510" i="18"/>
  <c r="D719" i="18"/>
  <c r="D477" i="18"/>
  <c r="D906" i="18"/>
  <c r="D455" i="18"/>
  <c r="D884" i="18"/>
  <c r="D642" i="18"/>
  <c r="D851" i="18"/>
  <c r="D840" i="18"/>
  <c r="D587" i="18"/>
  <c r="D554" i="18"/>
  <c r="D752" i="18"/>
  <c r="D741" i="18"/>
  <c r="D939" i="18"/>
  <c r="D499" i="18"/>
  <c r="D928" i="18"/>
  <c r="D488" i="18"/>
  <c r="D686" i="18"/>
  <c r="D895" i="18"/>
  <c r="D653" i="18"/>
  <c r="D620" i="18"/>
  <c r="D829" i="18"/>
  <c r="D609" i="18"/>
  <c r="A314" i="18"/>
  <c r="D323" i="18"/>
  <c r="A358" i="18"/>
  <c r="D367" i="18"/>
  <c r="A116" i="18"/>
  <c r="D125" i="18"/>
  <c r="A270" i="18"/>
  <c r="D279" i="18"/>
  <c r="A28" i="18"/>
  <c r="D37" i="18"/>
  <c r="A72" i="18"/>
  <c r="D81" i="18"/>
  <c r="A138" i="18"/>
  <c r="D147" i="18"/>
  <c r="A336" i="18"/>
  <c r="D345" i="18"/>
  <c r="A303" i="18"/>
  <c r="D312" i="18"/>
  <c r="A281" i="18"/>
  <c r="D290" i="18"/>
  <c r="A248" i="18"/>
  <c r="D257" i="18"/>
  <c r="A226" i="18"/>
  <c r="D235" i="18"/>
  <c r="A204" i="18"/>
  <c r="D213" i="18"/>
  <c r="A61" i="18"/>
  <c r="D70" i="18"/>
  <c r="A17" i="18"/>
  <c r="D26" i="18"/>
  <c r="A237" i="18"/>
  <c r="D246" i="18"/>
  <c r="A105" i="18"/>
  <c r="D114" i="18"/>
  <c r="A83" i="18"/>
  <c r="D92" i="18"/>
  <c r="A402" i="18"/>
  <c r="D411" i="18"/>
  <c r="A391" i="18"/>
  <c r="D400" i="18"/>
  <c r="A160" i="18"/>
  <c r="D169" i="18"/>
  <c r="A50" i="18"/>
  <c r="D59" i="18"/>
  <c r="A347" i="18"/>
  <c r="D356" i="18"/>
  <c r="A325" i="18"/>
  <c r="D334" i="18"/>
  <c r="A259" i="18"/>
  <c r="D268" i="18"/>
  <c r="A215" i="18"/>
  <c r="D224" i="18"/>
  <c r="D444" i="18"/>
  <c r="A413" i="18"/>
  <c r="D422" i="18"/>
  <c r="A193" i="18"/>
  <c r="D202" i="18"/>
  <c r="A182" i="18"/>
  <c r="D191" i="18"/>
  <c r="A171" i="18"/>
  <c r="D180" i="18"/>
  <c r="A380" i="18"/>
  <c r="D389" i="18"/>
  <c r="A369" i="18"/>
  <c r="D378" i="18"/>
  <c r="A149" i="18"/>
  <c r="D158" i="18"/>
  <c r="A39" i="18"/>
  <c r="D48" i="18"/>
  <c r="A94" i="18"/>
  <c r="D102" i="18"/>
  <c r="A127" i="18"/>
  <c r="D135" i="18"/>
  <c r="D1034" i="18"/>
  <c r="D21" i="18"/>
  <c r="D1096" i="18"/>
  <c r="D1099" i="18"/>
  <c r="D1085" i="18"/>
  <c r="D1088" i="18"/>
  <c r="D1074" i="18"/>
  <c r="D1077" i="18"/>
  <c r="D1063" i="18"/>
  <c r="D1066" i="18"/>
  <c r="D1052" i="18"/>
  <c r="D1055" i="18"/>
  <c r="D1041" i="18"/>
  <c r="D1044" i="18"/>
  <c r="D1030" i="18"/>
  <c r="D1033" i="18"/>
  <c r="D1019" i="18"/>
  <c r="D1022" i="18"/>
  <c r="D1008" i="18"/>
  <c r="D1011" i="18"/>
  <c r="D997" i="18"/>
  <c r="D1000" i="18"/>
  <c r="D986" i="18"/>
  <c r="D989" i="18"/>
  <c r="D975" i="18"/>
  <c r="D978" i="18"/>
  <c r="D964" i="18"/>
  <c r="D967" i="18"/>
  <c r="D953" i="18"/>
  <c r="D956" i="18"/>
  <c r="D942" i="18"/>
  <c r="D945" i="18"/>
  <c r="D931" i="18"/>
  <c r="D934" i="18"/>
  <c r="D920" i="18"/>
  <c r="D923" i="18"/>
  <c r="D909" i="18"/>
  <c r="D912" i="18"/>
  <c r="D898" i="18"/>
  <c r="D901" i="18"/>
  <c r="D887" i="18"/>
  <c r="D890" i="18"/>
  <c r="D876" i="18"/>
  <c r="D879" i="18"/>
  <c r="D865" i="18"/>
  <c r="D868" i="18"/>
  <c r="D854" i="18"/>
  <c r="D857" i="18"/>
  <c r="D843" i="18"/>
  <c r="D846" i="18"/>
  <c r="D832" i="18"/>
  <c r="D835" i="18"/>
  <c r="D821" i="18"/>
  <c r="D824" i="18"/>
  <c r="D810" i="18"/>
  <c r="D813" i="18"/>
  <c r="D799" i="18"/>
  <c r="D802" i="18"/>
  <c r="D788" i="18"/>
  <c r="D791" i="18"/>
  <c r="D777" i="18"/>
  <c r="D780" i="18"/>
  <c r="D766" i="18"/>
  <c r="D769" i="18"/>
  <c r="D755" i="18"/>
  <c r="D758" i="18"/>
  <c r="D744" i="18"/>
  <c r="D747" i="18"/>
  <c r="D733" i="18"/>
  <c r="D736" i="18"/>
  <c r="D722" i="18"/>
  <c r="D725" i="18"/>
  <c r="D711" i="18"/>
  <c r="D714" i="18"/>
  <c r="D700" i="18"/>
  <c r="D703" i="18"/>
  <c r="D689" i="18"/>
  <c r="D692" i="18"/>
  <c r="D678" i="18"/>
  <c r="D681" i="18"/>
  <c r="D667" i="18"/>
  <c r="D670" i="18"/>
  <c r="D656" i="18"/>
  <c r="D659" i="18"/>
  <c r="D645" i="18"/>
  <c r="D648" i="18"/>
  <c r="D634" i="18"/>
  <c r="D637" i="18"/>
  <c r="D623" i="18"/>
  <c r="D626" i="18"/>
  <c r="D612" i="18"/>
  <c r="D615" i="18"/>
  <c r="D601" i="18"/>
  <c r="D604" i="18"/>
  <c r="D590" i="18"/>
  <c r="D593" i="18"/>
  <c r="D579" i="18"/>
  <c r="D582" i="18"/>
  <c r="D568" i="18"/>
  <c r="D571" i="18"/>
  <c r="D557" i="18"/>
  <c r="D560" i="18"/>
  <c r="D546" i="18"/>
  <c r="D549" i="18"/>
  <c r="D535" i="18"/>
  <c r="D538" i="18"/>
  <c r="D524" i="18"/>
  <c r="D527" i="18"/>
  <c r="D513" i="18"/>
  <c r="D516" i="18"/>
  <c r="D502" i="18"/>
  <c r="D505" i="18"/>
  <c r="D491" i="18"/>
  <c r="D494" i="18"/>
  <c r="D480" i="18"/>
  <c r="D483" i="18"/>
  <c r="D469" i="18"/>
  <c r="D472" i="18"/>
  <c r="D458" i="18"/>
  <c r="D461" i="18"/>
  <c r="D447" i="18"/>
  <c r="D450" i="18"/>
  <c r="D436" i="18"/>
  <c r="D439" i="18"/>
  <c r="D414" i="18"/>
  <c r="D417" i="18"/>
  <c r="D403" i="18"/>
  <c r="D406" i="18"/>
  <c r="D392" i="18"/>
  <c r="D395" i="18"/>
  <c r="D381" i="18"/>
  <c r="D384" i="18"/>
  <c r="D370" i="18"/>
  <c r="D373" i="18"/>
  <c r="D359" i="18"/>
  <c r="D362" i="18"/>
  <c r="D348" i="18"/>
  <c r="D351" i="18"/>
  <c r="D337" i="18"/>
  <c r="D340" i="18"/>
  <c r="D326" i="18"/>
  <c r="D329" i="18"/>
  <c r="D315" i="18"/>
  <c r="D318" i="18"/>
  <c r="D304" i="18"/>
  <c r="D307" i="18"/>
  <c r="D293" i="18"/>
  <c r="D296" i="18"/>
  <c r="D282" i="18"/>
  <c r="D285" i="18"/>
  <c r="D271" i="18"/>
  <c r="D274" i="18"/>
  <c r="D260" i="18"/>
  <c r="D263" i="18"/>
  <c r="D249" i="18"/>
  <c r="D252" i="18"/>
  <c r="D238" i="18"/>
  <c r="D241" i="18"/>
  <c r="D227" i="18"/>
  <c r="D230" i="18"/>
  <c r="D216" i="18"/>
  <c r="D219" i="18"/>
  <c r="D205" i="18"/>
  <c r="D208" i="18"/>
  <c r="D194" i="18"/>
  <c r="D197" i="18"/>
  <c r="D183" i="18"/>
  <c r="D186" i="18"/>
  <c r="D172" i="18"/>
  <c r="D175" i="18"/>
  <c r="D161" i="18"/>
  <c r="D164" i="18"/>
  <c r="D150" i="18"/>
  <c r="D153" i="18"/>
  <c r="D139" i="18"/>
  <c r="D142" i="18"/>
  <c r="D128" i="18"/>
  <c r="D131" i="18"/>
  <c r="D117" i="18"/>
  <c r="D120" i="18"/>
  <c r="D106" i="18"/>
  <c r="D109" i="18"/>
  <c r="D95" i="18"/>
  <c r="D98" i="18"/>
  <c r="D84" i="18"/>
  <c r="D87" i="18"/>
  <c r="D73" i="18"/>
  <c r="D76" i="18"/>
  <c r="D62" i="18"/>
  <c r="D65" i="18"/>
  <c r="D51" i="18"/>
  <c r="D54" i="18"/>
  <c r="D40" i="18"/>
  <c r="D43" i="18"/>
  <c r="D29" i="18"/>
  <c r="D32" i="18"/>
  <c r="D18" i="18"/>
  <c r="D916" i="18"/>
  <c r="D913" i="18"/>
  <c r="D376" i="18"/>
  <c r="D377" i="18"/>
  <c r="D374" i="18"/>
  <c r="D201" i="18"/>
  <c r="D198" i="18"/>
  <c r="D1048" i="18"/>
  <c r="D1045" i="18"/>
  <c r="D1049" i="18"/>
  <c r="D994" i="18"/>
  <c r="D993" i="18"/>
  <c r="D990" i="18"/>
  <c r="D817" i="18"/>
  <c r="D814" i="18"/>
  <c r="D729" i="18"/>
  <c r="D726" i="18"/>
  <c r="D553" i="18"/>
  <c r="D550" i="18"/>
  <c r="D465" i="18"/>
  <c r="D462" i="18"/>
  <c r="D366" i="18"/>
  <c r="D363" i="18"/>
  <c r="D277" i="18"/>
  <c r="D278" i="18"/>
  <c r="D275" i="18"/>
  <c r="D190" i="18"/>
  <c r="D187" i="18"/>
  <c r="D1038" i="18"/>
  <c r="D1037" i="18"/>
  <c r="D36" i="18"/>
  <c r="D33" i="18"/>
  <c r="D740" i="18"/>
  <c r="D737" i="18"/>
  <c r="D289" i="18"/>
  <c r="D286" i="18"/>
  <c r="D25" i="18"/>
  <c r="D22" i="18"/>
  <c r="D46" i="18"/>
  <c r="D47" i="18"/>
  <c r="D44" i="18"/>
  <c r="D905" i="18"/>
  <c r="D902" i="18"/>
  <c r="D641" i="18"/>
  <c r="D638" i="18"/>
  <c r="D983" i="18"/>
  <c r="D982" i="18"/>
  <c r="D979" i="18"/>
  <c r="D894" i="18"/>
  <c r="D891" i="18"/>
  <c r="D806" i="18"/>
  <c r="D803" i="18"/>
  <c r="D718" i="18"/>
  <c r="D715" i="18"/>
  <c r="D630" i="18"/>
  <c r="D627" i="18"/>
  <c r="D542" i="18"/>
  <c r="D539" i="18"/>
  <c r="D454" i="18"/>
  <c r="D451" i="18"/>
  <c r="D352" i="18"/>
  <c r="D355" i="18"/>
  <c r="D264" i="18"/>
  <c r="D267" i="18"/>
  <c r="D179" i="18"/>
  <c r="D176" i="18"/>
  <c r="D1027" i="18"/>
  <c r="D1026" i="18"/>
  <c r="D1023" i="18"/>
  <c r="D113" i="18"/>
  <c r="D110" i="18"/>
  <c r="D564" i="18"/>
  <c r="D561" i="18"/>
  <c r="D795" i="18"/>
  <c r="D792" i="18"/>
  <c r="D341" i="18"/>
  <c r="D344" i="18"/>
  <c r="D99" i="18"/>
  <c r="D957" i="18"/>
  <c r="D960" i="18"/>
  <c r="D869" i="18"/>
  <c r="D872" i="18"/>
  <c r="D781" i="18"/>
  <c r="D784" i="18"/>
  <c r="D693" i="18"/>
  <c r="D696" i="18"/>
  <c r="D605" i="18"/>
  <c r="D608" i="18"/>
  <c r="D517" i="18"/>
  <c r="D520" i="18"/>
  <c r="D421" i="18"/>
  <c r="D418" i="18"/>
  <c r="D333" i="18"/>
  <c r="D330" i="18"/>
  <c r="D245" i="18"/>
  <c r="D242" i="18"/>
  <c r="D157" i="18"/>
  <c r="D154" i="18"/>
  <c r="D1093" i="18"/>
  <c r="D1092" i="18"/>
  <c r="D1089" i="18"/>
  <c r="D90" i="18"/>
  <c r="D91" i="18"/>
  <c r="D88" i="18"/>
  <c r="D476" i="18"/>
  <c r="D473" i="18"/>
  <c r="D619" i="18"/>
  <c r="D616" i="18"/>
  <c r="D1104" i="18"/>
  <c r="D1103" i="18"/>
  <c r="D1100" i="18"/>
  <c r="D861" i="18"/>
  <c r="D858" i="18"/>
  <c r="D773" i="18"/>
  <c r="D770" i="18"/>
  <c r="D685" i="18"/>
  <c r="D682" i="18"/>
  <c r="D597" i="18"/>
  <c r="D594" i="18"/>
  <c r="D509" i="18"/>
  <c r="D506" i="18"/>
  <c r="D410" i="18"/>
  <c r="D407" i="18"/>
  <c r="D322" i="18"/>
  <c r="D319" i="18"/>
  <c r="D233" i="18"/>
  <c r="D234" i="18"/>
  <c r="D231" i="18"/>
  <c r="D145" i="18"/>
  <c r="D146" i="18"/>
  <c r="D143" i="18"/>
  <c r="D1078" i="18"/>
  <c r="D1082" i="18"/>
  <c r="D1081" i="18"/>
  <c r="D80" i="18"/>
  <c r="D77" i="18"/>
  <c r="D828" i="18"/>
  <c r="D825" i="18"/>
  <c r="D883" i="18"/>
  <c r="D880" i="18"/>
  <c r="D531" i="18"/>
  <c r="D528" i="18"/>
  <c r="D168" i="18"/>
  <c r="D165" i="18"/>
  <c r="D938" i="18"/>
  <c r="D935" i="18"/>
  <c r="D762" i="18"/>
  <c r="D759" i="18"/>
  <c r="D674" i="18"/>
  <c r="D671" i="18"/>
  <c r="D586" i="18"/>
  <c r="D583" i="18"/>
  <c r="D498" i="18"/>
  <c r="D495" i="18"/>
  <c r="D396" i="18"/>
  <c r="D399" i="18"/>
  <c r="D311" i="18"/>
  <c r="D308" i="18"/>
  <c r="D220" i="18"/>
  <c r="D223" i="18"/>
  <c r="D134" i="18"/>
  <c r="D132" i="18"/>
  <c r="D1071" i="18"/>
  <c r="D1070" i="18"/>
  <c r="D1067" i="18"/>
  <c r="D69" i="18"/>
  <c r="D66" i="18"/>
  <c r="D1005" i="18"/>
  <c r="D1004" i="18"/>
  <c r="D1001" i="18"/>
  <c r="D652" i="18"/>
  <c r="D649" i="18"/>
  <c r="D972" i="18"/>
  <c r="D971" i="18"/>
  <c r="D968" i="18"/>
  <c r="D707" i="18"/>
  <c r="D704" i="18"/>
  <c r="D443" i="18"/>
  <c r="D440" i="18"/>
  <c r="D256" i="18"/>
  <c r="D253" i="18"/>
  <c r="D949" i="18"/>
  <c r="D946" i="18"/>
  <c r="D11" i="18"/>
  <c r="D14" i="18"/>
  <c r="D850" i="18"/>
  <c r="D847" i="18"/>
  <c r="D1015" i="18"/>
  <c r="D1012" i="18"/>
  <c r="D1016" i="18"/>
  <c r="D927" i="18"/>
  <c r="D924" i="18"/>
  <c r="D839" i="18"/>
  <c r="D836" i="18"/>
  <c r="D751" i="18"/>
  <c r="D748" i="18"/>
  <c r="D663" i="18"/>
  <c r="D660" i="18"/>
  <c r="D572" i="18"/>
  <c r="D575" i="18"/>
  <c r="D484" i="18"/>
  <c r="D487" i="18"/>
  <c r="D388" i="18"/>
  <c r="D385" i="18"/>
  <c r="D300" i="18"/>
  <c r="D297" i="18"/>
  <c r="D212" i="18"/>
  <c r="D209" i="18"/>
  <c r="D124" i="18"/>
  <c r="D121" i="18"/>
  <c r="D1060" i="18"/>
  <c r="D1059" i="18"/>
  <c r="D1056" i="18"/>
  <c r="D57" i="18"/>
  <c r="D58" i="18"/>
  <c r="D55" i="18"/>
  <c r="D13" i="18"/>
  <c r="D1097" i="18"/>
  <c r="D1086" i="18"/>
  <c r="D1098" i="18"/>
  <c r="D1101" i="18"/>
  <c r="D1102" i="18"/>
  <c r="D1057" i="18"/>
  <c r="D1087" i="18"/>
  <c r="D1090" i="18"/>
  <c r="D1091" i="18"/>
  <c r="D1075" i="18"/>
  <c r="D1076" i="18"/>
  <c r="D1079" i="18"/>
  <c r="D1080" i="18"/>
  <c r="D1064" i="18"/>
  <c r="D1065" i="18"/>
  <c r="D1068" i="18"/>
  <c r="D1069" i="18"/>
  <c r="D1053" i="18"/>
  <c r="D1042" i="18"/>
  <c r="D1054" i="18"/>
  <c r="D1043" i="18"/>
  <c r="D1046" i="18"/>
  <c r="D1058" i="18"/>
  <c r="D1047" i="18"/>
  <c r="D1031" i="18"/>
  <c r="D1032" i="18"/>
  <c r="D1035" i="18"/>
  <c r="D1036" i="18"/>
  <c r="D1020" i="18"/>
  <c r="D1021" i="18"/>
  <c r="D1024" i="18"/>
  <c r="D1025" i="18"/>
  <c r="D1010" i="18"/>
  <c r="D1009" i="18"/>
  <c r="D1013" i="18"/>
  <c r="D1014" i="18"/>
  <c r="D954" i="18"/>
  <c r="D998" i="18"/>
  <c r="D999" i="18"/>
  <c r="D1002" i="18"/>
  <c r="D1003" i="18"/>
  <c r="D987" i="18"/>
  <c r="D988" i="18"/>
  <c r="D991" i="18"/>
  <c r="D992" i="18"/>
  <c r="D976" i="18"/>
  <c r="D977" i="18"/>
  <c r="D980" i="18"/>
  <c r="D981" i="18"/>
  <c r="D965" i="18"/>
  <c r="D966" i="18"/>
  <c r="D969" i="18"/>
  <c r="D970" i="18"/>
  <c r="D943" i="18"/>
  <c r="D955" i="18"/>
  <c r="D958" i="18"/>
  <c r="D959" i="18"/>
  <c r="D932" i="18"/>
  <c r="D944" i="18"/>
  <c r="D947" i="18"/>
  <c r="D948" i="18"/>
  <c r="D933" i="18"/>
  <c r="D936" i="18"/>
  <c r="D937" i="18"/>
  <c r="D921" i="18"/>
  <c r="D922" i="18"/>
  <c r="D925" i="18"/>
  <c r="D926" i="18"/>
  <c r="D899" i="18"/>
  <c r="D910" i="18"/>
  <c r="D911" i="18"/>
  <c r="D914" i="18"/>
  <c r="D915" i="18"/>
  <c r="D900" i="18"/>
  <c r="D903" i="18"/>
  <c r="D904" i="18"/>
  <c r="D889" i="18"/>
  <c r="D888" i="18"/>
  <c r="D892" i="18"/>
  <c r="D893" i="18"/>
  <c r="D866" i="18"/>
  <c r="D877" i="18"/>
  <c r="D878" i="18"/>
  <c r="D881" i="18"/>
  <c r="D882" i="18"/>
  <c r="D867" i="18"/>
  <c r="D870" i="18"/>
  <c r="D871" i="18"/>
  <c r="D844" i="18"/>
  <c r="D855" i="18"/>
  <c r="D856" i="18"/>
  <c r="D859" i="18"/>
  <c r="D860" i="18"/>
  <c r="D845" i="18"/>
  <c r="D848" i="18"/>
  <c r="D849" i="18"/>
  <c r="D833" i="18"/>
  <c r="D834" i="18"/>
  <c r="D837" i="18"/>
  <c r="D838" i="18"/>
  <c r="D823" i="18"/>
  <c r="D822" i="18"/>
  <c r="D826" i="18"/>
  <c r="D827" i="18"/>
  <c r="D811" i="18"/>
  <c r="D812" i="18"/>
  <c r="D815" i="18"/>
  <c r="D816" i="18"/>
  <c r="D800" i="18"/>
  <c r="D801" i="18"/>
  <c r="D804" i="18"/>
  <c r="D805" i="18"/>
  <c r="D793" i="18"/>
  <c r="D778" i="18"/>
  <c r="D789" i="18"/>
  <c r="D790" i="18"/>
  <c r="D794" i="18"/>
  <c r="D767" i="18"/>
  <c r="D779" i="18"/>
  <c r="D782" i="18"/>
  <c r="D783" i="18"/>
  <c r="D768" i="18"/>
  <c r="D771" i="18"/>
  <c r="D772" i="18"/>
  <c r="D756" i="18"/>
  <c r="D757" i="18"/>
  <c r="D760" i="18"/>
  <c r="D761" i="18"/>
  <c r="D745" i="18"/>
  <c r="D746" i="18"/>
  <c r="D749" i="18"/>
  <c r="D750" i="18"/>
  <c r="D734" i="18"/>
  <c r="D735" i="18"/>
  <c r="D738" i="18"/>
  <c r="D739" i="18"/>
  <c r="D723" i="18"/>
  <c r="D724" i="18"/>
  <c r="D727" i="18"/>
  <c r="D728" i="18"/>
  <c r="D712" i="18"/>
  <c r="D713" i="18"/>
  <c r="D716" i="18"/>
  <c r="D717" i="18"/>
  <c r="D705" i="18"/>
  <c r="D680" i="18"/>
  <c r="D701" i="18"/>
  <c r="D702" i="18"/>
  <c r="D706" i="18"/>
  <c r="D690" i="18"/>
  <c r="D691" i="18"/>
  <c r="D694" i="18"/>
  <c r="D695" i="18"/>
  <c r="D679" i="18"/>
  <c r="D683" i="18"/>
  <c r="D684" i="18"/>
  <c r="D668" i="18"/>
  <c r="D669" i="18"/>
  <c r="D672" i="18"/>
  <c r="D673" i="18"/>
  <c r="D658" i="18"/>
  <c r="D657" i="18"/>
  <c r="D661" i="18"/>
  <c r="D662" i="18"/>
  <c r="D635" i="18"/>
  <c r="D646" i="18"/>
  <c r="D647" i="18"/>
  <c r="D650" i="18"/>
  <c r="D651" i="18"/>
  <c r="D636" i="18"/>
  <c r="D639" i="18"/>
  <c r="D640" i="18"/>
  <c r="D613" i="18"/>
  <c r="D625" i="18"/>
  <c r="D628" i="18"/>
  <c r="D629" i="18"/>
  <c r="D624" i="18"/>
  <c r="D614" i="18"/>
  <c r="D617" i="18"/>
  <c r="D618" i="18"/>
  <c r="D606" i="18"/>
  <c r="D591" i="18"/>
  <c r="D602" i="18"/>
  <c r="D603" i="18"/>
  <c r="D607" i="18"/>
  <c r="D592" i="18"/>
  <c r="D595" i="18"/>
  <c r="D596" i="18"/>
  <c r="D580" i="18"/>
  <c r="D581" i="18"/>
  <c r="D584" i="18"/>
  <c r="D585" i="18"/>
  <c r="D569" i="18"/>
  <c r="D570" i="18"/>
  <c r="D573" i="18"/>
  <c r="D574" i="18"/>
  <c r="D547" i="18"/>
  <c r="D558" i="18"/>
  <c r="D559" i="18"/>
  <c r="D562" i="18"/>
  <c r="D563" i="18"/>
  <c r="D548" i="18"/>
  <c r="D551" i="18"/>
  <c r="D537" i="18"/>
  <c r="D552" i="18"/>
  <c r="D540" i="18"/>
  <c r="D541" i="18"/>
  <c r="D536" i="18"/>
  <c r="D514" i="18"/>
  <c r="D525" i="18"/>
  <c r="D526" i="18"/>
  <c r="D529" i="18"/>
  <c r="D530" i="18"/>
  <c r="D503" i="18"/>
  <c r="D515" i="18"/>
  <c r="D518" i="18"/>
  <c r="D519" i="18"/>
  <c r="D492" i="18"/>
  <c r="D504" i="18"/>
  <c r="D507" i="18"/>
  <c r="D508" i="18"/>
  <c r="D493" i="18"/>
  <c r="D470" i="18"/>
  <c r="D496" i="18"/>
  <c r="D481" i="18"/>
  <c r="D497" i="18"/>
  <c r="D482" i="18"/>
  <c r="D485" i="18"/>
  <c r="D486" i="18"/>
  <c r="D471" i="18"/>
  <c r="D474" i="18"/>
  <c r="D475" i="18"/>
  <c r="D459" i="18"/>
  <c r="D463" i="18"/>
  <c r="D460" i="18"/>
  <c r="D464" i="18"/>
  <c r="D448" i="18"/>
  <c r="D449" i="18"/>
  <c r="D452" i="18"/>
  <c r="D453" i="18"/>
  <c r="D438" i="18"/>
  <c r="D437" i="18"/>
  <c r="D441" i="18"/>
  <c r="D442" i="18"/>
  <c r="D426" i="18"/>
  <c r="D427" i="18"/>
  <c r="D430" i="18"/>
  <c r="D431" i="18"/>
  <c r="D415" i="18"/>
  <c r="D420" i="18"/>
  <c r="D416" i="18"/>
  <c r="D419" i="18"/>
  <c r="D393" i="18"/>
  <c r="D404" i="18"/>
  <c r="D405" i="18"/>
  <c r="D408" i="18"/>
  <c r="D409" i="18"/>
  <c r="D394" i="18"/>
  <c r="D397" i="18"/>
  <c r="D398" i="18"/>
  <c r="D382" i="18"/>
  <c r="D383" i="18"/>
  <c r="D386" i="18"/>
  <c r="D387" i="18"/>
  <c r="D375" i="18"/>
  <c r="D365" i="18"/>
  <c r="D371" i="18"/>
  <c r="D372" i="18"/>
  <c r="D360" i="18"/>
  <c r="D317" i="18"/>
  <c r="D361" i="18"/>
  <c r="D364" i="18"/>
  <c r="D349" i="18"/>
  <c r="D350" i="18"/>
  <c r="D353" i="18"/>
  <c r="D354" i="18"/>
  <c r="D343" i="18"/>
  <c r="D338" i="18"/>
  <c r="D339" i="18"/>
  <c r="D342" i="18"/>
  <c r="D327" i="18"/>
  <c r="D328" i="18"/>
  <c r="D331" i="18"/>
  <c r="D332" i="18"/>
  <c r="D316" i="18"/>
  <c r="D320" i="18"/>
  <c r="D321" i="18"/>
  <c r="D306" i="18"/>
  <c r="D305" i="18"/>
  <c r="D309" i="18"/>
  <c r="D310" i="18"/>
  <c r="D294" i="18"/>
  <c r="D295" i="18"/>
  <c r="D298" i="18"/>
  <c r="D299" i="18"/>
  <c r="D283" i="18"/>
  <c r="D284" i="18"/>
  <c r="D287" i="18"/>
  <c r="D288" i="18"/>
  <c r="D272" i="18"/>
  <c r="D273" i="18"/>
  <c r="D250" i="18"/>
  <c r="D261" i="18"/>
  <c r="D262" i="18"/>
  <c r="D266" i="18"/>
  <c r="D251" i="18"/>
  <c r="D255" i="18"/>
  <c r="D239" i="18"/>
  <c r="D240" i="18"/>
  <c r="D244" i="18"/>
  <c r="D228" i="18"/>
  <c r="D229" i="18"/>
  <c r="D217" i="18"/>
  <c r="D218" i="18"/>
  <c r="D222" i="18"/>
  <c r="D206" i="18"/>
  <c r="D207" i="18"/>
  <c r="D211" i="18"/>
  <c r="D195" i="18"/>
  <c r="D196" i="18"/>
  <c r="D185" i="18"/>
  <c r="D200" i="18"/>
  <c r="D189" i="18"/>
  <c r="D184" i="18"/>
  <c r="D173" i="18"/>
  <c r="D174" i="18"/>
  <c r="D178" i="18"/>
  <c r="D162" i="18"/>
  <c r="D163" i="18"/>
  <c r="D167" i="18"/>
  <c r="D151" i="18"/>
  <c r="D152" i="18"/>
  <c r="D156" i="18"/>
  <c r="D140" i="18"/>
  <c r="D141" i="18"/>
  <c r="D118" i="18"/>
  <c r="D129" i="18"/>
  <c r="D130" i="18"/>
  <c r="D108" i="18"/>
  <c r="D119" i="18"/>
  <c r="D96" i="18"/>
  <c r="D123" i="18"/>
  <c r="D101" i="18"/>
  <c r="D107" i="18"/>
  <c r="D112" i="18"/>
  <c r="D97" i="18"/>
  <c r="D74" i="18"/>
  <c r="D75" i="18"/>
  <c r="D85" i="18"/>
  <c r="D86" i="18"/>
  <c r="D79" i="18"/>
  <c r="D63" i="18"/>
  <c r="D64" i="18"/>
  <c r="D68" i="18"/>
  <c r="D41" i="18"/>
  <c r="D52" i="18"/>
  <c r="D53" i="18"/>
  <c r="D42" i="18"/>
  <c r="D31" i="18"/>
  <c r="D30" i="18"/>
  <c r="D35" i="18"/>
  <c r="D19" i="18"/>
  <c r="D20" i="18"/>
  <c r="D24" i="18"/>
  <c r="D8" i="18"/>
  <c r="D276" i="18" l="1"/>
  <c r="D265" i="18"/>
  <c r="D254" i="18"/>
  <c r="D243" i="18"/>
  <c r="D232" i="18"/>
  <c r="D221" i="18"/>
  <c r="D210" i="18"/>
  <c r="D199" i="18"/>
  <c r="D188" i="18"/>
  <c r="D177" i="18"/>
  <c r="D166" i="18"/>
  <c r="D155" i="18"/>
  <c r="D144" i="18"/>
  <c r="D133" i="18"/>
  <c r="D122" i="18"/>
  <c r="D111" i="18"/>
  <c r="D100" i="18"/>
  <c r="D89" i="18"/>
  <c r="D78" i="18"/>
  <c r="D67" i="18"/>
  <c r="D56" i="18"/>
  <c r="D45" i="18"/>
  <c r="D34" i="18"/>
  <c r="D23" i="18"/>
  <c r="D12" i="18"/>
  <c r="E2" i="14" l="1"/>
  <c r="C2" i="18" l="1"/>
  <c r="C2" i="19"/>
  <c r="AG35" i="1"/>
  <c r="AF35" i="1"/>
  <c r="U500" i="2"/>
  <c r="T500" i="2"/>
  <c r="U499" i="2"/>
  <c r="T499" i="2"/>
  <c r="U498" i="2"/>
  <c r="T498" i="2"/>
  <c r="U497" i="2"/>
  <c r="T497" i="2"/>
  <c r="U496" i="2"/>
  <c r="T496" i="2"/>
  <c r="U495" i="2"/>
  <c r="T495" i="2"/>
  <c r="U494" i="2"/>
  <c r="T494" i="2"/>
  <c r="U493" i="2"/>
  <c r="T493" i="2"/>
  <c r="U492" i="2"/>
  <c r="T492" i="2"/>
  <c r="U491" i="2"/>
  <c r="T491" i="2"/>
  <c r="U490" i="2"/>
  <c r="T490" i="2"/>
  <c r="U489" i="2"/>
  <c r="T489" i="2"/>
  <c r="U488" i="2"/>
  <c r="T488" i="2"/>
  <c r="U487" i="2"/>
  <c r="T487" i="2"/>
  <c r="U486" i="2"/>
  <c r="T486" i="2"/>
  <c r="U485" i="2"/>
  <c r="T485" i="2"/>
  <c r="U484" i="2"/>
  <c r="T484" i="2"/>
  <c r="U483" i="2"/>
  <c r="T483" i="2"/>
  <c r="U482" i="2"/>
  <c r="T482" i="2"/>
  <c r="U481" i="2"/>
  <c r="T481" i="2"/>
  <c r="U480" i="2"/>
  <c r="T480" i="2"/>
  <c r="U479" i="2"/>
  <c r="T479" i="2"/>
  <c r="U478" i="2"/>
  <c r="T478" i="2"/>
  <c r="U477" i="2"/>
  <c r="T477" i="2"/>
  <c r="U476" i="2"/>
  <c r="T476" i="2"/>
  <c r="U475" i="2"/>
  <c r="T475" i="2"/>
  <c r="U474" i="2"/>
  <c r="T474" i="2"/>
  <c r="U473" i="2"/>
  <c r="T473" i="2"/>
  <c r="U472" i="2"/>
  <c r="T472" i="2"/>
  <c r="U471" i="2"/>
  <c r="T471" i="2"/>
  <c r="U470" i="2"/>
  <c r="T470" i="2"/>
  <c r="U469" i="2"/>
  <c r="T469" i="2"/>
  <c r="U468" i="2"/>
  <c r="T468" i="2"/>
  <c r="U467" i="2"/>
  <c r="T467" i="2"/>
  <c r="U466" i="2"/>
  <c r="T466" i="2"/>
  <c r="U465" i="2"/>
  <c r="T465" i="2"/>
  <c r="U464" i="2"/>
  <c r="T464" i="2"/>
  <c r="U463" i="2"/>
  <c r="T463" i="2"/>
  <c r="U462" i="2"/>
  <c r="T462" i="2"/>
  <c r="U461" i="2"/>
  <c r="T461" i="2"/>
  <c r="U460" i="2"/>
  <c r="T460" i="2"/>
  <c r="U459" i="2"/>
  <c r="T459" i="2"/>
  <c r="U458" i="2"/>
  <c r="T458" i="2"/>
  <c r="U457" i="2"/>
  <c r="T457" i="2"/>
  <c r="U456" i="2"/>
  <c r="T456" i="2"/>
  <c r="U455" i="2"/>
  <c r="T455" i="2"/>
  <c r="U454" i="2"/>
  <c r="T454" i="2"/>
  <c r="U453" i="2"/>
  <c r="T453" i="2"/>
  <c r="U452" i="2"/>
  <c r="T452" i="2"/>
  <c r="U451" i="2"/>
  <c r="T451" i="2"/>
  <c r="U450" i="2"/>
  <c r="T450" i="2"/>
  <c r="U449" i="2"/>
  <c r="T449" i="2"/>
  <c r="U448" i="2"/>
  <c r="T448" i="2"/>
  <c r="U447" i="2"/>
  <c r="T447" i="2"/>
  <c r="U446" i="2"/>
  <c r="T446" i="2"/>
  <c r="U445" i="2"/>
  <c r="T445" i="2"/>
  <c r="U444" i="2"/>
  <c r="T444" i="2"/>
  <c r="U443" i="2"/>
  <c r="T443" i="2"/>
  <c r="U442" i="2"/>
  <c r="T442" i="2"/>
  <c r="U441" i="2"/>
  <c r="T441" i="2"/>
  <c r="U440" i="2"/>
  <c r="T440" i="2"/>
  <c r="U439" i="2"/>
  <c r="T439" i="2"/>
  <c r="U438" i="2"/>
  <c r="T438" i="2"/>
  <c r="U437" i="2"/>
  <c r="T437" i="2"/>
  <c r="U436" i="2"/>
  <c r="T436" i="2"/>
  <c r="U435" i="2"/>
  <c r="T435" i="2"/>
  <c r="U434" i="2"/>
  <c r="T434" i="2"/>
  <c r="U433" i="2"/>
  <c r="T433" i="2"/>
  <c r="U432" i="2"/>
  <c r="T432" i="2"/>
  <c r="U431" i="2"/>
  <c r="T431" i="2"/>
  <c r="U430" i="2"/>
  <c r="T430" i="2"/>
  <c r="U429" i="2"/>
  <c r="T429" i="2"/>
  <c r="U428" i="2"/>
  <c r="T428" i="2"/>
  <c r="U427" i="2"/>
  <c r="T427" i="2"/>
  <c r="U426" i="2"/>
  <c r="T426" i="2"/>
  <c r="U425" i="2"/>
  <c r="T425" i="2"/>
  <c r="U424" i="2"/>
  <c r="T424" i="2"/>
  <c r="U423" i="2"/>
  <c r="T423" i="2"/>
  <c r="U422" i="2"/>
  <c r="T422" i="2"/>
  <c r="U421" i="2"/>
  <c r="T421" i="2"/>
  <c r="U420" i="2"/>
  <c r="T420" i="2"/>
  <c r="U419" i="2"/>
  <c r="T419" i="2"/>
  <c r="U418" i="2"/>
  <c r="T418" i="2"/>
  <c r="U417" i="2"/>
  <c r="T417" i="2"/>
  <c r="U416" i="2"/>
  <c r="T416" i="2"/>
  <c r="U415" i="2"/>
  <c r="T415" i="2"/>
  <c r="U414" i="2"/>
  <c r="T414" i="2"/>
  <c r="U413" i="2"/>
  <c r="T413" i="2"/>
  <c r="U412" i="2"/>
  <c r="T412" i="2"/>
  <c r="U411" i="2"/>
  <c r="T411" i="2"/>
  <c r="U410" i="2"/>
  <c r="T410" i="2"/>
  <c r="U409" i="2"/>
  <c r="T409" i="2"/>
  <c r="U408" i="2"/>
  <c r="T408" i="2"/>
  <c r="U407" i="2"/>
  <c r="T407" i="2"/>
  <c r="U406" i="2"/>
  <c r="T406" i="2"/>
  <c r="U405" i="2"/>
  <c r="T405" i="2"/>
  <c r="U404" i="2"/>
  <c r="T404" i="2"/>
  <c r="U403" i="2"/>
  <c r="T403" i="2"/>
  <c r="U402" i="2"/>
  <c r="T402" i="2"/>
  <c r="U401" i="2"/>
  <c r="T401" i="2"/>
  <c r="U400" i="2"/>
  <c r="T400" i="2"/>
  <c r="U399" i="2"/>
  <c r="T399" i="2"/>
  <c r="U398" i="2"/>
  <c r="T398" i="2"/>
  <c r="U397" i="2"/>
  <c r="T397" i="2"/>
  <c r="U396" i="2"/>
  <c r="T396" i="2"/>
  <c r="U395" i="2"/>
  <c r="T395" i="2"/>
  <c r="U394" i="2"/>
  <c r="T394" i="2"/>
  <c r="U393" i="2"/>
  <c r="T393" i="2"/>
  <c r="U392" i="2"/>
  <c r="T392" i="2"/>
  <c r="U391" i="2"/>
  <c r="T391" i="2"/>
  <c r="U390" i="2"/>
  <c r="T390" i="2"/>
  <c r="U389" i="2"/>
  <c r="T389" i="2"/>
  <c r="U388" i="2"/>
  <c r="T388" i="2"/>
  <c r="U387" i="2"/>
  <c r="T387" i="2"/>
  <c r="U386" i="2"/>
  <c r="T386" i="2"/>
  <c r="U385" i="2"/>
  <c r="T385" i="2"/>
  <c r="U384" i="2"/>
  <c r="T384" i="2"/>
  <c r="U383" i="2"/>
  <c r="T383" i="2"/>
  <c r="U382" i="2"/>
  <c r="T382" i="2"/>
  <c r="U381" i="2"/>
  <c r="T381" i="2"/>
  <c r="U380" i="2"/>
  <c r="T380" i="2"/>
  <c r="U379" i="2"/>
  <c r="T379" i="2"/>
  <c r="U378" i="2"/>
  <c r="T378" i="2"/>
  <c r="U377" i="2"/>
  <c r="T377" i="2"/>
  <c r="U376" i="2"/>
  <c r="T376" i="2"/>
  <c r="U375" i="2"/>
  <c r="T375" i="2"/>
  <c r="U374" i="2"/>
  <c r="T374" i="2"/>
  <c r="U373" i="2"/>
  <c r="T373" i="2"/>
  <c r="U372" i="2"/>
  <c r="T372" i="2"/>
  <c r="U371" i="2"/>
  <c r="T371" i="2"/>
  <c r="U370" i="2"/>
  <c r="T370" i="2"/>
  <c r="U369" i="2"/>
  <c r="T369" i="2"/>
  <c r="U368" i="2"/>
  <c r="T368" i="2"/>
  <c r="U367" i="2"/>
  <c r="T367" i="2"/>
  <c r="U366" i="2"/>
  <c r="T366" i="2"/>
  <c r="U365" i="2"/>
  <c r="T365" i="2"/>
  <c r="U364" i="2"/>
  <c r="T364" i="2"/>
  <c r="U363" i="2"/>
  <c r="T363" i="2"/>
  <c r="U362" i="2"/>
  <c r="T362" i="2"/>
  <c r="U361" i="2"/>
  <c r="T361" i="2"/>
  <c r="U360" i="2"/>
  <c r="T360" i="2"/>
  <c r="U359" i="2"/>
  <c r="T359" i="2"/>
  <c r="U358" i="2"/>
  <c r="T358" i="2"/>
  <c r="U357" i="2"/>
  <c r="T357" i="2"/>
  <c r="U356" i="2"/>
  <c r="T356" i="2"/>
  <c r="U355" i="2"/>
  <c r="T355" i="2"/>
  <c r="U354" i="2"/>
  <c r="T354" i="2"/>
  <c r="U353" i="2"/>
  <c r="T353" i="2"/>
  <c r="U352" i="2"/>
  <c r="T352" i="2"/>
  <c r="U351" i="2"/>
  <c r="T351" i="2"/>
  <c r="U350" i="2"/>
  <c r="T350" i="2"/>
  <c r="U349" i="2"/>
  <c r="T349" i="2"/>
  <c r="U348" i="2"/>
  <c r="T348" i="2"/>
  <c r="U347" i="2"/>
  <c r="T347" i="2"/>
  <c r="U346" i="2"/>
  <c r="T346" i="2"/>
  <c r="U345" i="2"/>
  <c r="T345" i="2"/>
  <c r="U344" i="2"/>
  <c r="T344" i="2"/>
  <c r="U343" i="2"/>
  <c r="T343" i="2"/>
  <c r="U342" i="2"/>
  <c r="T342" i="2"/>
  <c r="U341" i="2"/>
  <c r="T341" i="2"/>
  <c r="U340" i="2"/>
  <c r="T340" i="2"/>
  <c r="U339" i="2"/>
  <c r="T339" i="2"/>
  <c r="U338" i="2"/>
  <c r="T338" i="2"/>
  <c r="U337" i="2"/>
  <c r="T337" i="2"/>
  <c r="U336" i="2"/>
  <c r="T336" i="2"/>
  <c r="U335" i="2"/>
  <c r="T335" i="2"/>
  <c r="U334" i="2"/>
  <c r="T334" i="2"/>
  <c r="U333" i="2"/>
  <c r="T333" i="2"/>
  <c r="U332" i="2"/>
  <c r="T332" i="2"/>
  <c r="U331" i="2"/>
  <c r="T331" i="2"/>
  <c r="U330" i="2"/>
  <c r="T330" i="2"/>
  <c r="U329" i="2"/>
  <c r="T329" i="2"/>
  <c r="U328" i="2"/>
  <c r="T328" i="2"/>
  <c r="U327" i="2"/>
  <c r="T327" i="2"/>
  <c r="U326" i="2"/>
  <c r="T326" i="2"/>
  <c r="U325" i="2"/>
  <c r="T325" i="2"/>
  <c r="U324" i="2"/>
  <c r="T324" i="2"/>
  <c r="U323" i="2"/>
  <c r="T323" i="2"/>
  <c r="U322" i="2"/>
  <c r="T322" i="2"/>
  <c r="U321" i="2"/>
  <c r="T321" i="2"/>
  <c r="U320" i="2"/>
  <c r="T320" i="2"/>
  <c r="U319" i="2"/>
  <c r="T319" i="2"/>
  <c r="U318" i="2"/>
  <c r="T318" i="2"/>
  <c r="U317" i="2"/>
  <c r="T317" i="2"/>
  <c r="U316" i="2"/>
  <c r="T316" i="2"/>
  <c r="U315" i="2"/>
  <c r="T315" i="2"/>
  <c r="U314" i="2"/>
  <c r="T314" i="2"/>
  <c r="U313" i="2"/>
  <c r="T313" i="2"/>
  <c r="U312" i="2"/>
  <c r="T312" i="2"/>
  <c r="U311" i="2"/>
  <c r="T311" i="2"/>
  <c r="U310" i="2"/>
  <c r="T310" i="2"/>
  <c r="U309" i="2"/>
  <c r="T309" i="2"/>
  <c r="U308" i="2"/>
  <c r="T308" i="2"/>
  <c r="U307" i="2"/>
  <c r="T307" i="2"/>
  <c r="U306" i="2"/>
  <c r="T306" i="2"/>
  <c r="U305" i="2"/>
  <c r="T305" i="2"/>
  <c r="U304" i="2"/>
  <c r="T304" i="2"/>
  <c r="U303" i="2"/>
  <c r="T303" i="2"/>
  <c r="U302" i="2"/>
  <c r="T302" i="2"/>
  <c r="U301" i="2"/>
  <c r="T301" i="2"/>
  <c r="U300" i="2"/>
  <c r="T300" i="2"/>
  <c r="U299" i="2"/>
  <c r="T299" i="2"/>
  <c r="U298" i="2"/>
  <c r="T298" i="2"/>
  <c r="U297" i="2"/>
  <c r="T297" i="2"/>
  <c r="U296" i="2"/>
  <c r="T296" i="2"/>
  <c r="U295" i="2"/>
  <c r="T295" i="2"/>
  <c r="U294" i="2"/>
  <c r="T294" i="2"/>
  <c r="U293" i="2"/>
  <c r="T293" i="2"/>
  <c r="U292" i="2"/>
  <c r="T292" i="2"/>
  <c r="U291" i="2"/>
  <c r="T291" i="2"/>
  <c r="U290" i="2"/>
  <c r="T290" i="2"/>
  <c r="U289" i="2"/>
  <c r="T289" i="2"/>
  <c r="U288" i="2"/>
  <c r="T288" i="2"/>
  <c r="U287" i="2"/>
  <c r="T287" i="2"/>
  <c r="U286" i="2"/>
  <c r="T286" i="2"/>
  <c r="U285" i="2"/>
  <c r="T285" i="2"/>
  <c r="U284" i="2"/>
  <c r="T284" i="2"/>
  <c r="U283" i="2"/>
  <c r="T283" i="2"/>
  <c r="U282" i="2"/>
  <c r="T282" i="2"/>
  <c r="U281" i="2"/>
  <c r="T281" i="2"/>
  <c r="U280" i="2"/>
  <c r="T280" i="2"/>
  <c r="U279" i="2"/>
  <c r="T279" i="2"/>
  <c r="U278" i="2"/>
  <c r="T278" i="2"/>
  <c r="U277" i="2"/>
  <c r="T277" i="2"/>
  <c r="U276" i="2"/>
  <c r="T276" i="2"/>
  <c r="U275" i="2"/>
  <c r="T275" i="2"/>
  <c r="U274" i="2"/>
  <c r="T274" i="2"/>
  <c r="U273" i="2"/>
  <c r="T273" i="2"/>
  <c r="U272" i="2"/>
  <c r="T272" i="2"/>
  <c r="U271" i="2"/>
  <c r="T271" i="2"/>
  <c r="U270" i="2"/>
  <c r="T270" i="2"/>
  <c r="U269" i="2"/>
  <c r="T269" i="2"/>
  <c r="U268" i="2"/>
  <c r="T268" i="2"/>
  <c r="U267" i="2"/>
  <c r="T267" i="2"/>
  <c r="U266" i="2"/>
  <c r="T266" i="2"/>
  <c r="U265" i="2"/>
  <c r="T265" i="2"/>
  <c r="U264" i="2"/>
  <c r="T264" i="2"/>
  <c r="U263" i="2"/>
  <c r="T263" i="2"/>
  <c r="U262" i="2"/>
  <c r="T262" i="2"/>
  <c r="U261" i="2"/>
  <c r="T261" i="2"/>
  <c r="U260" i="2"/>
  <c r="T260" i="2"/>
  <c r="U259" i="2"/>
  <c r="T259" i="2"/>
  <c r="U258" i="2"/>
  <c r="T258" i="2"/>
  <c r="U257" i="2"/>
  <c r="T257" i="2"/>
  <c r="U256" i="2"/>
  <c r="T256" i="2"/>
  <c r="U255" i="2"/>
  <c r="T255" i="2"/>
  <c r="U254" i="2"/>
  <c r="T254" i="2"/>
  <c r="U253" i="2"/>
  <c r="T253" i="2"/>
  <c r="U252" i="2"/>
  <c r="T252" i="2"/>
  <c r="U251" i="2"/>
  <c r="T251" i="2"/>
  <c r="U250" i="2"/>
  <c r="T250" i="2"/>
  <c r="U249" i="2"/>
  <c r="T249" i="2"/>
  <c r="U248" i="2"/>
  <c r="T248" i="2"/>
  <c r="U247" i="2"/>
  <c r="T247" i="2"/>
  <c r="U246" i="2"/>
  <c r="T246" i="2"/>
  <c r="U245" i="2"/>
  <c r="T245" i="2"/>
  <c r="U244" i="2"/>
  <c r="T244" i="2"/>
  <c r="U243" i="2"/>
  <c r="T243" i="2"/>
  <c r="U242" i="2"/>
  <c r="T242" i="2"/>
  <c r="U241" i="2"/>
  <c r="T241" i="2"/>
  <c r="U240" i="2"/>
  <c r="T240" i="2"/>
  <c r="U239" i="2"/>
  <c r="T239" i="2"/>
  <c r="U238" i="2"/>
  <c r="T238" i="2"/>
  <c r="U237" i="2"/>
  <c r="T237" i="2"/>
  <c r="U236" i="2"/>
  <c r="T236" i="2"/>
  <c r="U235" i="2"/>
  <c r="T235" i="2"/>
  <c r="U234" i="2"/>
  <c r="T234" i="2"/>
  <c r="U233" i="2"/>
  <c r="T233" i="2"/>
  <c r="U232" i="2"/>
  <c r="T232" i="2"/>
  <c r="U231" i="2"/>
  <c r="T231" i="2"/>
  <c r="U230" i="2"/>
  <c r="T230" i="2"/>
  <c r="U229" i="2"/>
  <c r="T229" i="2"/>
  <c r="U228" i="2"/>
  <c r="T228" i="2"/>
  <c r="U227" i="2"/>
  <c r="T227" i="2"/>
  <c r="U226" i="2"/>
  <c r="T226" i="2"/>
  <c r="U225" i="2"/>
  <c r="T225" i="2"/>
  <c r="U224" i="2"/>
  <c r="T224" i="2"/>
  <c r="U223" i="2"/>
  <c r="T223" i="2"/>
  <c r="U222" i="2"/>
  <c r="T222" i="2"/>
  <c r="U221" i="2"/>
  <c r="T221" i="2"/>
  <c r="U220" i="2"/>
  <c r="T220" i="2"/>
  <c r="U219" i="2"/>
  <c r="T219" i="2"/>
  <c r="U218" i="2"/>
  <c r="T218" i="2"/>
  <c r="U217" i="2"/>
  <c r="T217" i="2"/>
  <c r="U216" i="2"/>
  <c r="T216" i="2"/>
  <c r="U215" i="2"/>
  <c r="T215" i="2"/>
  <c r="U214" i="2"/>
  <c r="T214" i="2"/>
  <c r="U213" i="2"/>
  <c r="T213" i="2"/>
  <c r="U212" i="2"/>
  <c r="T212" i="2"/>
  <c r="U211" i="2"/>
  <c r="T211" i="2"/>
  <c r="U210" i="2"/>
  <c r="T210" i="2"/>
  <c r="U209" i="2"/>
  <c r="T209" i="2"/>
  <c r="U208" i="2"/>
  <c r="T208" i="2"/>
  <c r="U207" i="2"/>
  <c r="T207" i="2"/>
  <c r="U206" i="2"/>
  <c r="T206" i="2"/>
  <c r="U205" i="2"/>
  <c r="T205" i="2"/>
  <c r="U204" i="2"/>
  <c r="T204" i="2"/>
  <c r="U203" i="2"/>
  <c r="T203" i="2"/>
  <c r="U202" i="2"/>
  <c r="T202" i="2"/>
  <c r="U201" i="2"/>
  <c r="T201" i="2"/>
  <c r="U200" i="2"/>
  <c r="T200" i="2"/>
  <c r="U199" i="2"/>
  <c r="T199" i="2"/>
  <c r="U198" i="2"/>
  <c r="T198" i="2"/>
  <c r="U197" i="2"/>
  <c r="T197" i="2"/>
  <c r="U196" i="2"/>
  <c r="T196" i="2"/>
  <c r="U195" i="2"/>
  <c r="T195" i="2"/>
  <c r="U194" i="2"/>
  <c r="T194" i="2"/>
  <c r="U193" i="2"/>
  <c r="T193" i="2"/>
  <c r="U192" i="2"/>
  <c r="T192" i="2"/>
  <c r="U191" i="2"/>
  <c r="T191" i="2"/>
  <c r="U190" i="2"/>
  <c r="T190" i="2"/>
  <c r="U189" i="2"/>
  <c r="T189" i="2"/>
  <c r="U188" i="2"/>
  <c r="T188" i="2"/>
  <c r="U187" i="2"/>
  <c r="T187" i="2"/>
  <c r="U186" i="2"/>
  <c r="T186" i="2"/>
  <c r="U185" i="2"/>
  <c r="T185" i="2"/>
  <c r="U184" i="2"/>
  <c r="T184" i="2"/>
  <c r="U183" i="2"/>
  <c r="T183" i="2"/>
  <c r="U182" i="2"/>
  <c r="T182" i="2"/>
  <c r="U181" i="2"/>
  <c r="T181" i="2"/>
  <c r="U180" i="2"/>
  <c r="T180" i="2"/>
  <c r="U179" i="2"/>
  <c r="T179" i="2"/>
  <c r="U178" i="2"/>
  <c r="T178" i="2"/>
  <c r="U177" i="2"/>
  <c r="T177" i="2"/>
  <c r="U176" i="2"/>
  <c r="T176" i="2"/>
  <c r="U175" i="2"/>
  <c r="T175" i="2"/>
  <c r="U174" i="2"/>
  <c r="T174" i="2"/>
  <c r="U173" i="2"/>
  <c r="T173" i="2"/>
  <c r="U172" i="2"/>
  <c r="T172" i="2"/>
  <c r="U171" i="2"/>
  <c r="T171" i="2"/>
  <c r="U170" i="2"/>
  <c r="T170" i="2"/>
  <c r="U169" i="2"/>
  <c r="T169" i="2"/>
  <c r="U168" i="2"/>
  <c r="T168" i="2"/>
  <c r="U167" i="2"/>
  <c r="T167" i="2"/>
  <c r="U166" i="2"/>
  <c r="T166" i="2"/>
  <c r="U165" i="2"/>
  <c r="T165" i="2"/>
  <c r="U164" i="2"/>
  <c r="T164" i="2"/>
  <c r="U163" i="2"/>
  <c r="T163" i="2"/>
  <c r="U162" i="2"/>
  <c r="T162" i="2"/>
  <c r="U161" i="2"/>
  <c r="T161" i="2"/>
  <c r="U160" i="2"/>
  <c r="T160" i="2"/>
  <c r="U159" i="2"/>
  <c r="T159" i="2"/>
  <c r="U158" i="2"/>
  <c r="T158" i="2"/>
  <c r="U157" i="2"/>
  <c r="T157" i="2"/>
  <c r="U156" i="2"/>
  <c r="T156" i="2"/>
  <c r="U155" i="2"/>
  <c r="T155" i="2"/>
  <c r="U154" i="2"/>
  <c r="T154" i="2"/>
  <c r="U153" i="2"/>
  <c r="T153" i="2"/>
  <c r="U152" i="2"/>
  <c r="T152" i="2"/>
  <c r="U151" i="2"/>
  <c r="T151" i="2"/>
  <c r="U150" i="2"/>
  <c r="T150" i="2"/>
  <c r="U149" i="2"/>
  <c r="T149" i="2"/>
  <c r="U148" i="2"/>
  <c r="T148" i="2"/>
  <c r="U147" i="2"/>
  <c r="T147" i="2"/>
  <c r="U146" i="2"/>
  <c r="T146" i="2"/>
  <c r="U145" i="2"/>
  <c r="T145" i="2"/>
  <c r="U144" i="2"/>
  <c r="T144" i="2"/>
  <c r="U143" i="2"/>
  <c r="T143" i="2"/>
  <c r="U142" i="2"/>
  <c r="T142" i="2"/>
  <c r="U141" i="2"/>
  <c r="T141" i="2"/>
  <c r="U140" i="2"/>
  <c r="T140" i="2"/>
  <c r="U139" i="2"/>
  <c r="T139" i="2"/>
  <c r="U138" i="2"/>
  <c r="T138" i="2"/>
  <c r="U137" i="2"/>
  <c r="T137" i="2"/>
  <c r="U136" i="2"/>
  <c r="T136" i="2"/>
  <c r="U135" i="2"/>
  <c r="T135" i="2"/>
  <c r="U134" i="2"/>
  <c r="T134" i="2"/>
  <c r="U133" i="2"/>
  <c r="T133" i="2"/>
  <c r="U132" i="2"/>
  <c r="T132" i="2"/>
  <c r="U131" i="2"/>
  <c r="T131" i="2"/>
  <c r="U130" i="2"/>
  <c r="T130" i="2"/>
  <c r="U129" i="2"/>
  <c r="T129" i="2"/>
  <c r="U128" i="2"/>
  <c r="T128" i="2"/>
  <c r="U127" i="2"/>
  <c r="T127" i="2"/>
  <c r="U126" i="2"/>
  <c r="T126" i="2"/>
  <c r="U125" i="2"/>
  <c r="T125" i="2"/>
  <c r="U124" i="2"/>
  <c r="T124" i="2"/>
  <c r="U123" i="2"/>
  <c r="T123" i="2"/>
  <c r="U122" i="2"/>
  <c r="T122" i="2"/>
  <c r="U121" i="2"/>
  <c r="T121" i="2"/>
  <c r="U120" i="2"/>
  <c r="T120" i="2"/>
  <c r="U119" i="2"/>
  <c r="T119" i="2"/>
  <c r="U118" i="2"/>
  <c r="T118" i="2"/>
  <c r="U117" i="2"/>
  <c r="T117" i="2"/>
  <c r="U116" i="2"/>
  <c r="T116" i="2"/>
  <c r="U115" i="2"/>
  <c r="T115" i="2"/>
  <c r="U114" i="2"/>
  <c r="T114" i="2"/>
  <c r="U113" i="2"/>
  <c r="T113" i="2"/>
  <c r="U112" i="2"/>
  <c r="T112" i="2"/>
  <c r="U111" i="2"/>
  <c r="T111" i="2"/>
  <c r="U110" i="2"/>
  <c r="T110" i="2"/>
  <c r="U109" i="2"/>
  <c r="T109" i="2"/>
  <c r="U108" i="2"/>
  <c r="T108" i="2"/>
  <c r="U107" i="2"/>
  <c r="T107" i="2"/>
  <c r="U106" i="2"/>
  <c r="T106" i="2"/>
  <c r="U105" i="2"/>
  <c r="T105" i="2"/>
  <c r="U104" i="2"/>
  <c r="T104" i="2"/>
  <c r="U103" i="2"/>
  <c r="T103" i="2"/>
  <c r="U102" i="2"/>
  <c r="T102" i="2"/>
  <c r="U101" i="2"/>
  <c r="T101" i="2"/>
  <c r="U100" i="2"/>
  <c r="T100" i="2"/>
  <c r="U99" i="2"/>
  <c r="T99" i="2"/>
  <c r="U98" i="2"/>
  <c r="T98" i="2"/>
  <c r="U97" i="2"/>
  <c r="T97" i="2"/>
  <c r="U96" i="2"/>
  <c r="T96" i="2"/>
  <c r="U95" i="2"/>
  <c r="T95" i="2"/>
  <c r="U94" i="2"/>
  <c r="T94" i="2"/>
  <c r="U93" i="2"/>
  <c r="T93" i="2"/>
  <c r="U92" i="2"/>
  <c r="T92" i="2"/>
  <c r="U91" i="2"/>
  <c r="T91" i="2"/>
  <c r="U90" i="2"/>
  <c r="T90" i="2"/>
  <c r="U89" i="2"/>
  <c r="T89" i="2"/>
  <c r="U88" i="2"/>
  <c r="T88" i="2"/>
  <c r="U87" i="2"/>
  <c r="T87" i="2"/>
  <c r="U86" i="2"/>
  <c r="T86" i="2"/>
  <c r="U85" i="2"/>
  <c r="T85" i="2"/>
  <c r="U84" i="2"/>
  <c r="T84" i="2"/>
  <c r="U83" i="2"/>
  <c r="T83" i="2"/>
  <c r="U82" i="2"/>
  <c r="T82" i="2"/>
  <c r="U81" i="2"/>
  <c r="T81" i="2"/>
  <c r="U80" i="2"/>
  <c r="T80" i="2"/>
  <c r="U79" i="2"/>
  <c r="T79" i="2"/>
  <c r="U78" i="2"/>
  <c r="T78" i="2"/>
  <c r="U77" i="2"/>
  <c r="T77" i="2"/>
  <c r="U76" i="2"/>
  <c r="T76" i="2"/>
  <c r="U75" i="2"/>
  <c r="T75" i="2"/>
  <c r="U74" i="2"/>
  <c r="T74" i="2"/>
  <c r="U73" i="2"/>
  <c r="T73" i="2"/>
  <c r="U72" i="2"/>
  <c r="T72" i="2"/>
  <c r="U71" i="2"/>
  <c r="T71" i="2"/>
  <c r="U70" i="2"/>
  <c r="T70" i="2"/>
  <c r="U69" i="2"/>
  <c r="T69" i="2"/>
  <c r="U68" i="2"/>
  <c r="T68" i="2"/>
  <c r="U67" i="2"/>
  <c r="T67" i="2"/>
  <c r="U66" i="2"/>
  <c r="T66" i="2"/>
  <c r="U65" i="2"/>
  <c r="T65" i="2"/>
  <c r="U64" i="2"/>
  <c r="T64" i="2"/>
  <c r="U63" i="2"/>
  <c r="T63" i="2"/>
  <c r="U62" i="2"/>
  <c r="T62" i="2"/>
  <c r="U61" i="2"/>
  <c r="T61" i="2"/>
  <c r="U60" i="2"/>
  <c r="T60" i="2"/>
  <c r="U59" i="2"/>
  <c r="T59" i="2"/>
  <c r="U58" i="2"/>
  <c r="T58" i="2"/>
  <c r="U57" i="2"/>
  <c r="T57" i="2"/>
  <c r="U56" i="2"/>
  <c r="T56" i="2"/>
  <c r="U55" i="2"/>
  <c r="T55" i="2"/>
  <c r="U54" i="2"/>
  <c r="T54" i="2"/>
  <c r="U53" i="2"/>
  <c r="T53" i="2"/>
  <c r="U52" i="2"/>
  <c r="T52" i="2"/>
  <c r="U51" i="2"/>
  <c r="T51" i="2"/>
  <c r="U50" i="2"/>
  <c r="T50" i="2"/>
  <c r="U49" i="2"/>
  <c r="T49" i="2"/>
  <c r="U48" i="2"/>
  <c r="T48" i="2"/>
  <c r="U47" i="2"/>
  <c r="T47" i="2"/>
  <c r="U46" i="2"/>
  <c r="T46" i="2"/>
  <c r="U45" i="2"/>
  <c r="T45" i="2"/>
  <c r="U44" i="2"/>
  <c r="T44" i="2"/>
  <c r="U43" i="2"/>
  <c r="T43" i="2"/>
  <c r="U42" i="2"/>
  <c r="T42" i="2"/>
  <c r="U41" i="2"/>
  <c r="T41" i="2"/>
  <c r="U40" i="2"/>
  <c r="T40" i="2"/>
  <c r="U39" i="2"/>
  <c r="T39" i="2"/>
  <c r="U38" i="2"/>
  <c r="T38" i="2"/>
  <c r="U37" i="2"/>
  <c r="T37" i="2"/>
  <c r="U36" i="2"/>
  <c r="T36" i="2"/>
  <c r="U35" i="2"/>
  <c r="T35" i="2"/>
  <c r="U34" i="2"/>
  <c r="T34" i="2"/>
  <c r="U33" i="2"/>
  <c r="T33" i="2"/>
  <c r="U32" i="2"/>
  <c r="T32" i="2"/>
  <c r="U31" i="2"/>
  <c r="T31" i="2"/>
  <c r="U30" i="2"/>
  <c r="T30" i="2"/>
  <c r="U29" i="2"/>
  <c r="T29" i="2"/>
  <c r="U28" i="2"/>
  <c r="T28" i="2"/>
  <c r="U27" i="2"/>
  <c r="T27" i="2"/>
  <c r="U26" i="2"/>
  <c r="T26" i="2"/>
  <c r="U25" i="2"/>
  <c r="T25" i="2"/>
  <c r="U24" i="2"/>
  <c r="T24" i="2"/>
  <c r="U23" i="2"/>
  <c r="T23" i="2"/>
  <c r="U22" i="2"/>
  <c r="T22" i="2"/>
  <c r="U21" i="2"/>
  <c r="T21" i="2"/>
  <c r="U20" i="2"/>
  <c r="T20" i="2"/>
  <c r="U19" i="2"/>
  <c r="T19" i="2"/>
  <c r="U18" i="2"/>
  <c r="T18" i="2"/>
  <c r="U17" i="2"/>
  <c r="T17" i="2"/>
  <c r="U16" i="2"/>
  <c r="T16" i="2"/>
  <c r="U15" i="2"/>
  <c r="T15" i="2"/>
  <c r="U14" i="2"/>
  <c r="T14" i="2"/>
  <c r="U13" i="2"/>
  <c r="T13" i="2"/>
  <c r="U12" i="2"/>
  <c r="T12" i="2"/>
  <c r="U11" i="2"/>
  <c r="T11" i="2"/>
  <c r="U10" i="2"/>
  <c r="T10" i="2"/>
  <c r="U9" i="2"/>
  <c r="T9" i="2"/>
  <c r="U8" i="2"/>
  <c r="T8" i="2"/>
  <c r="U7" i="2"/>
  <c r="T7" i="2"/>
  <c r="U6" i="2"/>
  <c r="T6" i="2"/>
  <c r="U5" i="2"/>
  <c r="T5" i="2"/>
  <c r="U4" i="2"/>
  <c r="T4" i="2"/>
  <c r="U3" i="2"/>
  <c r="T3" i="2"/>
  <c r="U2" i="2"/>
  <c r="T2" i="2"/>
  <c r="AE499" i="1"/>
  <c r="AG499" i="1"/>
  <c r="AF499" i="1"/>
  <c r="AD499" i="1"/>
  <c r="AE498" i="1"/>
  <c r="AG498" i="1"/>
  <c r="AF498" i="1"/>
  <c r="AD498" i="1"/>
  <c r="AE497" i="1"/>
  <c r="AG497" i="1"/>
  <c r="AF497" i="1"/>
  <c r="AD497" i="1"/>
  <c r="AE496" i="1"/>
  <c r="AG496" i="1"/>
  <c r="AF496" i="1"/>
  <c r="AD496" i="1"/>
  <c r="AE495" i="1"/>
  <c r="AG495" i="1"/>
  <c r="AF495" i="1"/>
  <c r="AD495" i="1"/>
  <c r="AE494" i="1"/>
  <c r="AG494" i="1"/>
  <c r="AF494" i="1"/>
  <c r="AD494" i="1"/>
  <c r="AE493" i="1"/>
  <c r="AG493" i="1"/>
  <c r="AF493" i="1"/>
  <c r="AD493" i="1"/>
  <c r="AE492" i="1"/>
  <c r="AG492" i="1"/>
  <c r="AF492" i="1"/>
  <c r="AD492" i="1"/>
  <c r="AE491" i="1"/>
  <c r="AG491" i="1"/>
  <c r="AF491" i="1"/>
  <c r="AD491" i="1"/>
  <c r="AE490" i="1"/>
  <c r="AG490" i="1"/>
  <c r="AF490" i="1"/>
  <c r="AD490" i="1"/>
  <c r="AE489" i="1"/>
  <c r="AG489" i="1"/>
  <c r="AF489" i="1"/>
  <c r="AD489" i="1"/>
  <c r="AE488" i="1"/>
  <c r="AG488" i="1"/>
  <c r="AF488" i="1"/>
  <c r="AD488" i="1"/>
  <c r="AE487" i="1"/>
  <c r="AG487" i="1"/>
  <c r="AF487" i="1"/>
  <c r="AD487" i="1"/>
  <c r="AE486" i="1"/>
  <c r="AG486" i="1"/>
  <c r="AF486" i="1"/>
  <c r="AD486" i="1"/>
  <c r="AE485" i="1"/>
  <c r="AG485" i="1"/>
  <c r="AF485" i="1"/>
  <c r="AD485" i="1"/>
  <c r="AE484" i="1"/>
  <c r="AG484" i="1"/>
  <c r="AF484" i="1"/>
  <c r="AD484" i="1"/>
  <c r="AE483" i="1"/>
  <c r="AG483" i="1"/>
  <c r="AF483" i="1"/>
  <c r="AD483" i="1"/>
  <c r="AE482" i="1"/>
  <c r="AG482" i="1"/>
  <c r="AF482" i="1"/>
  <c r="AD482" i="1"/>
  <c r="AE481" i="1"/>
  <c r="AG481" i="1"/>
  <c r="AF481" i="1"/>
  <c r="AD481" i="1"/>
  <c r="AE480" i="1"/>
  <c r="AG480" i="1"/>
  <c r="AF480" i="1"/>
  <c r="AD480" i="1"/>
  <c r="AE479" i="1"/>
  <c r="AG479" i="1"/>
  <c r="AF479" i="1"/>
  <c r="AD479" i="1"/>
  <c r="AE478" i="1"/>
  <c r="AG478" i="1"/>
  <c r="AF478" i="1"/>
  <c r="AD478" i="1"/>
  <c r="AE477" i="1"/>
  <c r="AG477" i="1"/>
  <c r="AF477" i="1"/>
  <c r="AD477" i="1"/>
  <c r="AE476" i="1"/>
  <c r="AG476" i="1"/>
  <c r="AF476" i="1"/>
  <c r="AD476" i="1"/>
  <c r="AE475" i="1"/>
  <c r="AG475" i="1"/>
  <c r="AF475" i="1"/>
  <c r="AD475" i="1"/>
  <c r="AE474" i="1"/>
  <c r="AG474" i="1"/>
  <c r="AF474" i="1"/>
  <c r="AD474" i="1"/>
  <c r="AE473" i="1"/>
  <c r="AG473" i="1"/>
  <c r="AF473" i="1"/>
  <c r="AD473" i="1"/>
  <c r="AE472" i="1"/>
  <c r="AG472" i="1"/>
  <c r="AF472" i="1"/>
  <c r="AD472" i="1"/>
  <c r="AE471" i="1"/>
  <c r="AG471" i="1"/>
  <c r="AF471" i="1"/>
  <c r="AD471" i="1"/>
  <c r="AE470" i="1"/>
  <c r="AG470" i="1"/>
  <c r="AF470" i="1"/>
  <c r="AD470" i="1"/>
  <c r="AE469" i="1"/>
  <c r="AG469" i="1"/>
  <c r="AF469" i="1"/>
  <c r="AD469" i="1"/>
  <c r="AE468" i="1"/>
  <c r="AG468" i="1"/>
  <c r="AF468" i="1"/>
  <c r="AD468" i="1"/>
  <c r="AE467" i="1"/>
  <c r="AG467" i="1"/>
  <c r="AF467" i="1"/>
  <c r="AD467" i="1"/>
  <c r="AE466" i="1"/>
  <c r="AG466" i="1"/>
  <c r="AF466" i="1"/>
  <c r="AD466" i="1"/>
  <c r="AE465" i="1"/>
  <c r="AG465" i="1"/>
  <c r="AF465" i="1"/>
  <c r="AD465" i="1"/>
  <c r="AE464" i="1"/>
  <c r="AG464" i="1"/>
  <c r="AF464" i="1"/>
  <c r="AD464" i="1"/>
  <c r="AE463" i="1"/>
  <c r="AG463" i="1"/>
  <c r="AF463" i="1"/>
  <c r="AD463" i="1"/>
  <c r="AE462" i="1"/>
  <c r="AG462" i="1"/>
  <c r="AF462" i="1"/>
  <c r="AD462" i="1"/>
  <c r="AE461" i="1"/>
  <c r="AG461" i="1"/>
  <c r="AF461" i="1"/>
  <c r="AD461" i="1"/>
  <c r="AE460" i="1"/>
  <c r="AG460" i="1"/>
  <c r="AF460" i="1"/>
  <c r="AD460" i="1"/>
  <c r="AE459" i="1"/>
  <c r="AG459" i="1"/>
  <c r="AF459" i="1"/>
  <c r="AD459" i="1"/>
  <c r="AE458" i="1"/>
  <c r="AG458" i="1"/>
  <c r="AF458" i="1"/>
  <c r="AD458" i="1"/>
  <c r="AE457" i="1"/>
  <c r="AG457" i="1"/>
  <c r="AF457" i="1"/>
  <c r="AD457" i="1"/>
  <c r="AE456" i="1"/>
  <c r="AG456" i="1"/>
  <c r="AF456" i="1"/>
  <c r="AD456" i="1"/>
  <c r="AE455" i="1"/>
  <c r="AG455" i="1"/>
  <c r="AF455" i="1"/>
  <c r="AD455" i="1"/>
  <c r="AE454" i="1"/>
  <c r="AG454" i="1"/>
  <c r="AF454" i="1"/>
  <c r="AD454" i="1"/>
  <c r="AE453" i="1"/>
  <c r="AG453" i="1"/>
  <c r="AF453" i="1"/>
  <c r="AD453" i="1"/>
  <c r="AE452" i="1"/>
  <c r="AG452" i="1"/>
  <c r="AF452" i="1"/>
  <c r="AD452" i="1"/>
  <c r="AE451" i="1"/>
  <c r="AG451" i="1"/>
  <c r="AF451" i="1"/>
  <c r="AD451" i="1"/>
  <c r="AE450" i="1"/>
  <c r="AG450" i="1"/>
  <c r="AF450" i="1"/>
  <c r="AD450" i="1"/>
  <c r="AE449" i="1"/>
  <c r="AG449" i="1"/>
  <c r="AF449" i="1"/>
  <c r="AD449" i="1"/>
  <c r="AE448" i="1"/>
  <c r="AG448" i="1"/>
  <c r="AF448" i="1"/>
  <c r="AD448" i="1"/>
  <c r="AE447" i="1"/>
  <c r="AG447" i="1"/>
  <c r="AF447" i="1"/>
  <c r="AD447" i="1"/>
  <c r="AE446" i="1"/>
  <c r="AG446" i="1"/>
  <c r="AF446" i="1"/>
  <c r="AD446" i="1"/>
  <c r="AE445" i="1"/>
  <c r="AG445" i="1"/>
  <c r="AF445" i="1"/>
  <c r="AD445" i="1"/>
  <c r="AE444" i="1"/>
  <c r="AG444" i="1"/>
  <c r="AF444" i="1"/>
  <c r="AD444" i="1"/>
  <c r="AE443" i="1"/>
  <c r="AG443" i="1"/>
  <c r="AF443" i="1"/>
  <c r="AD443" i="1"/>
  <c r="AE442" i="1"/>
  <c r="AG442" i="1"/>
  <c r="AF442" i="1"/>
  <c r="AD442" i="1"/>
  <c r="AE441" i="1"/>
  <c r="AG441" i="1"/>
  <c r="AF441" i="1"/>
  <c r="AD441" i="1"/>
  <c r="AE440" i="1"/>
  <c r="AG440" i="1"/>
  <c r="AF440" i="1"/>
  <c r="AD440" i="1"/>
  <c r="AE439" i="1"/>
  <c r="AG439" i="1"/>
  <c r="AF439" i="1"/>
  <c r="AD439" i="1"/>
  <c r="AE438" i="1"/>
  <c r="AG438" i="1"/>
  <c r="AF438" i="1"/>
  <c r="AD438" i="1"/>
  <c r="AE437" i="1"/>
  <c r="AG437" i="1"/>
  <c r="AF437" i="1"/>
  <c r="AD437" i="1"/>
  <c r="AE436" i="1"/>
  <c r="AG436" i="1"/>
  <c r="AF436" i="1"/>
  <c r="AD436" i="1"/>
  <c r="AE435" i="1"/>
  <c r="AG435" i="1"/>
  <c r="AF435" i="1"/>
  <c r="AD435" i="1"/>
  <c r="AE434" i="1"/>
  <c r="AG434" i="1"/>
  <c r="AF434" i="1"/>
  <c r="AD434" i="1"/>
  <c r="AE433" i="1"/>
  <c r="AG433" i="1"/>
  <c r="AF433" i="1"/>
  <c r="AD433" i="1"/>
  <c r="AE432" i="1"/>
  <c r="AG432" i="1"/>
  <c r="AF432" i="1"/>
  <c r="AD432" i="1"/>
  <c r="AE431" i="1"/>
  <c r="AG431" i="1"/>
  <c r="AF431" i="1"/>
  <c r="AD431" i="1"/>
  <c r="AE430" i="1"/>
  <c r="AG430" i="1"/>
  <c r="AF430" i="1"/>
  <c r="AD430" i="1"/>
  <c r="AE429" i="1"/>
  <c r="AG429" i="1"/>
  <c r="AF429" i="1"/>
  <c r="AD429" i="1"/>
  <c r="AE428" i="1"/>
  <c r="AG428" i="1"/>
  <c r="AF428" i="1"/>
  <c r="AD428" i="1"/>
  <c r="AE427" i="1"/>
  <c r="AG427" i="1"/>
  <c r="AF427" i="1"/>
  <c r="AD427" i="1"/>
  <c r="AE426" i="1"/>
  <c r="AG426" i="1"/>
  <c r="AF426" i="1"/>
  <c r="AD426" i="1"/>
  <c r="AE425" i="1"/>
  <c r="AG425" i="1"/>
  <c r="AF425" i="1"/>
  <c r="AD425" i="1"/>
  <c r="AE424" i="1"/>
  <c r="AG424" i="1"/>
  <c r="AF424" i="1"/>
  <c r="AD424" i="1"/>
  <c r="AE423" i="1"/>
  <c r="AG423" i="1"/>
  <c r="AF423" i="1"/>
  <c r="AD423" i="1"/>
  <c r="AE422" i="1"/>
  <c r="AG422" i="1"/>
  <c r="AF422" i="1"/>
  <c r="AD422" i="1"/>
  <c r="AE421" i="1"/>
  <c r="AG421" i="1"/>
  <c r="AF421" i="1"/>
  <c r="AD421" i="1"/>
  <c r="AE420" i="1"/>
  <c r="AG420" i="1"/>
  <c r="AF420" i="1"/>
  <c r="AD420" i="1"/>
  <c r="AE419" i="1"/>
  <c r="AG419" i="1"/>
  <c r="AF419" i="1"/>
  <c r="AD419" i="1"/>
  <c r="AE418" i="1"/>
  <c r="AG418" i="1"/>
  <c r="AF418" i="1"/>
  <c r="AD418" i="1"/>
  <c r="AE417" i="1"/>
  <c r="AG417" i="1"/>
  <c r="AF417" i="1"/>
  <c r="AD417" i="1"/>
  <c r="AE416" i="1"/>
  <c r="AG416" i="1"/>
  <c r="AF416" i="1"/>
  <c r="AD416" i="1"/>
  <c r="AE415" i="1"/>
  <c r="AG415" i="1"/>
  <c r="AF415" i="1"/>
  <c r="AD415" i="1"/>
  <c r="AE414" i="1"/>
  <c r="AG414" i="1"/>
  <c r="AF414" i="1"/>
  <c r="AD414" i="1"/>
  <c r="AE413" i="1"/>
  <c r="AG413" i="1"/>
  <c r="AF413" i="1"/>
  <c r="AD413" i="1"/>
  <c r="AE412" i="1"/>
  <c r="AG412" i="1"/>
  <c r="AF412" i="1"/>
  <c r="AD412" i="1"/>
  <c r="AE411" i="1"/>
  <c r="AG411" i="1"/>
  <c r="AF411" i="1"/>
  <c r="AD411" i="1"/>
  <c r="AE410" i="1"/>
  <c r="AG410" i="1"/>
  <c r="AF410" i="1"/>
  <c r="AD410" i="1"/>
  <c r="AE409" i="1"/>
  <c r="AG409" i="1"/>
  <c r="AF409" i="1"/>
  <c r="AD409" i="1"/>
  <c r="AE408" i="1"/>
  <c r="AG408" i="1"/>
  <c r="AF408" i="1"/>
  <c r="AD408" i="1"/>
  <c r="AE407" i="1"/>
  <c r="AG407" i="1"/>
  <c r="AF407" i="1"/>
  <c r="AD407" i="1"/>
  <c r="AE406" i="1"/>
  <c r="AG406" i="1"/>
  <c r="AF406" i="1"/>
  <c r="AD406" i="1"/>
  <c r="AE405" i="1"/>
  <c r="AG405" i="1"/>
  <c r="AF405" i="1"/>
  <c r="AD405" i="1"/>
  <c r="AE404" i="1"/>
  <c r="AG404" i="1"/>
  <c r="AF404" i="1"/>
  <c r="AD404" i="1"/>
  <c r="AE403" i="1"/>
  <c r="AG403" i="1"/>
  <c r="AF403" i="1"/>
  <c r="AD403" i="1"/>
  <c r="AE402" i="1"/>
  <c r="AG402" i="1"/>
  <c r="AF402" i="1"/>
  <c r="AD402" i="1"/>
  <c r="AE401" i="1"/>
  <c r="AG401" i="1"/>
  <c r="AF401" i="1"/>
  <c r="AD401" i="1"/>
  <c r="AE400" i="1"/>
  <c r="AG400" i="1"/>
  <c r="AF400" i="1"/>
  <c r="AD400" i="1"/>
  <c r="AE399" i="1"/>
  <c r="AG399" i="1"/>
  <c r="AF399" i="1"/>
  <c r="AD399" i="1"/>
  <c r="AE398" i="1"/>
  <c r="AG398" i="1"/>
  <c r="AF398" i="1"/>
  <c r="AD398" i="1"/>
  <c r="AE397" i="1"/>
  <c r="AG397" i="1"/>
  <c r="AF397" i="1"/>
  <c r="AD397" i="1"/>
  <c r="AE396" i="1"/>
  <c r="AG396" i="1"/>
  <c r="AF396" i="1"/>
  <c r="AD396" i="1"/>
  <c r="AE395" i="1"/>
  <c r="AG395" i="1"/>
  <c r="AF395" i="1"/>
  <c r="AD395" i="1"/>
  <c r="AE394" i="1"/>
  <c r="AG394" i="1"/>
  <c r="AF394" i="1"/>
  <c r="AD394" i="1"/>
  <c r="AE393" i="1"/>
  <c r="AG393" i="1"/>
  <c r="AF393" i="1"/>
  <c r="AD393" i="1"/>
  <c r="AE392" i="1"/>
  <c r="AG392" i="1"/>
  <c r="AF392" i="1"/>
  <c r="AD392" i="1"/>
  <c r="AE391" i="1"/>
  <c r="AG391" i="1"/>
  <c r="AF391" i="1"/>
  <c r="AD391" i="1"/>
  <c r="AE390" i="1"/>
  <c r="AG390" i="1"/>
  <c r="AF390" i="1"/>
  <c r="AD390" i="1"/>
  <c r="AE389" i="1"/>
  <c r="AG389" i="1"/>
  <c r="AF389" i="1"/>
  <c r="AD389" i="1"/>
  <c r="AE388" i="1"/>
  <c r="AG388" i="1"/>
  <c r="AF388" i="1"/>
  <c r="AD388" i="1"/>
  <c r="AE387" i="1"/>
  <c r="AG387" i="1"/>
  <c r="AF387" i="1"/>
  <c r="AD387" i="1"/>
  <c r="AE386" i="1"/>
  <c r="AG386" i="1"/>
  <c r="AF386" i="1"/>
  <c r="AD386" i="1"/>
  <c r="AE385" i="1"/>
  <c r="AG385" i="1"/>
  <c r="AF385" i="1"/>
  <c r="AD385" i="1"/>
  <c r="AE384" i="1"/>
  <c r="AG384" i="1"/>
  <c r="AF384" i="1"/>
  <c r="AD384" i="1"/>
  <c r="AE383" i="1"/>
  <c r="AG383" i="1"/>
  <c r="AF383" i="1"/>
  <c r="AD383" i="1"/>
  <c r="AE382" i="1"/>
  <c r="AG382" i="1"/>
  <c r="AF382" i="1"/>
  <c r="AD382" i="1"/>
  <c r="AE381" i="1"/>
  <c r="AG381" i="1"/>
  <c r="AF381" i="1"/>
  <c r="AD381" i="1"/>
  <c r="AE380" i="1"/>
  <c r="AG380" i="1"/>
  <c r="AF380" i="1"/>
  <c r="AD380" i="1"/>
  <c r="AE379" i="1"/>
  <c r="AG379" i="1"/>
  <c r="AF379" i="1"/>
  <c r="AD379" i="1"/>
  <c r="AE378" i="1"/>
  <c r="AG378" i="1"/>
  <c r="AF378" i="1"/>
  <c r="AD378" i="1"/>
  <c r="AE377" i="1"/>
  <c r="AG377" i="1"/>
  <c r="AF377" i="1"/>
  <c r="AD377" i="1"/>
  <c r="AE376" i="1"/>
  <c r="AG376" i="1"/>
  <c r="AF376" i="1"/>
  <c r="AD376" i="1"/>
  <c r="AE375" i="1"/>
  <c r="AG375" i="1"/>
  <c r="AF375" i="1"/>
  <c r="AD375" i="1"/>
  <c r="AE374" i="1"/>
  <c r="AG374" i="1"/>
  <c r="AF374" i="1"/>
  <c r="AD374" i="1"/>
  <c r="AE373" i="1"/>
  <c r="AG373" i="1"/>
  <c r="AF373" i="1"/>
  <c r="AD373" i="1"/>
  <c r="AE372" i="1"/>
  <c r="AG372" i="1"/>
  <c r="AF372" i="1"/>
  <c r="AD372" i="1"/>
  <c r="AE371" i="1"/>
  <c r="AG371" i="1"/>
  <c r="AF371" i="1"/>
  <c r="AD371" i="1"/>
  <c r="AE370" i="1"/>
  <c r="AG370" i="1"/>
  <c r="AF370" i="1"/>
  <c r="AD370" i="1"/>
  <c r="AE369" i="1"/>
  <c r="AG369" i="1"/>
  <c r="AF369" i="1"/>
  <c r="AD369" i="1"/>
  <c r="AE368" i="1"/>
  <c r="AG368" i="1"/>
  <c r="AF368" i="1"/>
  <c r="AD368" i="1"/>
  <c r="AE367" i="1"/>
  <c r="AG367" i="1"/>
  <c r="AF367" i="1"/>
  <c r="AD367" i="1"/>
  <c r="AE366" i="1"/>
  <c r="AG366" i="1"/>
  <c r="AF366" i="1"/>
  <c r="AD366" i="1"/>
  <c r="AE365" i="1"/>
  <c r="AG365" i="1"/>
  <c r="AF365" i="1"/>
  <c r="AD365" i="1"/>
  <c r="AE364" i="1"/>
  <c r="AG364" i="1"/>
  <c r="AF364" i="1"/>
  <c r="AD364" i="1"/>
  <c r="AE363" i="1"/>
  <c r="AG363" i="1"/>
  <c r="AF363" i="1"/>
  <c r="AD363" i="1"/>
  <c r="AE362" i="1"/>
  <c r="AG362" i="1"/>
  <c r="AF362" i="1"/>
  <c r="AD362" i="1"/>
  <c r="AE361" i="1"/>
  <c r="AG361" i="1"/>
  <c r="AF361" i="1"/>
  <c r="AD361" i="1"/>
  <c r="AE360" i="1"/>
  <c r="AG360" i="1"/>
  <c r="AF360" i="1"/>
  <c r="AD360" i="1"/>
  <c r="AE359" i="1"/>
  <c r="AG359" i="1"/>
  <c r="AF359" i="1"/>
  <c r="AD359" i="1"/>
  <c r="AE358" i="1"/>
  <c r="AG358" i="1"/>
  <c r="AF358" i="1"/>
  <c r="AD358" i="1"/>
  <c r="AE357" i="1"/>
  <c r="AG357" i="1"/>
  <c r="AF357" i="1"/>
  <c r="AD357" i="1"/>
  <c r="AE356" i="1"/>
  <c r="AG356" i="1"/>
  <c r="AF356" i="1"/>
  <c r="AD356" i="1"/>
  <c r="AE355" i="1"/>
  <c r="AG355" i="1"/>
  <c r="AF355" i="1"/>
  <c r="AD355" i="1"/>
  <c r="AE354" i="1"/>
  <c r="AG354" i="1"/>
  <c r="AF354" i="1"/>
  <c r="AD354" i="1"/>
  <c r="AE353" i="1"/>
  <c r="AG353" i="1"/>
  <c r="AF353" i="1"/>
  <c r="AD353" i="1"/>
  <c r="AE352" i="1"/>
  <c r="AG352" i="1"/>
  <c r="AF352" i="1"/>
  <c r="AD352" i="1"/>
  <c r="AE351" i="1"/>
  <c r="AG351" i="1"/>
  <c r="AF351" i="1"/>
  <c r="AD351" i="1"/>
  <c r="AE350" i="1"/>
  <c r="AG350" i="1"/>
  <c r="AF350" i="1"/>
  <c r="AD350" i="1"/>
  <c r="AE349" i="1"/>
  <c r="AG349" i="1"/>
  <c r="AF349" i="1"/>
  <c r="AD349" i="1"/>
  <c r="AE348" i="1"/>
  <c r="AG348" i="1"/>
  <c r="AF348" i="1"/>
  <c r="AD348" i="1"/>
  <c r="AE347" i="1"/>
  <c r="AG347" i="1"/>
  <c r="AF347" i="1"/>
  <c r="AD347" i="1"/>
  <c r="AE346" i="1"/>
  <c r="AG346" i="1"/>
  <c r="AF346" i="1"/>
  <c r="AD346" i="1"/>
  <c r="AE345" i="1"/>
  <c r="AG345" i="1"/>
  <c r="AF345" i="1"/>
  <c r="AD345" i="1"/>
  <c r="AE344" i="1"/>
  <c r="AG344" i="1"/>
  <c r="AF344" i="1"/>
  <c r="AD344" i="1"/>
  <c r="AE343" i="1"/>
  <c r="AG343" i="1"/>
  <c r="AF343" i="1"/>
  <c r="AD343" i="1"/>
  <c r="AE342" i="1"/>
  <c r="AG342" i="1"/>
  <c r="AF342" i="1"/>
  <c r="AD342" i="1"/>
  <c r="AE341" i="1"/>
  <c r="AG341" i="1"/>
  <c r="AF341" i="1"/>
  <c r="AD341" i="1"/>
  <c r="AE340" i="1"/>
  <c r="AG340" i="1"/>
  <c r="AF340" i="1"/>
  <c r="AD340" i="1"/>
  <c r="AE339" i="1"/>
  <c r="AG339" i="1"/>
  <c r="AF339" i="1"/>
  <c r="AD339" i="1"/>
  <c r="AE338" i="1"/>
  <c r="AG338" i="1"/>
  <c r="AF338" i="1"/>
  <c r="AD338" i="1"/>
  <c r="AE337" i="1"/>
  <c r="AG337" i="1"/>
  <c r="AF337" i="1"/>
  <c r="AD337" i="1"/>
  <c r="AE336" i="1"/>
  <c r="AG336" i="1"/>
  <c r="AF336" i="1"/>
  <c r="AD336" i="1"/>
  <c r="AE335" i="1"/>
  <c r="AG335" i="1"/>
  <c r="AF335" i="1"/>
  <c r="AD335" i="1"/>
  <c r="AE334" i="1"/>
  <c r="AG334" i="1"/>
  <c r="AF334" i="1"/>
  <c r="AD334" i="1"/>
  <c r="AE333" i="1"/>
  <c r="AG333" i="1"/>
  <c r="AF333" i="1"/>
  <c r="AD333" i="1"/>
  <c r="AE332" i="1"/>
  <c r="AG332" i="1"/>
  <c r="AF332" i="1"/>
  <c r="AD332" i="1"/>
  <c r="AE331" i="1"/>
  <c r="AG331" i="1"/>
  <c r="AF331" i="1"/>
  <c r="AD331" i="1"/>
  <c r="AE330" i="1"/>
  <c r="AG330" i="1"/>
  <c r="AF330" i="1"/>
  <c r="AD330" i="1"/>
  <c r="AE329" i="1"/>
  <c r="AG329" i="1"/>
  <c r="AF329" i="1"/>
  <c r="AD329" i="1"/>
  <c r="AE328" i="1"/>
  <c r="AG328" i="1"/>
  <c r="AF328" i="1"/>
  <c r="AD328" i="1"/>
  <c r="AE327" i="1"/>
  <c r="AG327" i="1"/>
  <c r="AF327" i="1"/>
  <c r="AD327" i="1"/>
  <c r="AE326" i="1"/>
  <c r="AG326" i="1"/>
  <c r="AF326" i="1"/>
  <c r="AD326" i="1"/>
  <c r="AE325" i="1"/>
  <c r="AG325" i="1"/>
  <c r="AF325" i="1"/>
  <c r="AD325" i="1"/>
  <c r="AE324" i="1"/>
  <c r="AG324" i="1"/>
  <c r="AF324" i="1"/>
  <c r="AD324" i="1"/>
  <c r="AE323" i="1"/>
  <c r="AG323" i="1"/>
  <c r="AF323" i="1"/>
  <c r="AD323" i="1"/>
  <c r="AE322" i="1"/>
  <c r="AG322" i="1"/>
  <c r="AF322" i="1"/>
  <c r="AD322" i="1"/>
  <c r="AE321" i="1"/>
  <c r="AG321" i="1"/>
  <c r="AF321" i="1"/>
  <c r="AD321" i="1"/>
  <c r="AE320" i="1"/>
  <c r="AG320" i="1"/>
  <c r="AF320" i="1"/>
  <c r="AD320" i="1"/>
  <c r="AE319" i="1"/>
  <c r="AG319" i="1"/>
  <c r="AF319" i="1"/>
  <c r="AD319" i="1"/>
  <c r="AE318" i="1"/>
  <c r="AG318" i="1"/>
  <c r="AF318" i="1"/>
  <c r="AD318" i="1"/>
  <c r="AE317" i="1"/>
  <c r="AG317" i="1"/>
  <c r="AF317" i="1"/>
  <c r="AD317" i="1"/>
  <c r="AE316" i="1"/>
  <c r="AG316" i="1"/>
  <c r="AF316" i="1"/>
  <c r="AD316" i="1"/>
  <c r="AE315" i="1"/>
  <c r="AG315" i="1"/>
  <c r="AF315" i="1"/>
  <c r="AD315" i="1"/>
  <c r="AE314" i="1"/>
  <c r="AG314" i="1"/>
  <c r="AF314" i="1"/>
  <c r="AD314" i="1"/>
  <c r="AE313" i="1"/>
  <c r="AG313" i="1"/>
  <c r="AF313" i="1"/>
  <c r="AD313" i="1"/>
  <c r="AE312" i="1"/>
  <c r="AG312" i="1"/>
  <c r="AF312" i="1"/>
  <c r="AD312" i="1"/>
  <c r="AE311" i="1"/>
  <c r="AG311" i="1"/>
  <c r="AF311" i="1"/>
  <c r="AD311" i="1"/>
  <c r="AE310" i="1"/>
  <c r="AG310" i="1"/>
  <c r="AF310" i="1"/>
  <c r="AD310" i="1"/>
  <c r="AE309" i="1"/>
  <c r="AG309" i="1"/>
  <c r="AF309" i="1"/>
  <c r="AD309" i="1"/>
  <c r="AE308" i="1"/>
  <c r="AG308" i="1"/>
  <c r="AF308" i="1"/>
  <c r="AD308" i="1"/>
  <c r="AE307" i="1"/>
  <c r="AG307" i="1"/>
  <c r="AF307" i="1"/>
  <c r="AD307" i="1"/>
  <c r="AE306" i="1"/>
  <c r="AG306" i="1"/>
  <c r="AF306" i="1"/>
  <c r="AD306" i="1"/>
  <c r="AE305" i="1"/>
  <c r="AG305" i="1"/>
  <c r="AF305" i="1"/>
  <c r="AD305" i="1"/>
  <c r="AE304" i="1"/>
  <c r="AG304" i="1"/>
  <c r="AF304" i="1"/>
  <c r="AD304" i="1"/>
  <c r="AE303" i="1"/>
  <c r="AG303" i="1"/>
  <c r="AF303" i="1"/>
  <c r="AD303" i="1"/>
  <c r="AE302" i="1"/>
  <c r="AG302" i="1"/>
  <c r="AF302" i="1"/>
  <c r="AD302" i="1"/>
  <c r="AE301" i="1"/>
  <c r="AG301" i="1"/>
  <c r="AF301" i="1"/>
  <c r="AD301" i="1"/>
  <c r="AE300" i="1"/>
  <c r="AG300" i="1"/>
  <c r="AF300" i="1"/>
  <c r="AD300" i="1"/>
  <c r="AE299" i="1"/>
  <c r="AG299" i="1"/>
  <c r="AF299" i="1"/>
  <c r="AD299" i="1"/>
  <c r="AE298" i="1"/>
  <c r="AG298" i="1"/>
  <c r="AF298" i="1"/>
  <c r="AD298" i="1"/>
  <c r="AE297" i="1"/>
  <c r="AG297" i="1"/>
  <c r="AF297" i="1"/>
  <c r="AD297" i="1"/>
  <c r="AE296" i="1"/>
  <c r="AG296" i="1"/>
  <c r="AF296" i="1"/>
  <c r="AD296" i="1"/>
  <c r="AE295" i="1"/>
  <c r="AG295" i="1"/>
  <c r="AF295" i="1"/>
  <c r="AD295" i="1"/>
  <c r="AE294" i="1"/>
  <c r="AG294" i="1"/>
  <c r="AF294" i="1"/>
  <c r="AD294" i="1"/>
  <c r="AE293" i="1"/>
  <c r="AG293" i="1"/>
  <c r="AF293" i="1"/>
  <c r="AD293" i="1"/>
  <c r="AE292" i="1"/>
  <c r="AG292" i="1"/>
  <c r="AF292" i="1"/>
  <c r="AD292" i="1"/>
  <c r="AE291" i="1"/>
  <c r="AG291" i="1"/>
  <c r="AF291" i="1"/>
  <c r="AD291" i="1"/>
  <c r="AE290" i="1"/>
  <c r="AG290" i="1"/>
  <c r="AF290" i="1"/>
  <c r="AD290" i="1"/>
  <c r="AE289" i="1"/>
  <c r="AG289" i="1"/>
  <c r="AF289" i="1"/>
  <c r="AD289" i="1"/>
  <c r="AE288" i="1"/>
  <c r="AG288" i="1"/>
  <c r="AF288" i="1"/>
  <c r="AD288" i="1"/>
  <c r="AE287" i="1"/>
  <c r="AG287" i="1"/>
  <c r="AF287" i="1"/>
  <c r="AD287" i="1"/>
  <c r="AE286" i="1"/>
  <c r="AG286" i="1"/>
  <c r="AF286" i="1"/>
  <c r="AD286" i="1"/>
  <c r="AE285" i="1"/>
  <c r="AG285" i="1"/>
  <c r="AF285" i="1"/>
  <c r="AD285" i="1"/>
  <c r="AE284" i="1"/>
  <c r="AG284" i="1"/>
  <c r="AF284" i="1"/>
  <c r="AD284" i="1"/>
  <c r="AE283" i="1"/>
  <c r="AG283" i="1"/>
  <c r="AF283" i="1"/>
  <c r="AD283" i="1"/>
  <c r="AE282" i="1"/>
  <c r="AG282" i="1"/>
  <c r="AF282" i="1"/>
  <c r="AD282" i="1"/>
  <c r="AE281" i="1"/>
  <c r="AG281" i="1"/>
  <c r="AF281" i="1"/>
  <c r="AD281" i="1"/>
  <c r="AE280" i="1"/>
  <c r="AG280" i="1"/>
  <c r="AF280" i="1"/>
  <c r="AD280" i="1"/>
  <c r="AE279" i="1"/>
  <c r="AG279" i="1"/>
  <c r="AF279" i="1"/>
  <c r="AD279" i="1"/>
  <c r="AE278" i="1"/>
  <c r="AG278" i="1"/>
  <c r="AF278" i="1"/>
  <c r="AD278" i="1"/>
  <c r="AE277" i="1"/>
  <c r="AG277" i="1"/>
  <c r="AF277" i="1"/>
  <c r="AD277" i="1"/>
  <c r="AE276" i="1"/>
  <c r="AG276" i="1"/>
  <c r="AF276" i="1"/>
  <c r="AD276" i="1"/>
  <c r="AE275" i="1"/>
  <c r="AG275" i="1"/>
  <c r="AF275" i="1"/>
  <c r="AD275" i="1"/>
  <c r="AE274" i="1"/>
  <c r="AG274" i="1"/>
  <c r="AF274" i="1"/>
  <c r="AD274" i="1"/>
  <c r="AE273" i="1"/>
  <c r="AG273" i="1"/>
  <c r="AF273" i="1"/>
  <c r="AD273" i="1"/>
  <c r="AE272" i="1"/>
  <c r="AG272" i="1"/>
  <c r="AF272" i="1"/>
  <c r="AD272" i="1"/>
  <c r="AE271" i="1"/>
  <c r="AG271" i="1"/>
  <c r="AF271" i="1"/>
  <c r="AD271" i="1"/>
  <c r="AE270" i="1"/>
  <c r="AG270" i="1"/>
  <c r="AF270" i="1"/>
  <c r="AD270" i="1"/>
  <c r="AE269" i="1"/>
  <c r="AG269" i="1"/>
  <c r="AF269" i="1"/>
  <c r="AD269" i="1"/>
  <c r="AE268" i="1"/>
  <c r="AG268" i="1"/>
  <c r="AF268" i="1"/>
  <c r="AD268" i="1"/>
  <c r="AE267" i="1"/>
  <c r="AG267" i="1"/>
  <c r="AF267" i="1"/>
  <c r="AD267" i="1"/>
  <c r="AE266" i="1"/>
  <c r="AG266" i="1"/>
  <c r="AF266" i="1"/>
  <c r="AD266" i="1"/>
  <c r="AE265" i="1"/>
  <c r="AG265" i="1"/>
  <c r="AF265" i="1"/>
  <c r="AD265" i="1"/>
  <c r="AE264" i="1"/>
  <c r="AG264" i="1"/>
  <c r="AF264" i="1"/>
  <c r="AD264" i="1"/>
  <c r="AE263" i="1"/>
  <c r="AG263" i="1"/>
  <c r="AF263" i="1"/>
  <c r="AD263" i="1"/>
  <c r="AE262" i="1"/>
  <c r="AG262" i="1"/>
  <c r="AF262" i="1"/>
  <c r="AD262" i="1"/>
  <c r="AE261" i="1"/>
  <c r="AG261" i="1"/>
  <c r="AF261" i="1"/>
  <c r="AD261" i="1"/>
  <c r="AE260" i="1"/>
  <c r="AG260" i="1"/>
  <c r="AF260" i="1"/>
  <c r="AD260" i="1"/>
  <c r="AE259" i="1"/>
  <c r="AG259" i="1"/>
  <c r="AF259" i="1"/>
  <c r="AD259" i="1"/>
  <c r="AE258" i="1"/>
  <c r="AG258" i="1"/>
  <c r="AF258" i="1"/>
  <c r="AD258" i="1"/>
  <c r="AE257" i="1"/>
  <c r="AG257" i="1"/>
  <c r="AF257" i="1"/>
  <c r="AD257" i="1"/>
  <c r="AE256" i="1"/>
  <c r="AG256" i="1"/>
  <c r="AF256" i="1"/>
  <c r="AD256" i="1"/>
  <c r="AE255" i="1"/>
  <c r="AG255" i="1"/>
  <c r="AF255" i="1"/>
  <c r="AD255" i="1"/>
  <c r="AE254" i="1"/>
  <c r="AG254" i="1"/>
  <c r="AF254" i="1"/>
  <c r="AD254" i="1"/>
  <c r="AE253" i="1"/>
  <c r="AG253" i="1"/>
  <c r="AF253" i="1"/>
  <c r="AD253" i="1"/>
  <c r="AE252" i="1"/>
  <c r="AG252" i="1"/>
  <c r="AF252" i="1"/>
  <c r="AD252" i="1"/>
  <c r="AE251" i="1"/>
  <c r="AG251" i="1"/>
  <c r="AF251" i="1"/>
  <c r="AD251" i="1"/>
  <c r="AE250" i="1"/>
  <c r="AG250" i="1"/>
  <c r="AF250" i="1"/>
  <c r="AD250" i="1"/>
  <c r="AE249" i="1"/>
  <c r="AG249" i="1"/>
  <c r="AF249" i="1"/>
  <c r="AD249" i="1"/>
  <c r="AE248" i="1"/>
  <c r="AG248" i="1"/>
  <c r="AF248" i="1"/>
  <c r="AD248" i="1"/>
  <c r="AE247" i="1"/>
  <c r="AG247" i="1"/>
  <c r="AF247" i="1"/>
  <c r="AD247" i="1"/>
  <c r="AE246" i="1"/>
  <c r="AG246" i="1"/>
  <c r="AF246" i="1"/>
  <c r="AD246" i="1"/>
  <c r="AE245" i="1"/>
  <c r="AG245" i="1"/>
  <c r="AF245" i="1"/>
  <c r="AD245" i="1"/>
  <c r="AE244" i="1"/>
  <c r="AG244" i="1"/>
  <c r="AF244" i="1"/>
  <c r="AD244" i="1"/>
  <c r="AE243" i="1"/>
  <c r="AG243" i="1"/>
  <c r="AF243" i="1"/>
  <c r="AD243" i="1"/>
  <c r="AE242" i="1"/>
  <c r="AG242" i="1"/>
  <c r="AF242" i="1"/>
  <c r="AD242" i="1"/>
  <c r="AE241" i="1"/>
  <c r="AG241" i="1"/>
  <c r="AF241" i="1"/>
  <c r="AD241" i="1"/>
  <c r="AE240" i="1"/>
  <c r="AG240" i="1"/>
  <c r="AF240" i="1"/>
  <c r="AD240" i="1"/>
  <c r="AE239" i="1"/>
  <c r="AG239" i="1"/>
  <c r="AF239" i="1"/>
  <c r="AD239" i="1"/>
  <c r="AE238" i="1"/>
  <c r="AG238" i="1"/>
  <c r="AF238" i="1"/>
  <c r="AD238" i="1"/>
  <c r="AE237" i="1"/>
  <c r="AG237" i="1"/>
  <c r="AF237" i="1"/>
  <c r="AD237" i="1"/>
  <c r="AE236" i="1"/>
  <c r="AG236" i="1"/>
  <c r="AF236" i="1"/>
  <c r="AD236" i="1"/>
  <c r="AE235" i="1"/>
  <c r="AG235" i="1"/>
  <c r="AF235" i="1"/>
  <c r="AD235" i="1"/>
  <c r="AE234" i="1"/>
  <c r="AG234" i="1"/>
  <c r="AF234" i="1"/>
  <c r="AD234" i="1"/>
  <c r="AE233" i="1"/>
  <c r="AG233" i="1"/>
  <c r="AF233" i="1"/>
  <c r="AD233" i="1"/>
  <c r="AE232" i="1"/>
  <c r="AG232" i="1"/>
  <c r="AF232" i="1"/>
  <c r="AD232" i="1"/>
  <c r="AE231" i="1"/>
  <c r="AG231" i="1"/>
  <c r="AF231" i="1"/>
  <c r="AD231" i="1"/>
  <c r="AE230" i="1"/>
  <c r="AG230" i="1"/>
  <c r="AF230" i="1"/>
  <c r="AD230" i="1"/>
  <c r="AE229" i="1"/>
  <c r="AG229" i="1"/>
  <c r="AF229" i="1"/>
  <c r="AD229" i="1"/>
  <c r="AE228" i="1"/>
  <c r="AG228" i="1"/>
  <c r="AF228" i="1"/>
  <c r="AD228" i="1"/>
  <c r="AE227" i="1"/>
  <c r="AG227" i="1"/>
  <c r="AF227" i="1"/>
  <c r="AD227" i="1"/>
  <c r="AE226" i="1"/>
  <c r="AG226" i="1"/>
  <c r="AF226" i="1"/>
  <c r="AD226" i="1"/>
  <c r="AE225" i="1"/>
  <c r="AG225" i="1"/>
  <c r="AF225" i="1"/>
  <c r="AD225" i="1"/>
  <c r="AE224" i="1"/>
  <c r="AG224" i="1"/>
  <c r="AF224" i="1"/>
  <c r="AD224" i="1"/>
  <c r="AE223" i="1"/>
  <c r="AG223" i="1"/>
  <c r="AF223" i="1"/>
  <c r="AD223" i="1"/>
  <c r="AE222" i="1"/>
  <c r="AG222" i="1"/>
  <c r="AF222" i="1"/>
  <c r="AD222" i="1"/>
  <c r="AE221" i="1"/>
  <c r="AG221" i="1"/>
  <c r="AF221" i="1"/>
  <c r="AD221" i="1"/>
  <c r="AE220" i="1"/>
  <c r="AG220" i="1"/>
  <c r="AF220" i="1"/>
  <c r="AD220" i="1"/>
  <c r="AE219" i="1"/>
  <c r="AG219" i="1"/>
  <c r="AF219" i="1"/>
  <c r="AD219" i="1"/>
  <c r="AE218" i="1"/>
  <c r="AG218" i="1"/>
  <c r="AF218" i="1"/>
  <c r="AD218" i="1"/>
  <c r="AE217" i="1"/>
  <c r="AG217" i="1"/>
  <c r="AF217" i="1"/>
  <c r="AD217" i="1"/>
  <c r="AE216" i="1"/>
  <c r="AG216" i="1"/>
  <c r="AF216" i="1"/>
  <c r="AD216" i="1"/>
  <c r="AE215" i="1"/>
  <c r="AG215" i="1"/>
  <c r="AF215" i="1"/>
  <c r="AD215" i="1"/>
  <c r="AE214" i="1"/>
  <c r="AG214" i="1"/>
  <c r="AF214" i="1"/>
  <c r="AD214" i="1"/>
  <c r="AE213" i="1"/>
  <c r="AG213" i="1"/>
  <c r="AF213" i="1"/>
  <c r="AD213" i="1"/>
  <c r="AE212" i="1"/>
  <c r="AG212" i="1"/>
  <c r="AF212" i="1"/>
  <c r="AD212" i="1"/>
  <c r="AE211" i="1"/>
  <c r="AG211" i="1"/>
  <c r="AF211" i="1"/>
  <c r="AD211" i="1"/>
  <c r="AE210" i="1"/>
  <c r="AG210" i="1"/>
  <c r="AF210" i="1"/>
  <c r="AD210" i="1"/>
  <c r="AE209" i="1"/>
  <c r="AG209" i="1"/>
  <c r="AF209" i="1"/>
  <c r="AD209" i="1"/>
  <c r="AE208" i="1"/>
  <c r="AG208" i="1"/>
  <c r="AF208" i="1"/>
  <c r="AD208" i="1"/>
  <c r="AE207" i="1"/>
  <c r="AG207" i="1"/>
  <c r="AF207" i="1"/>
  <c r="AD207" i="1"/>
  <c r="AE206" i="1"/>
  <c r="AG206" i="1"/>
  <c r="AF206" i="1"/>
  <c r="AD206" i="1"/>
  <c r="AE205" i="1"/>
  <c r="AG205" i="1"/>
  <c r="AF205" i="1"/>
  <c r="AD205" i="1"/>
  <c r="AE204" i="1"/>
  <c r="AG204" i="1"/>
  <c r="AF204" i="1"/>
  <c r="AD204" i="1"/>
  <c r="AE203" i="1"/>
  <c r="AG203" i="1"/>
  <c r="AF203" i="1"/>
  <c r="AD203" i="1"/>
  <c r="AE202" i="1"/>
  <c r="AG202" i="1"/>
  <c r="AF202" i="1"/>
  <c r="AD202" i="1"/>
  <c r="AE201" i="1"/>
  <c r="AG201" i="1"/>
  <c r="AF201" i="1"/>
  <c r="AD201" i="1"/>
  <c r="AE200" i="1"/>
  <c r="AG200" i="1"/>
  <c r="AF200" i="1"/>
  <c r="AD200" i="1"/>
  <c r="AE199" i="1"/>
  <c r="AG199" i="1"/>
  <c r="AF199" i="1"/>
  <c r="AD199" i="1"/>
  <c r="AE198" i="1"/>
  <c r="AG198" i="1"/>
  <c r="AF198" i="1"/>
  <c r="AD198" i="1"/>
  <c r="AE197" i="1"/>
  <c r="AG197" i="1"/>
  <c r="AF197" i="1"/>
  <c r="AD197" i="1"/>
  <c r="AE196" i="1"/>
  <c r="AG196" i="1"/>
  <c r="AF196" i="1"/>
  <c r="AD196" i="1"/>
  <c r="AE195" i="1"/>
  <c r="AG195" i="1"/>
  <c r="AF195" i="1"/>
  <c r="AD195" i="1"/>
  <c r="AE194" i="1"/>
  <c r="AG194" i="1"/>
  <c r="AF194" i="1"/>
  <c r="AD194" i="1"/>
  <c r="AE193" i="1"/>
  <c r="AG193" i="1"/>
  <c r="AF193" i="1"/>
  <c r="AD193" i="1"/>
  <c r="AE192" i="1"/>
  <c r="AG192" i="1"/>
  <c r="AF192" i="1"/>
  <c r="AD192" i="1"/>
  <c r="AE191" i="1"/>
  <c r="AG191" i="1"/>
  <c r="AF191" i="1"/>
  <c r="AD191" i="1"/>
  <c r="AE190" i="1"/>
  <c r="AG190" i="1"/>
  <c r="AF190" i="1"/>
  <c r="AD190" i="1"/>
  <c r="AE189" i="1"/>
  <c r="AG189" i="1"/>
  <c r="AF189" i="1"/>
  <c r="AD189" i="1"/>
  <c r="AE188" i="1"/>
  <c r="AG188" i="1"/>
  <c r="AF188" i="1"/>
  <c r="AD188" i="1"/>
  <c r="AE187" i="1"/>
  <c r="AG187" i="1"/>
  <c r="AF187" i="1"/>
  <c r="AD187" i="1"/>
  <c r="AE186" i="1"/>
  <c r="AG186" i="1"/>
  <c r="AF186" i="1"/>
  <c r="AD186" i="1"/>
  <c r="AE185" i="1"/>
  <c r="AG185" i="1"/>
  <c r="AF185" i="1"/>
  <c r="AD185" i="1"/>
  <c r="AE184" i="1"/>
  <c r="AG184" i="1"/>
  <c r="AF184" i="1"/>
  <c r="AD184" i="1"/>
  <c r="AE183" i="1"/>
  <c r="AG183" i="1"/>
  <c r="AF183" i="1"/>
  <c r="AD183" i="1"/>
  <c r="AE182" i="1"/>
  <c r="AG182" i="1"/>
  <c r="AF182" i="1"/>
  <c r="AD182" i="1"/>
  <c r="AE181" i="1"/>
  <c r="AG181" i="1"/>
  <c r="AF181" i="1"/>
  <c r="AD181" i="1"/>
  <c r="AE180" i="1"/>
  <c r="AG180" i="1"/>
  <c r="AF180" i="1"/>
  <c r="AD180" i="1"/>
  <c r="AE179" i="1"/>
  <c r="AG179" i="1"/>
  <c r="AF179" i="1"/>
  <c r="AD179" i="1"/>
  <c r="AE178" i="1"/>
  <c r="AG178" i="1"/>
  <c r="AF178" i="1"/>
  <c r="AD178" i="1"/>
  <c r="AE177" i="1"/>
  <c r="AG177" i="1"/>
  <c r="AF177" i="1"/>
  <c r="AD177" i="1"/>
  <c r="AE176" i="1"/>
  <c r="AG176" i="1"/>
  <c r="AF176" i="1"/>
  <c r="AD176" i="1"/>
  <c r="AE175" i="1"/>
  <c r="AG175" i="1"/>
  <c r="AF175" i="1"/>
  <c r="AD175" i="1"/>
  <c r="AE174" i="1"/>
  <c r="AG174" i="1"/>
  <c r="AF174" i="1"/>
  <c r="AD174" i="1"/>
  <c r="AE173" i="1"/>
  <c r="AG173" i="1"/>
  <c r="AF173" i="1"/>
  <c r="AD173" i="1"/>
  <c r="AE172" i="1"/>
  <c r="AG172" i="1"/>
  <c r="AF172" i="1"/>
  <c r="AD172" i="1"/>
  <c r="AE171" i="1"/>
  <c r="AG171" i="1"/>
  <c r="AF171" i="1"/>
  <c r="AD171" i="1"/>
  <c r="AE170" i="1"/>
  <c r="AG170" i="1"/>
  <c r="AF170" i="1"/>
  <c r="AD170" i="1"/>
  <c r="AE169" i="1"/>
  <c r="AG169" i="1"/>
  <c r="AF169" i="1"/>
  <c r="AD169" i="1"/>
  <c r="AE168" i="1"/>
  <c r="AG168" i="1"/>
  <c r="AF168" i="1"/>
  <c r="AD168" i="1"/>
  <c r="AE167" i="1"/>
  <c r="AG167" i="1"/>
  <c r="AF167" i="1"/>
  <c r="AD167" i="1"/>
  <c r="AE166" i="1"/>
  <c r="AG166" i="1"/>
  <c r="AF166" i="1"/>
  <c r="AD166" i="1"/>
  <c r="AE165" i="1"/>
  <c r="AG165" i="1"/>
  <c r="AF165" i="1"/>
  <c r="AD165" i="1"/>
  <c r="AE164" i="1"/>
  <c r="AG164" i="1"/>
  <c r="AF164" i="1"/>
  <c r="AD164" i="1"/>
  <c r="AE163" i="1"/>
  <c r="AG163" i="1"/>
  <c r="AF163" i="1"/>
  <c r="AD163" i="1"/>
  <c r="AE162" i="1"/>
  <c r="AG162" i="1"/>
  <c r="AF162" i="1"/>
  <c r="AD162" i="1"/>
  <c r="AE161" i="1"/>
  <c r="AG161" i="1"/>
  <c r="AF161" i="1"/>
  <c r="AD161" i="1"/>
  <c r="AE160" i="1"/>
  <c r="AG160" i="1"/>
  <c r="AF160" i="1"/>
  <c r="AD160" i="1"/>
  <c r="AE159" i="1"/>
  <c r="AG159" i="1"/>
  <c r="AF159" i="1"/>
  <c r="AD159" i="1"/>
  <c r="AE158" i="1"/>
  <c r="AG158" i="1"/>
  <c r="AF158" i="1"/>
  <c r="AD158" i="1"/>
  <c r="AE157" i="1"/>
  <c r="AG157" i="1"/>
  <c r="AF157" i="1"/>
  <c r="AD157" i="1"/>
  <c r="AE156" i="1"/>
  <c r="AG156" i="1"/>
  <c r="AF156" i="1"/>
  <c r="AD156" i="1"/>
  <c r="AE155" i="1"/>
  <c r="AG155" i="1"/>
  <c r="AF155" i="1"/>
  <c r="AD155" i="1"/>
  <c r="AE154" i="1"/>
  <c r="AG154" i="1"/>
  <c r="AF154" i="1"/>
  <c r="AD154" i="1"/>
  <c r="AE153" i="1"/>
  <c r="AG153" i="1"/>
  <c r="AF153" i="1"/>
  <c r="AD153" i="1"/>
  <c r="AE152" i="1"/>
  <c r="AG152" i="1"/>
  <c r="AF152" i="1"/>
  <c r="AD152" i="1"/>
  <c r="AE151" i="1"/>
  <c r="AG151" i="1"/>
  <c r="AF151" i="1"/>
  <c r="AD151" i="1"/>
  <c r="AE150" i="1"/>
  <c r="AG150" i="1"/>
  <c r="AF150" i="1"/>
  <c r="AD150" i="1"/>
  <c r="AE149" i="1"/>
  <c r="AG149" i="1"/>
  <c r="AF149" i="1"/>
  <c r="AD149" i="1"/>
  <c r="AE148" i="1"/>
  <c r="AG148" i="1"/>
  <c r="AF148" i="1"/>
  <c r="AD148" i="1"/>
  <c r="AE147" i="1"/>
  <c r="AG147" i="1"/>
  <c r="AF147" i="1"/>
  <c r="AD147" i="1"/>
  <c r="AE146" i="1"/>
  <c r="AG146" i="1"/>
  <c r="AF146" i="1"/>
  <c r="AD146" i="1"/>
  <c r="AE145" i="1"/>
  <c r="AG145" i="1"/>
  <c r="AF145" i="1"/>
  <c r="AD145" i="1"/>
  <c r="AE144" i="1"/>
  <c r="AG144" i="1"/>
  <c r="AF144" i="1"/>
  <c r="AD144" i="1"/>
  <c r="AE143" i="1"/>
  <c r="AG143" i="1"/>
  <c r="AF143" i="1"/>
  <c r="AD143" i="1"/>
  <c r="AE142" i="1"/>
  <c r="AG142" i="1"/>
  <c r="AF142" i="1"/>
  <c r="AD142" i="1"/>
  <c r="AE141" i="1"/>
  <c r="AG141" i="1"/>
  <c r="AF141" i="1"/>
  <c r="AD141" i="1"/>
  <c r="AE140" i="1"/>
  <c r="AG140" i="1"/>
  <c r="AF140" i="1"/>
  <c r="AD140" i="1"/>
  <c r="AE139" i="1"/>
  <c r="AG139" i="1"/>
  <c r="AF139" i="1"/>
  <c r="AD139" i="1"/>
  <c r="AE138" i="1"/>
  <c r="AG138" i="1"/>
  <c r="AF138" i="1"/>
  <c r="AD138" i="1"/>
  <c r="AE137" i="1"/>
  <c r="AG137" i="1"/>
  <c r="AF137" i="1"/>
  <c r="AD137" i="1"/>
  <c r="AE136" i="1"/>
  <c r="AG136" i="1"/>
  <c r="AF136" i="1"/>
  <c r="AD136" i="1"/>
  <c r="AE135" i="1"/>
  <c r="AG135" i="1"/>
  <c r="AF135" i="1"/>
  <c r="AD135" i="1"/>
  <c r="AE134" i="1"/>
  <c r="AG134" i="1"/>
  <c r="AF134" i="1"/>
  <c r="AD134" i="1"/>
  <c r="AE133" i="1"/>
  <c r="AG133" i="1"/>
  <c r="AF133" i="1"/>
  <c r="AD133" i="1"/>
  <c r="AE132" i="1"/>
  <c r="AG132" i="1"/>
  <c r="AF132" i="1"/>
  <c r="AD132" i="1"/>
  <c r="AE131" i="1"/>
  <c r="AG131" i="1"/>
  <c r="AF131" i="1"/>
  <c r="AD131" i="1"/>
  <c r="AE130" i="1"/>
  <c r="AG130" i="1"/>
  <c r="AF130" i="1"/>
  <c r="AD130" i="1"/>
  <c r="AE129" i="1"/>
  <c r="AG129" i="1"/>
  <c r="AF129" i="1"/>
  <c r="AD129" i="1"/>
  <c r="AE128" i="1"/>
  <c r="AG128" i="1"/>
  <c r="AF128" i="1"/>
  <c r="AD128" i="1"/>
  <c r="AE127" i="1"/>
  <c r="AG127" i="1"/>
  <c r="AF127" i="1"/>
  <c r="AD127" i="1"/>
  <c r="AE126" i="1"/>
  <c r="AG126" i="1"/>
  <c r="AF126" i="1"/>
  <c r="AD126" i="1"/>
  <c r="AE125" i="1"/>
  <c r="AG125" i="1"/>
  <c r="AF125" i="1"/>
  <c r="AD125" i="1"/>
  <c r="AE124" i="1"/>
  <c r="AG124" i="1"/>
  <c r="AF124" i="1"/>
  <c r="AD124" i="1"/>
  <c r="AE123" i="1"/>
  <c r="AG123" i="1"/>
  <c r="AF123" i="1"/>
  <c r="AD123" i="1"/>
  <c r="AE122" i="1"/>
  <c r="AG122" i="1"/>
  <c r="AF122" i="1"/>
  <c r="AD122" i="1"/>
  <c r="AE121" i="1"/>
  <c r="AG121" i="1"/>
  <c r="AF121" i="1"/>
  <c r="AD121" i="1"/>
  <c r="AE120" i="1"/>
  <c r="AG120" i="1"/>
  <c r="AF120" i="1"/>
  <c r="AD120" i="1"/>
  <c r="AE119" i="1"/>
  <c r="AG119" i="1"/>
  <c r="AF119" i="1"/>
  <c r="AD119" i="1"/>
  <c r="AE118" i="1"/>
  <c r="AG118" i="1"/>
  <c r="AF118" i="1"/>
  <c r="AD118" i="1"/>
  <c r="AE117" i="1"/>
  <c r="AG117" i="1"/>
  <c r="AF117" i="1"/>
  <c r="AD117" i="1"/>
  <c r="AE116" i="1"/>
  <c r="AG116" i="1"/>
  <c r="AF116" i="1"/>
  <c r="AD116" i="1"/>
  <c r="AE115" i="1"/>
  <c r="AG115" i="1"/>
  <c r="AF115" i="1"/>
  <c r="AD115" i="1"/>
  <c r="AE114" i="1"/>
  <c r="AG114" i="1"/>
  <c r="AF114" i="1"/>
  <c r="AD114" i="1"/>
  <c r="AE113" i="1"/>
  <c r="AG113" i="1"/>
  <c r="AF113" i="1"/>
  <c r="AD113" i="1"/>
  <c r="AE112" i="1"/>
  <c r="AG112" i="1"/>
  <c r="AF112" i="1"/>
  <c r="AD112" i="1"/>
  <c r="AE111" i="1"/>
  <c r="AG111" i="1"/>
  <c r="AF111" i="1"/>
  <c r="AD111" i="1"/>
  <c r="AE110" i="1"/>
  <c r="AG110" i="1"/>
  <c r="AF110" i="1"/>
  <c r="AD110" i="1"/>
  <c r="AE109" i="1"/>
  <c r="AG109" i="1"/>
  <c r="AF109" i="1"/>
  <c r="AD109" i="1"/>
  <c r="AE108" i="1"/>
  <c r="AG108" i="1"/>
  <c r="AF108" i="1"/>
  <c r="AD108" i="1"/>
  <c r="AE107" i="1"/>
  <c r="AG107" i="1"/>
  <c r="AF107" i="1"/>
  <c r="AD107" i="1"/>
  <c r="AE106" i="1"/>
  <c r="AG106" i="1"/>
  <c r="AF106" i="1"/>
  <c r="AD106" i="1"/>
  <c r="AE105" i="1"/>
  <c r="AG105" i="1"/>
  <c r="AF105" i="1"/>
  <c r="AD105" i="1"/>
  <c r="AE104" i="1"/>
  <c r="AG104" i="1"/>
  <c r="AF104" i="1"/>
  <c r="AD104" i="1"/>
  <c r="AE103" i="1"/>
  <c r="AG103" i="1"/>
  <c r="AF103" i="1"/>
  <c r="AD103" i="1"/>
  <c r="AE102" i="1"/>
  <c r="AG102" i="1"/>
  <c r="AF102" i="1"/>
  <c r="AD102" i="1"/>
  <c r="AE101" i="1"/>
  <c r="AG101" i="1"/>
  <c r="AF101" i="1"/>
  <c r="AD101" i="1"/>
  <c r="AE100" i="1"/>
  <c r="AG100" i="1"/>
  <c r="AF100" i="1"/>
  <c r="AD100" i="1"/>
  <c r="AE99" i="1"/>
  <c r="AG99" i="1"/>
  <c r="AF99" i="1"/>
  <c r="AD99" i="1"/>
  <c r="AE98" i="1"/>
  <c r="AG98" i="1"/>
  <c r="AF98" i="1"/>
  <c r="AD98" i="1"/>
  <c r="AE97" i="1"/>
  <c r="AG97" i="1"/>
  <c r="AF97" i="1"/>
  <c r="AD97" i="1"/>
  <c r="AE96" i="1"/>
  <c r="AG96" i="1"/>
  <c r="AF96" i="1"/>
  <c r="AD96" i="1"/>
  <c r="AE95" i="1"/>
  <c r="AG95" i="1"/>
  <c r="AF95" i="1"/>
  <c r="AD95" i="1"/>
  <c r="AE94" i="1"/>
  <c r="AG94" i="1"/>
  <c r="AF94" i="1"/>
  <c r="AD94" i="1"/>
  <c r="AE93" i="1"/>
  <c r="AG93" i="1"/>
  <c r="AF93" i="1"/>
  <c r="AD93" i="1"/>
  <c r="AE92" i="1"/>
  <c r="AG92" i="1"/>
  <c r="AF92" i="1"/>
  <c r="AD92" i="1"/>
  <c r="AE91" i="1"/>
  <c r="AG91" i="1"/>
  <c r="AF91" i="1"/>
  <c r="AD91" i="1"/>
  <c r="AE90" i="1"/>
  <c r="AG90" i="1"/>
  <c r="AF90" i="1"/>
  <c r="AD90" i="1"/>
  <c r="AE89" i="1"/>
  <c r="AG89" i="1"/>
  <c r="AF89" i="1"/>
  <c r="AD89" i="1"/>
  <c r="AE88" i="1"/>
  <c r="AG88" i="1"/>
  <c r="AF88" i="1"/>
  <c r="AD88" i="1"/>
  <c r="AE87" i="1"/>
  <c r="AG87" i="1"/>
  <c r="AF87" i="1"/>
  <c r="AD87" i="1"/>
  <c r="AE86" i="1"/>
  <c r="AG86" i="1"/>
  <c r="AF86" i="1"/>
  <c r="AD86" i="1"/>
  <c r="AE85" i="1"/>
  <c r="AG85" i="1"/>
  <c r="AF85" i="1"/>
  <c r="AD85" i="1"/>
  <c r="AE84" i="1"/>
  <c r="AG84" i="1"/>
  <c r="AF84" i="1"/>
  <c r="AD84" i="1"/>
  <c r="AE83" i="1"/>
  <c r="AG83" i="1"/>
  <c r="AF83" i="1"/>
  <c r="AD83" i="1"/>
  <c r="AE82" i="1"/>
  <c r="AG82" i="1"/>
  <c r="AF82" i="1"/>
  <c r="AD82" i="1"/>
  <c r="AE81" i="1"/>
  <c r="AG81" i="1"/>
  <c r="AF81" i="1"/>
  <c r="AD81" i="1"/>
  <c r="AE80" i="1"/>
  <c r="AG80" i="1"/>
  <c r="AF80" i="1"/>
  <c r="AD80" i="1"/>
  <c r="AE79" i="1"/>
  <c r="AG79" i="1"/>
  <c r="AF79" i="1"/>
  <c r="AD79" i="1"/>
  <c r="AE78" i="1"/>
  <c r="AG78" i="1"/>
  <c r="AF78" i="1"/>
  <c r="AD78" i="1"/>
  <c r="AE77" i="1"/>
  <c r="AG77" i="1"/>
  <c r="AF77" i="1"/>
  <c r="AD77" i="1"/>
  <c r="AE76" i="1"/>
  <c r="AG76" i="1"/>
  <c r="AF76" i="1"/>
  <c r="AD76" i="1"/>
  <c r="AE75" i="1"/>
  <c r="AG75" i="1"/>
  <c r="AF75" i="1"/>
  <c r="AD75" i="1"/>
  <c r="AE74" i="1"/>
  <c r="AG74" i="1"/>
  <c r="AF74" i="1"/>
  <c r="AD74" i="1"/>
  <c r="AE73" i="1"/>
  <c r="AG73" i="1"/>
  <c r="AF73" i="1"/>
  <c r="AD73" i="1"/>
  <c r="AE72" i="1"/>
  <c r="AG72" i="1"/>
  <c r="AF72" i="1"/>
  <c r="AD72" i="1"/>
  <c r="AE71" i="1"/>
  <c r="AG71" i="1"/>
  <c r="AF71" i="1"/>
  <c r="AD71" i="1"/>
  <c r="AE70" i="1"/>
  <c r="AG70" i="1"/>
  <c r="AF70" i="1"/>
  <c r="AD70" i="1"/>
  <c r="AE69" i="1"/>
  <c r="AG69" i="1"/>
  <c r="AF69" i="1"/>
  <c r="AD69" i="1"/>
  <c r="AE68" i="1"/>
  <c r="AG68" i="1"/>
  <c r="AF68" i="1"/>
  <c r="AD68" i="1"/>
  <c r="AE67" i="1"/>
  <c r="AG67" i="1"/>
  <c r="AF67" i="1"/>
  <c r="AD67" i="1"/>
  <c r="AE66" i="1"/>
  <c r="AG66" i="1"/>
  <c r="AF66" i="1"/>
  <c r="AD66" i="1"/>
  <c r="AE65" i="1"/>
  <c r="AG65" i="1"/>
  <c r="AF65" i="1"/>
  <c r="AD65" i="1"/>
  <c r="AE64" i="1"/>
  <c r="AG64" i="1"/>
  <c r="AF64" i="1"/>
  <c r="AD64" i="1"/>
  <c r="AE63" i="1"/>
  <c r="AG63" i="1"/>
  <c r="AF63" i="1"/>
  <c r="AD63" i="1"/>
  <c r="AE62" i="1"/>
  <c r="AG62" i="1"/>
  <c r="AF62" i="1"/>
  <c r="AD62" i="1"/>
  <c r="AE61" i="1"/>
  <c r="AG61" i="1"/>
  <c r="AF61" i="1"/>
  <c r="AD61" i="1"/>
  <c r="AE60" i="1"/>
  <c r="AG60" i="1"/>
  <c r="AF60" i="1"/>
  <c r="AD60" i="1"/>
  <c r="AE59" i="1"/>
  <c r="AG59" i="1"/>
  <c r="AF59" i="1"/>
  <c r="AD59" i="1"/>
  <c r="AE58" i="1"/>
  <c r="AG58" i="1"/>
  <c r="AF58" i="1"/>
  <c r="AD58" i="1"/>
  <c r="AE57" i="1"/>
  <c r="AG57" i="1"/>
  <c r="AF57" i="1"/>
  <c r="AD57" i="1"/>
  <c r="AE56" i="1"/>
  <c r="AG56" i="1"/>
  <c r="AF56" i="1"/>
  <c r="AD56" i="1"/>
  <c r="AE55" i="1"/>
  <c r="AG55" i="1"/>
  <c r="AF55" i="1"/>
  <c r="AD55" i="1"/>
  <c r="AE54" i="1"/>
  <c r="AG54" i="1"/>
  <c r="AF54" i="1"/>
  <c r="AD54" i="1"/>
  <c r="AE53" i="1"/>
  <c r="AG53" i="1"/>
  <c r="AF53" i="1"/>
  <c r="AD53" i="1"/>
  <c r="AE52" i="1"/>
  <c r="AG52" i="1"/>
  <c r="AF52" i="1"/>
  <c r="AD52" i="1"/>
  <c r="AE51" i="1"/>
  <c r="AG51" i="1"/>
  <c r="AF51" i="1"/>
  <c r="AD51" i="1"/>
  <c r="AE50" i="1"/>
  <c r="AG50" i="1"/>
  <c r="AF50" i="1"/>
  <c r="AD50" i="1"/>
  <c r="AE49" i="1"/>
  <c r="AG49" i="1"/>
  <c r="AF49" i="1"/>
  <c r="AD49" i="1"/>
  <c r="AE48" i="1"/>
  <c r="AG48" i="1"/>
  <c r="AF48" i="1"/>
  <c r="AD48" i="1"/>
  <c r="AE47" i="1"/>
  <c r="AG47" i="1"/>
  <c r="AF47" i="1"/>
  <c r="AD47" i="1"/>
  <c r="AE46" i="1"/>
  <c r="AG46" i="1"/>
  <c r="AF46" i="1"/>
  <c r="AD46" i="1"/>
  <c r="AE45" i="1"/>
  <c r="AG45" i="1"/>
  <c r="AF45" i="1"/>
  <c r="AD45" i="1"/>
  <c r="AE44" i="1"/>
  <c r="AG44" i="1"/>
  <c r="AF44" i="1"/>
  <c r="AD44" i="1"/>
  <c r="AE43" i="1"/>
  <c r="AG43" i="1"/>
  <c r="AF43" i="1"/>
  <c r="AD43" i="1"/>
  <c r="AE42" i="1"/>
  <c r="AG42" i="1"/>
  <c r="AF42" i="1"/>
  <c r="AD42" i="1"/>
  <c r="AE41" i="1"/>
  <c r="AG41" i="1"/>
  <c r="AF41" i="1"/>
  <c r="AD41" i="1"/>
  <c r="AE27" i="1"/>
  <c r="AG27" i="1"/>
  <c r="AF27" i="1"/>
  <c r="AD27" i="1"/>
  <c r="AE39" i="1"/>
  <c r="AG39" i="1"/>
  <c r="AF39" i="1"/>
  <c r="AD39" i="1"/>
  <c r="AE31" i="1"/>
  <c r="AG31" i="1"/>
  <c r="AF31" i="1"/>
  <c r="AD31" i="1"/>
  <c r="AE2" i="1"/>
  <c r="AG2" i="1"/>
  <c r="AF2" i="1"/>
  <c r="AD2" i="1"/>
  <c r="AE17" i="1"/>
  <c r="AG17" i="1"/>
  <c r="AF17" i="1"/>
  <c r="AD17" i="1"/>
  <c r="AE16" i="1"/>
  <c r="AG16" i="1"/>
  <c r="AF16" i="1"/>
  <c r="AD16" i="1"/>
  <c r="AE15" i="1"/>
  <c r="AG15" i="1"/>
  <c r="AF15" i="1"/>
  <c r="AD15" i="1"/>
  <c r="AE23" i="1"/>
  <c r="AG23" i="1"/>
  <c r="AF23" i="1"/>
  <c r="AD23" i="1"/>
  <c r="AE7" i="1"/>
  <c r="AG7" i="1"/>
  <c r="AF7" i="1"/>
  <c r="AD7" i="1"/>
  <c r="AE34" i="1"/>
  <c r="AG34" i="1"/>
  <c r="AF34" i="1"/>
  <c r="AD34" i="1"/>
  <c r="AE29" i="1"/>
  <c r="AG29" i="1"/>
  <c r="AF29" i="1"/>
  <c r="AD29" i="1"/>
  <c r="AE18" i="1"/>
  <c r="AG18" i="1"/>
  <c r="AF18" i="1"/>
  <c r="AD18" i="1"/>
  <c r="AE20" i="1"/>
  <c r="AG20" i="1"/>
  <c r="AF20" i="1"/>
  <c r="AD20" i="1"/>
  <c r="AE24" i="1"/>
  <c r="AG24" i="1"/>
  <c r="AF24" i="1"/>
  <c r="AD24" i="1"/>
  <c r="AE33" i="1"/>
  <c r="AG33" i="1"/>
  <c r="AF33" i="1"/>
  <c r="AD33" i="1"/>
  <c r="AE32" i="1"/>
  <c r="AG32" i="1"/>
  <c r="AF32" i="1"/>
  <c r="AD32" i="1"/>
  <c r="AE11" i="1"/>
  <c r="AG11" i="1"/>
  <c r="AF11" i="1"/>
  <c r="AD11" i="1"/>
  <c r="AE13" i="1"/>
  <c r="AG13" i="1"/>
  <c r="AF13" i="1"/>
  <c r="AD13" i="1"/>
  <c r="AE30" i="1"/>
  <c r="AG30" i="1"/>
  <c r="AF30" i="1"/>
  <c r="AD30" i="1"/>
  <c r="AE500" i="1"/>
  <c r="AG500" i="1"/>
  <c r="AF500" i="1"/>
  <c r="AD500" i="1"/>
  <c r="AE26" i="1"/>
  <c r="AG26" i="1"/>
  <c r="AF26" i="1"/>
  <c r="AD26" i="1"/>
  <c r="AE37" i="1"/>
  <c r="AG37" i="1"/>
  <c r="AF37" i="1"/>
  <c r="AD37" i="1"/>
  <c r="AE21" i="1"/>
  <c r="AG21" i="1"/>
  <c r="AF21" i="1"/>
  <c r="AD21" i="1"/>
  <c r="AE12" i="1"/>
  <c r="AG12" i="1"/>
  <c r="AF12" i="1"/>
  <c r="AD12" i="1"/>
  <c r="AE40" i="1"/>
  <c r="AG40" i="1"/>
  <c r="AF40" i="1"/>
  <c r="AD40" i="1"/>
  <c r="AE19" i="1"/>
  <c r="AG19" i="1"/>
  <c r="AF19" i="1"/>
  <c r="AD19" i="1"/>
  <c r="AE25" i="1"/>
  <c r="AG25" i="1"/>
  <c r="AF25" i="1"/>
  <c r="AD25" i="1"/>
  <c r="AE8" i="1"/>
  <c r="AG8" i="1"/>
  <c r="AF8" i="1"/>
  <c r="AD8" i="1"/>
  <c r="AE28" i="1"/>
  <c r="AG28" i="1"/>
  <c r="AF28" i="1"/>
  <c r="AD28" i="1"/>
  <c r="AE5" i="1"/>
  <c r="AG5" i="1"/>
  <c r="AF5" i="1"/>
  <c r="AD5" i="1"/>
  <c r="AE4" i="1"/>
  <c r="AG4" i="1"/>
  <c r="AF4" i="1"/>
  <c r="AD4" i="1"/>
  <c r="AE6" i="1"/>
  <c r="AG6" i="1"/>
  <c r="AF6" i="1"/>
  <c r="AD6" i="1"/>
  <c r="AE22" i="1"/>
  <c r="AG22" i="1"/>
  <c r="AF22" i="1"/>
  <c r="AD22" i="1"/>
  <c r="AE38" i="1"/>
  <c r="AG38" i="1"/>
  <c r="AF38" i="1"/>
  <c r="AD38" i="1"/>
  <c r="AE9" i="1"/>
  <c r="AG9" i="1"/>
  <c r="AF9" i="1"/>
  <c r="AD9" i="1"/>
  <c r="AE10" i="1"/>
  <c r="AG10" i="1"/>
  <c r="AF10" i="1"/>
  <c r="AD10" i="1"/>
  <c r="AE35" i="1"/>
  <c r="AD35" i="1"/>
</calcChain>
</file>

<file path=xl/sharedStrings.xml><?xml version="1.0" encoding="utf-8"?>
<sst xmlns="http://schemas.openxmlformats.org/spreadsheetml/2006/main" count="5113" uniqueCount="117">
  <si>
    <t>Problem Ref</t>
  </si>
  <si>
    <t>Summary</t>
  </si>
  <si>
    <t>Company</t>
  </si>
  <si>
    <t>Status</t>
  </si>
  <si>
    <t>Investigation Driver</t>
  </si>
  <si>
    <t>Investigation Justification</t>
  </si>
  <si>
    <t>Priority</t>
  </si>
  <si>
    <t>Submit Date</t>
  </si>
  <si>
    <t>Last Modified Date</t>
  </si>
  <si>
    <t>Last Modified By</t>
  </si>
  <si>
    <t>Submitter</t>
  </si>
  <si>
    <t>Assigned Group</t>
  </si>
  <si>
    <t>Assignee</t>
  </si>
  <si>
    <t>Vendor Ticket Number</t>
  </si>
  <si>
    <t>Cause Code</t>
  </si>
  <si>
    <t>Root Cause Date</t>
  </si>
  <si>
    <t>Closed TIME</t>
  </si>
  <si>
    <t>Root Cause Details</t>
  </si>
  <si>
    <t>Closed USER</t>
  </si>
  <si>
    <t>Workaround</t>
  </si>
  <si>
    <t>Resolution</t>
  </si>
  <si>
    <t>Team-Assignee</t>
  </si>
  <si>
    <t>Age Open</t>
  </si>
  <si>
    <t>Age Closed</t>
  </si>
  <si>
    <t>Previous PRB Actions</t>
  </si>
  <si>
    <t>Next Actions / Exit Strategy</t>
  </si>
  <si>
    <t>Related Changes</t>
  </si>
  <si>
    <t>Recommendation</t>
  </si>
  <si>
    <t>Target date for closure</t>
  </si>
  <si>
    <t>Reactive/Proactive</t>
  </si>
  <si>
    <t>Known Error Ref</t>
  </si>
  <si>
    <t>Summary*</t>
  </si>
  <si>
    <t>Status*</t>
  </si>
  <si>
    <t>Priority*</t>
  </si>
  <si>
    <t>Assigned Group+</t>
  </si>
  <si>
    <t>Assignee+</t>
  </si>
  <si>
    <t>Root Cause</t>
  </si>
  <si>
    <t>Workaround Determined On</t>
  </si>
  <si>
    <t>Other Ref</t>
  </si>
  <si>
    <t>Notes</t>
  </si>
  <si>
    <t>All Open by Client</t>
  </si>
  <si>
    <t>Problem Location Company+'  = "Client Name"  AND 'Status*' &lt; "Closed"</t>
  </si>
  <si>
    <t>Raised within time frame by Client</t>
  </si>
  <si>
    <t>Company*+'="Client Name" AND 'Submit Date' &gt; "10/12/2018 00:00:00" AND 'Submit Date' &lt; "11/12/2018 00:00:00"</t>
  </si>
  <si>
    <t>Closed between time frames and All Open</t>
  </si>
  <si>
    <t>RFC 1</t>
  </si>
  <si>
    <t>Status:</t>
  </si>
  <si>
    <t>Submit Date:</t>
  </si>
  <si>
    <t>Problem Description:</t>
  </si>
  <si>
    <t>Update:</t>
  </si>
  <si>
    <t>Next Actions / Exit Strategy:</t>
  </si>
  <si>
    <t>Client Name</t>
  </si>
  <si>
    <t>PRB Date</t>
  </si>
  <si>
    <t>2.     Discuss any other business</t>
  </si>
  <si>
    <t>1.     Discuss open problem records and progress</t>
  </si>
  <si>
    <t>Agenda</t>
  </si>
  <si>
    <t>Role</t>
  </si>
  <si>
    <t>Present</t>
  </si>
  <si>
    <t>Chair</t>
  </si>
  <si>
    <t>Time:</t>
  </si>
  <si>
    <t>Date:</t>
  </si>
  <si>
    <t>Meeting Title:</t>
  </si>
  <si>
    <t>Problem Management - Problem Review Board Agenda &amp; Attendance
Confidential</t>
  </si>
  <si>
    <t>Problem Management - Problem Review Board Status Report
Confidential</t>
  </si>
  <si>
    <t>Recommendations</t>
  </si>
  <si>
    <t>Date Raised</t>
  </si>
  <si>
    <t>Owner</t>
  </si>
  <si>
    <t>Update</t>
  </si>
  <si>
    <t>AOB Log</t>
  </si>
  <si>
    <t>Item</t>
  </si>
  <si>
    <t>Description</t>
  </si>
  <si>
    <t>Yes</t>
  </si>
  <si>
    <t>No</t>
  </si>
  <si>
    <t>Include in Prob PRB Summary</t>
  </si>
  <si>
    <t>Include in KE PRB Summary</t>
  </si>
  <si>
    <t>Include in Prob Summary</t>
  </si>
  <si>
    <t>Include in PRB Summary</t>
  </si>
  <si>
    <t>PRB Date Text</t>
  </si>
  <si>
    <t/>
  </si>
  <si>
    <t>PRB Problem Description</t>
  </si>
  <si>
    <t>PRB Update</t>
  </si>
  <si>
    <t>Root Cause:</t>
  </si>
  <si>
    <t>Investigation Type:</t>
  </si>
  <si>
    <t>Hide Rows: CTRL+9 / Unhide Rows: CTRL+SHIFT+9</t>
  </si>
  <si>
    <t>Problem Reference:</t>
  </si>
  <si>
    <t>Priority:</t>
  </si>
  <si>
    <t>PRB Known Error Description</t>
  </si>
  <si>
    <t>Known Error Reference:</t>
  </si>
  <si>
    <t>Known Error Description:</t>
  </si>
  <si>
    <t>Root Cause Details:</t>
  </si>
  <si>
    <t>Workaround:</t>
  </si>
  <si>
    <t>&gt;&gt;WARNING THIS WILL DELETE ALL DATA AND NOTES FROM Problem Master Data and KE Master Data Sheets</t>
  </si>
  <si>
    <t>Export Problem data to Remedy using the report titled "V5-PM PRB RAG Report"</t>
  </si>
  <si>
    <t>Export Known Error data to Remedy using the report titled "V5 -PM PRB RAG KE Report"</t>
  </si>
  <si>
    <t xml:space="preserve">Area ID </t>
  </si>
  <si>
    <t>Improvement Area</t>
  </si>
  <si>
    <t xml:space="preserve">Objective </t>
  </si>
  <si>
    <t xml:space="preserve">Resolution Criteria </t>
  </si>
  <si>
    <t xml:space="preserve">Tasks </t>
  </si>
  <si>
    <t xml:space="preserve">Task ID </t>
  </si>
  <si>
    <t xml:space="preserve">Expected Completion Date </t>
  </si>
  <si>
    <t>Current Status</t>
  </si>
  <si>
    <t>RAG</t>
  </si>
  <si>
    <t>Minutes:</t>
  </si>
  <si>
    <t>Location:</t>
  </si>
  <si>
    <t>('Status*-History.Closed.TIME' &gt; "01/01/2020 00:00:00" AND 'Status*-History.Closed.TIME' &lt; "01/04/2020 00:00:00") OR 'Status*' &lt; "Closed"</t>
  </si>
  <si>
    <t xml:space="preserve">CGI </t>
  </si>
  <si>
    <t>Dept</t>
  </si>
  <si>
    <t>Mark Murphy</t>
  </si>
  <si>
    <t>Mason Kerr</t>
  </si>
  <si>
    <t>Age in days</t>
  </si>
  <si>
    <t>open</t>
  </si>
  <si>
    <t>Problem requested for P2 INC0917813: DIPS slow / unresponsive</t>
  </si>
  <si>
    <t>Problem requested for P2 INC0921899: MRM unable to access / login</t>
  </si>
  <si>
    <t>Problem requested for P1 INC0935841: Axiell unable to search or check out library books</t>
  </si>
  <si>
    <t>No Known Errors with significant updates since last PRB.</t>
  </si>
  <si>
    <t>&lt;CLIENT&gt; PRB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</si>
</sst>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[$-F800]dddd\,\ mmmm\ dd\,\ yyyy"/>
    <numFmt numFmtId="166" formatCode="0;\-0;;@"/>
    <numFmt numFmtId="167" formatCode="dd/mm/yyyy;;"/>
  </numFmts>
  <fonts count="41" x14ac:knownFonts="1">
    <font>
      <sz val="10"/>
      <name val="Arial"/>
    </font>
    <font>
      <sz val="11"/>
      <color theme="1"/>
      <name val="Candara"/>
      <family val="2"/>
      <scheme val="minor"/>
    </font>
    <font>
      <sz val="11"/>
      <color theme="1"/>
      <name val="Candara"/>
      <family val="2"/>
      <scheme val="minor"/>
    </font>
    <font>
      <sz val="11"/>
      <color theme="1"/>
      <name val="Candara"/>
      <family val="2"/>
      <scheme val="minor"/>
    </font>
    <font>
      <sz val="11"/>
      <color theme="1"/>
      <name val="Candara"/>
      <family val="2"/>
      <scheme val="minor"/>
    </font>
    <font>
      <sz val="11"/>
      <color theme="1"/>
      <name val="Candara"/>
      <family val="2"/>
      <scheme val="minor"/>
    </font>
    <font>
      <sz val="11"/>
      <color theme="1"/>
      <name val="Candara"/>
      <family val="2"/>
      <scheme val="minor"/>
    </font>
    <font>
      <sz val="11"/>
      <color theme="1"/>
      <name val="Candara"/>
      <family val="2"/>
      <scheme val="minor"/>
    </font>
    <font>
      <b/>
      <sz val="11"/>
      <name val="Candara"/>
      <family val="2"/>
      <scheme val="minor"/>
    </font>
    <font>
      <sz val="11"/>
      <name val="Candara"/>
      <family val="2"/>
      <scheme val="minor"/>
    </font>
    <font>
      <sz val="10"/>
      <name val="Arial"/>
      <family val="2"/>
    </font>
    <font>
      <b/>
      <sz val="11"/>
      <color theme="0"/>
      <name val="Candara"/>
      <family val="2"/>
      <scheme val="minor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2"/>
      <name val="Calibri"/>
      <family val="2"/>
    </font>
    <font>
      <sz val="10"/>
      <name val="Calibri"/>
      <family val="2"/>
    </font>
    <font>
      <sz val="10"/>
      <color rgb="FF0070C0"/>
      <name val="Arial"/>
      <family val="2"/>
    </font>
    <font>
      <sz val="10"/>
      <color theme="0"/>
      <name val="Arial"/>
      <family val="2"/>
    </font>
    <font>
      <b/>
      <sz val="26"/>
      <color theme="1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1"/>
      <color rgb="FFFF1937"/>
      <name val="Calibri"/>
      <family val="2"/>
    </font>
    <font>
      <sz val="11"/>
      <color theme="3" tint="0.39997558519241921"/>
      <name val="Calibri"/>
      <family val="2"/>
    </font>
    <font>
      <sz val="12"/>
      <color theme="1"/>
      <name val="Calibri"/>
      <family val="2"/>
    </font>
    <font>
      <sz val="14"/>
      <name val="Calibri"/>
      <family val="2"/>
    </font>
    <font>
      <b/>
      <sz val="12"/>
      <color theme="1"/>
      <name val="Calibri"/>
      <family val="2"/>
    </font>
    <font>
      <b/>
      <sz val="20"/>
      <color theme="1"/>
      <name val="Calibri"/>
      <family val="2"/>
    </font>
    <font>
      <sz val="20"/>
      <color theme="1"/>
      <name val="Calibri"/>
      <family val="2"/>
    </font>
    <font>
      <sz val="11"/>
      <color theme="0"/>
      <name val="Calibri"/>
      <family val="2"/>
    </font>
    <font>
      <b/>
      <sz val="12"/>
      <name val="Calibri"/>
      <family val="2"/>
    </font>
    <font>
      <b/>
      <sz val="20"/>
      <name val="Calibri"/>
      <family val="2"/>
    </font>
    <font>
      <sz val="20"/>
      <name val="Calibri"/>
      <family val="2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0"/>
      <name val="Tahoma"/>
      <family val="2"/>
    </font>
    <font>
      <sz val="11"/>
      <color theme="0"/>
      <name val="Candara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91F3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319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</fills>
  <borders count="2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5" fillId="0" borderId="0"/>
    <xf numFmtId="0" fontId="10" fillId="0" borderId="0"/>
    <xf numFmtId="0" fontId="10" fillId="0" borderId="0"/>
    <xf numFmtId="0" fontId="3" fillId="0" borderId="0"/>
  </cellStyleXfs>
  <cellXfs count="209">
    <xf numFmtId="0" fontId="0" fillId="0" borderId="0" xfId="0"/>
    <xf numFmtId="0" fontId="8" fillId="0" borderId="0" xfId="0" applyFont="1" applyAlignment="1" applyProtection="1">
      <alignment horizontal="left" vertical="top"/>
      <protection locked="0"/>
    </xf>
    <xf numFmtId="0" fontId="8" fillId="0" borderId="0" xfId="0" applyFont="1" applyAlignment="1" applyProtection="1">
      <alignment horizontal="left" vertical="top" wrapText="1"/>
      <protection locked="0"/>
    </xf>
    <xf numFmtId="0" fontId="8" fillId="2" borderId="0" xfId="0" applyFont="1" applyFill="1" applyAlignment="1" applyProtection="1">
      <alignment horizontal="left" vertical="top"/>
      <protection hidden="1"/>
    </xf>
    <xf numFmtId="0" fontId="8" fillId="0" borderId="0" xfId="0" applyFont="1" applyAlignment="1">
      <alignment horizontal="left" vertical="top"/>
    </xf>
    <xf numFmtId="0" fontId="0" fillId="0" borderId="0" xfId="0" applyAlignment="1" applyProtection="1">
      <alignment horizontal="left" vertical="top" wrapText="1"/>
      <protection locked="0"/>
    </xf>
    <xf numFmtId="0" fontId="9" fillId="2" borderId="0" xfId="0" applyFont="1" applyFill="1" applyAlignment="1" applyProtection="1">
      <alignment horizontal="left" vertical="top"/>
      <protection hidden="1"/>
    </xf>
    <xf numFmtId="0" fontId="9" fillId="0" borderId="0" xfId="0" applyFont="1" applyAlignment="1" applyProtection="1">
      <alignment horizontal="left" vertical="top" wrapText="1"/>
      <protection locked="0"/>
    </xf>
    <xf numFmtId="14" fontId="9" fillId="0" borderId="0" xfId="0" applyNumberFormat="1" applyFont="1" applyAlignment="1" applyProtection="1">
      <alignment horizontal="left" vertical="top" wrapText="1"/>
      <protection locked="0"/>
    </xf>
    <xf numFmtId="0" fontId="9" fillId="0" borderId="0" xfId="0" applyFont="1" applyAlignment="1" applyProtection="1">
      <alignment horizontal="left" vertical="top"/>
      <protection locked="0"/>
    </xf>
    <xf numFmtId="0" fontId="9" fillId="0" borderId="0" xfId="0" applyFont="1" applyAlignment="1">
      <alignment horizontal="left" vertical="top"/>
    </xf>
    <xf numFmtId="0" fontId="0" fillId="0" borderId="0" xfId="0" applyAlignment="1" applyProtection="1">
      <alignment horizontal="left" vertical="top"/>
      <protection locked="0"/>
    </xf>
    <xf numFmtId="22" fontId="0" fillId="0" borderId="0" xfId="0" applyNumberFormat="1" applyAlignment="1" applyProtection="1">
      <alignment horizontal="left" vertical="top"/>
      <protection locked="0"/>
    </xf>
    <xf numFmtId="14" fontId="9" fillId="0" borderId="0" xfId="0" applyNumberFormat="1" applyFont="1" applyAlignment="1" applyProtection="1">
      <alignment horizontal="left" vertical="top"/>
      <protection locked="0"/>
    </xf>
    <xf numFmtId="0" fontId="7" fillId="0" borderId="0" xfId="1" applyAlignment="1" applyProtection="1">
      <alignment horizontal="left" vertical="top"/>
      <protection locked="0"/>
    </xf>
    <xf numFmtId="22" fontId="7" fillId="0" borderId="0" xfId="1" applyNumberFormat="1" applyAlignment="1" applyProtection="1">
      <alignment horizontal="left" vertical="top"/>
      <protection locked="0"/>
    </xf>
    <xf numFmtId="0" fontId="10" fillId="0" borderId="0" xfId="2" applyAlignment="1" applyProtection="1">
      <alignment horizontal="left" vertical="top"/>
      <protection locked="0"/>
    </xf>
    <xf numFmtId="0" fontId="8" fillId="2" borderId="0" xfId="0" applyFont="1" applyFill="1" applyAlignment="1" applyProtection="1">
      <alignment horizontal="left" vertical="top"/>
      <protection locked="0"/>
    </xf>
    <xf numFmtId="0" fontId="8" fillId="0" borderId="0" xfId="0" applyFont="1" applyProtection="1">
      <protection locked="0"/>
    </xf>
    <xf numFmtId="0" fontId="8" fillId="0" borderId="0" xfId="0" applyFont="1"/>
    <xf numFmtId="0" fontId="7" fillId="0" borderId="0" xfId="3" applyAlignment="1" applyProtection="1">
      <alignment horizontal="left" vertical="top"/>
      <protection locked="0"/>
    </xf>
    <xf numFmtId="22" fontId="7" fillId="0" borderId="0" xfId="3" applyNumberFormat="1" applyAlignment="1" applyProtection="1">
      <alignment horizontal="left" vertical="top"/>
      <protection locked="0"/>
    </xf>
    <xf numFmtId="0" fontId="9" fillId="2" borderId="0" xfId="0" applyFont="1" applyFill="1" applyAlignment="1" applyProtection="1">
      <alignment horizontal="left" vertical="top"/>
      <protection locked="0"/>
    </xf>
    <xf numFmtId="0" fontId="9" fillId="0" borderId="0" xfId="0" applyFont="1" applyProtection="1">
      <protection locked="0"/>
    </xf>
    <xf numFmtId="0" fontId="9" fillId="0" borderId="0" xfId="0" applyFont="1"/>
    <xf numFmtId="22" fontId="9" fillId="0" borderId="0" xfId="0" applyNumberFormat="1" applyFont="1" applyAlignment="1" applyProtection="1">
      <alignment horizontal="left" vertical="top"/>
      <protection locked="0"/>
    </xf>
    <xf numFmtId="0" fontId="12" fillId="0" borderId="0" xfId="0" applyFont="1"/>
    <xf numFmtId="0" fontId="10" fillId="0" borderId="0" xfId="0" applyFont="1"/>
    <xf numFmtId="0" fontId="12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0" borderId="0" xfId="0" quotePrefix="1" applyFont="1" applyAlignment="1">
      <alignment vertical="center"/>
    </xf>
    <xf numFmtId="49" fontId="0" fillId="0" borderId="0" xfId="0" applyNumberFormat="1"/>
    <xf numFmtId="0" fontId="6" fillId="0" borderId="0" xfId="4"/>
    <xf numFmtId="164" fontId="6" fillId="0" borderId="0" xfId="4" applyNumberFormat="1" applyProtection="1">
      <protection hidden="1"/>
    </xf>
    <xf numFmtId="0" fontId="6" fillId="0" borderId="0" xfId="4" applyProtection="1">
      <protection hidden="1"/>
    </xf>
    <xf numFmtId="0" fontId="16" fillId="6" borderId="0" xfId="2" applyFont="1" applyFill="1" applyAlignment="1" applyProtection="1">
      <alignment vertical="top"/>
      <protection locked="0"/>
    </xf>
    <xf numFmtId="0" fontId="16" fillId="4" borderId="0" xfId="2" applyFont="1" applyFill="1" applyAlignment="1" applyProtection="1">
      <alignment vertical="top"/>
      <protection locked="0"/>
    </xf>
    <xf numFmtId="22" fontId="0" fillId="0" borderId="0" xfId="0" applyNumberFormat="1"/>
    <xf numFmtId="0" fontId="14" fillId="0" borderId="0" xfId="0" applyFont="1" applyAlignment="1">
      <alignment horizontal="left" vertical="center"/>
    </xf>
    <xf numFmtId="0" fontId="11" fillId="0" borderId="0" xfId="4" applyFont="1" applyAlignment="1">
      <alignment vertical="top"/>
    </xf>
    <xf numFmtId="166" fontId="11" fillId="0" borderId="0" xfId="4" applyNumberFormat="1" applyFont="1" applyAlignment="1">
      <alignment vertical="top"/>
    </xf>
    <xf numFmtId="0" fontId="4" fillId="0" borderId="0" xfId="3" applyFont="1" applyAlignment="1" applyProtection="1">
      <alignment horizontal="left" vertical="top"/>
      <protection locked="0"/>
    </xf>
    <xf numFmtId="0" fontId="11" fillId="0" borderId="0" xfId="4" applyFont="1" applyAlignment="1">
      <alignment horizontal="left" vertical="top" indent="1"/>
    </xf>
    <xf numFmtId="166" fontId="6" fillId="0" borderId="0" xfId="4" applyNumberFormat="1" applyAlignment="1" applyProtection="1">
      <alignment horizontal="left" vertical="top" wrapText="1" indent="1"/>
      <protection hidden="1"/>
    </xf>
    <xf numFmtId="0" fontId="18" fillId="0" borderId="0" xfId="0" applyFont="1"/>
    <xf numFmtId="0" fontId="20" fillId="3" borderId="14" xfId="4" applyFont="1" applyFill="1" applyBorder="1" applyAlignment="1">
      <alignment horizontal="left" vertical="top" indent="1"/>
    </xf>
    <xf numFmtId="166" fontId="21" fillId="4" borderId="15" xfId="4" applyNumberFormat="1" applyFont="1" applyFill="1" applyBorder="1" applyAlignment="1" applyProtection="1">
      <alignment horizontal="left" vertical="top" wrapText="1" indent="1"/>
      <protection hidden="1"/>
    </xf>
    <xf numFmtId="0" fontId="20" fillId="3" borderId="22" xfId="4" applyFont="1" applyFill="1" applyBorder="1" applyAlignment="1">
      <alignment horizontal="left" vertical="top" indent="1"/>
    </xf>
    <xf numFmtId="166" fontId="21" fillId="4" borderId="17" xfId="4" applyNumberFormat="1" applyFont="1" applyFill="1" applyBorder="1" applyAlignment="1" applyProtection="1">
      <alignment horizontal="left" vertical="top" wrapText="1" indent="1"/>
      <protection hidden="1"/>
    </xf>
    <xf numFmtId="0" fontId="20" fillId="3" borderId="16" xfId="4" applyFont="1" applyFill="1" applyBorder="1" applyAlignment="1">
      <alignment horizontal="left" vertical="top" indent="1"/>
    </xf>
    <xf numFmtId="14" fontId="21" fillId="4" borderId="17" xfId="4" applyNumberFormat="1" applyFont="1" applyFill="1" applyBorder="1" applyAlignment="1" applyProtection="1">
      <alignment horizontal="left" vertical="top" wrapText="1" indent="1"/>
      <protection hidden="1"/>
    </xf>
    <xf numFmtId="0" fontId="20" fillId="3" borderId="18" xfId="4" applyFont="1" applyFill="1" applyBorder="1" applyAlignment="1">
      <alignment horizontal="left" vertical="top" indent="1"/>
    </xf>
    <xf numFmtId="166" fontId="21" fillId="4" borderId="19" xfId="4" applyNumberFormat="1" applyFont="1" applyFill="1" applyBorder="1" applyAlignment="1" applyProtection="1">
      <alignment horizontal="left" vertical="top" wrapText="1" indent="1"/>
      <protection hidden="1"/>
    </xf>
    <xf numFmtId="0" fontId="20" fillId="0" borderId="0" xfId="4" applyFont="1" applyAlignment="1">
      <alignment vertical="top"/>
    </xf>
    <xf numFmtId="166" fontId="20" fillId="0" borderId="0" xfId="4" applyNumberFormat="1" applyFont="1" applyAlignment="1">
      <alignment vertical="top"/>
    </xf>
    <xf numFmtId="166" fontId="21" fillId="0" borderId="15" xfId="4" applyNumberFormat="1" applyFont="1" applyBorder="1" applyAlignment="1" applyProtection="1">
      <alignment horizontal="left" vertical="top" wrapText="1" indent="1"/>
      <protection hidden="1"/>
    </xf>
    <xf numFmtId="166" fontId="21" fillId="0" borderId="17" xfId="4" applyNumberFormat="1" applyFont="1" applyBorder="1" applyAlignment="1" applyProtection="1">
      <alignment horizontal="left" vertical="top" wrapText="1" indent="1"/>
      <protection hidden="1"/>
    </xf>
    <xf numFmtId="14" fontId="21" fillId="0" borderId="17" xfId="4" applyNumberFormat="1" applyFont="1" applyBorder="1" applyAlignment="1" applyProtection="1">
      <alignment horizontal="left" vertical="top" wrapText="1" indent="1"/>
      <protection hidden="1"/>
    </xf>
    <xf numFmtId="0" fontId="20" fillId="3" borderId="20" xfId="4" applyFont="1" applyFill="1" applyBorder="1" applyAlignment="1">
      <alignment horizontal="left" vertical="top" indent="1"/>
    </xf>
    <xf numFmtId="166" fontId="21" fillId="0" borderId="21" xfId="4" applyNumberFormat="1" applyFont="1" applyBorder="1" applyAlignment="1" applyProtection="1">
      <alignment horizontal="left" vertical="top" wrapText="1" indent="1"/>
      <protection hidden="1"/>
    </xf>
    <xf numFmtId="0" fontId="20" fillId="0" borderId="13" xfId="4" applyFont="1" applyBorder="1" applyAlignment="1">
      <alignment vertical="top"/>
    </xf>
    <xf numFmtId="166" fontId="20" fillId="0" borderId="13" xfId="4" applyNumberFormat="1" applyFont="1" applyBorder="1" applyAlignment="1">
      <alignment vertical="top"/>
    </xf>
    <xf numFmtId="0" fontId="20" fillId="0" borderId="12" xfId="4" applyFont="1" applyBorder="1" applyAlignment="1">
      <alignment vertical="top"/>
    </xf>
    <xf numFmtId="166" fontId="20" fillId="0" borderId="12" xfId="4" applyNumberFormat="1" applyFont="1" applyBorder="1" applyAlignment="1">
      <alignment vertical="top"/>
    </xf>
    <xf numFmtId="166" fontId="21" fillId="0" borderId="19" xfId="4" applyNumberFormat="1" applyFont="1" applyBorder="1" applyAlignment="1" applyProtection="1">
      <alignment horizontal="left" vertical="top" wrapText="1" indent="1"/>
      <protection hidden="1"/>
    </xf>
    <xf numFmtId="0" fontId="20" fillId="0" borderId="0" xfId="4" applyFont="1" applyAlignment="1">
      <alignment horizontal="left" vertical="top" indent="1"/>
    </xf>
    <xf numFmtId="166" fontId="21" fillId="0" borderId="0" xfId="4" applyNumberFormat="1" applyFont="1" applyAlignment="1" applyProtection="1">
      <alignment horizontal="left" vertical="top" wrapText="1" indent="1"/>
      <protection hidden="1"/>
    </xf>
    <xf numFmtId="0" fontId="20" fillId="3" borderId="9" xfId="4" applyFont="1" applyFill="1" applyBorder="1" applyAlignment="1">
      <alignment horizontal="left" vertical="top" indent="1"/>
    </xf>
    <xf numFmtId="166" fontId="21" fillId="4" borderId="9" xfId="4" applyNumberFormat="1" applyFont="1" applyFill="1" applyBorder="1" applyAlignment="1" applyProtection="1">
      <alignment horizontal="left" vertical="top" wrapText="1" indent="1"/>
      <protection hidden="1"/>
    </xf>
    <xf numFmtId="14" fontId="21" fillId="4" borderId="9" xfId="4" applyNumberFormat="1" applyFont="1" applyFill="1" applyBorder="1" applyAlignment="1" applyProtection="1">
      <alignment horizontal="left" vertical="top" wrapText="1" indent="1"/>
      <protection hidden="1"/>
    </xf>
    <xf numFmtId="0" fontId="22" fillId="0" borderId="0" xfId="0" applyFont="1" applyAlignment="1" applyProtection="1">
      <alignment horizontal="left" vertical="top" wrapText="1"/>
      <protection locked="0"/>
    </xf>
    <xf numFmtId="0" fontId="22" fillId="0" borderId="0" xfId="0" applyFont="1" applyAlignment="1">
      <alignment horizontal="left" vertical="top" wrapText="1"/>
    </xf>
    <xf numFmtId="0" fontId="23" fillId="0" borderId="0" xfId="0" applyFont="1" applyAlignment="1" applyProtection="1">
      <alignment horizontal="left" vertical="top" wrapText="1"/>
      <protection locked="0"/>
    </xf>
    <xf numFmtId="14" fontId="23" fillId="0" borderId="0" xfId="0" applyNumberFormat="1" applyFont="1" applyAlignment="1" applyProtection="1">
      <alignment horizontal="left" vertical="top" wrapText="1"/>
      <protection locked="0"/>
    </xf>
    <xf numFmtId="0" fontId="23" fillId="2" borderId="0" xfId="0" applyFont="1" applyFill="1" applyAlignment="1" applyProtection="1">
      <alignment horizontal="left" vertical="top" wrapText="1"/>
      <protection hidden="1"/>
    </xf>
    <xf numFmtId="0" fontId="23" fillId="0" borderId="0" xfId="0" applyFont="1" applyAlignment="1">
      <alignment horizontal="left" vertical="top" wrapText="1"/>
    </xf>
    <xf numFmtId="0" fontId="21" fillId="0" borderId="0" xfId="1" applyFont="1" applyAlignment="1" applyProtection="1">
      <alignment horizontal="left" vertical="top" wrapText="1"/>
      <protection locked="0"/>
    </xf>
    <xf numFmtId="0" fontId="22" fillId="0" borderId="0" xfId="0" applyFont="1"/>
    <xf numFmtId="0" fontId="23" fillId="2" borderId="0" xfId="0" applyFont="1" applyFill="1" applyAlignment="1" applyProtection="1">
      <alignment horizontal="left" vertical="top" wrapText="1"/>
      <protection locked="0"/>
    </xf>
    <xf numFmtId="0" fontId="23" fillId="0" borderId="0" xfId="0" applyFont="1"/>
    <xf numFmtId="22" fontId="23" fillId="0" borderId="0" xfId="0" applyNumberFormat="1" applyFont="1" applyAlignment="1" applyProtection="1">
      <alignment horizontal="left" vertical="top" wrapText="1"/>
      <protection locked="0"/>
    </xf>
    <xf numFmtId="0" fontId="21" fillId="0" borderId="0" xfId="5" applyFont="1"/>
    <xf numFmtId="0" fontId="21" fillId="4" borderId="0" xfId="5" applyFont="1" applyFill="1"/>
    <xf numFmtId="0" fontId="21" fillId="4" borderId="7" xfId="5" applyFont="1" applyFill="1" applyBorder="1"/>
    <xf numFmtId="0" fontId="21" fillId="4" borderId="6" xfId="5" applyFont="1" applyFill="1" applyBorder="1"/>
    <xf numFmtId="0" fontId="21" fillId="4" borderId="5" xfId="5" applyFont="1" applyFill="1" applyBorder="1" applyAlignment="1">
      <alignment horizontal="left" indent="2"/>
    </xf>
    <xf numFmtId="0" fontId="21" fillId="4" borderId="0" xfId="5" applyFont="1" applyFill="1" applyAlignment="1">
      <alignment horizontal="left" indent="2"/>
    </xf>
    <xf numFmtId="0" fontId="21" fillId="4" borderId="4" xfId="5" applyFont="1" applyFill="1" applyBorder="1" applyAlignment="1">
      <alignment horizontal="left" indent="2"/>
    </xf>
    <xf numFmtId="0" fontId="21" fillId="4" borderId="3" xfId="5" applyFont="1" applyFill="1" applyBorder="1" applyAlignment="1">
      <alignment horizontal="left" indent="2"/>
    </xf>
    <xf numFmtId="0" fontId="21" fillId="4" borderId="2" xfId="5" applyFont="1" applyFill="1" applyBorder="1" applyAlignment="1">
      <alignment horizontal="left" indent="2"/>
    </xf>
    <xf numFmtId="0" fontId="21" fillId="4" borderId="1" xfId="5" applyFont="1" applyFill="1" applyBorder="1" applyAlignment="1">
      <alignment horizontal="left" indent="2"/>
    </xf>
    <xf numFmtId="0" fontId="23" fillId="4" borderId="0" xfId="6" applyFont="1" applyFill="1"/>
    <xf numFmtId="0" fontId="22" fillId="4" borderId="0" xfId="6" applyFont="1" applyFill="1"/>
    <xf numFmtId="0" fontId="23" fillId="4" borderId="0" xfId="6" applyFont="1" applyFill="1" applyAlignment="1">
      <alignment wrapText="1"/>
    </xf>
    <xf numFmtId="0" fontId="24" fillId="4" borderId="0" xfId="6" applyFont="1" applyFill="1"/>
    <xf numFmtId="0" fontId="25" fillId="4" borderId="0" xfId="6" applyFont="1" applyFill="1"/>
    <xf numFmtId="22" fontId="23" fillId="0" borderId="0" xfId="0" applyNumberFormat="1" applyFont="1" applyAlignment="1">
      <alignment horizontal="left" vertical="top" wrapText="1"/>
    </xf>
    <xf numFmtId="11" fontId="23" fillId="0" borderId="0" xfId="0" applyNumberFormat="1" applyFont="1" applyAlignment="1">
      <alignment horizontal="left" vertical="top" wrapText="1"/>
    </xf>
    <xf numFmtId="0" fontId="20" fillId="3" borderId="9" xfId="6" applyFont="1" applyFill="1" applyBorder="1" applyAlignment="1">
      <alignment horizontal="center" vertical="top"/>
    </xf>
    <xf numFmtId="0" fontId="22" fillId="4" borderId="8" xfId="6" applyFont="1" applyFill="1" applyBorder="1" applyAlignment="1">
      <alignment horizontal="left"/>
    </xf>
    <xf numFmtId="0" fontId="21" fillId="0" borderId="7" xfId="5" applyFont="1" applyBorder="1"/>
    <xf numFmtId="0" fontId="20" fillId="3" borderId="9" xfId="6" applyFont="1" applyFill="1" applyBorder="1" applyAlignment="1">
      <alignment horizontal="left" vertical="center" indent="1"/>
    </xf>
    <xf numFmtId="0" fontId="23" fillId="4" borderId="0" xfId="5" applyFont="1" applyFill="1" applyAlignment="1" applyProtection="1">
      <alignment vertical="top" wrapText="1"/>
      <protection locked="0"/>
    </xf>
    <xf numFmtId="0" fontId="23" fillId="6" borderId="0" xfId="5" applyFont="1" applyFill="1" applyAlignment="1" applyProtection="1">
      <alignment vertical="top" wrapText="1"/>
      <protection locked="0"/>
    </xf>
    <xf numFmtId="0" fontId="21" fillId="0" borderId="0" xfId="7" applyFont="1" applyAlignment="1" applyProtection="1">
      <alignment vertical="top" wrapText="1"/>
      <protection locked="0"/>
    </xf>
    <xf numFmtId="0" fontId="23" fillId="4" borderId="0" xfId="7" applyFont="1" applyFill="1" applyAlignment="1" applyProtection="1">
      <alignment vertical="top" wrapText="1"/>
      <protection locked="0"/>
    </xf>
    <xf numFmtId="0" fontId="23" fillId="6" borderId="0" xfId="7" applyFont="1" applyFill="1" applyAlignment="1" applyProtection="1">
      <alignment vertical="top" wrapText="1"/>
      <protection locked="0"/>
    </xf>
    <xf numFmtId="0" fontId="23" fillId="4" borderId="0" xfId="7" applyFont="1" applyFill="1" applyAlignment="1" applyProtection="1">
      <alignment horizontal="left" vertical="top" wrapText="1"/>
      <protection locked="0"/>
    </xf>
    <xf numFmtId="0" fontId="31" fillId="4" borderId="0" xfId="7" applyFont="1" applyFill="1" applyAlignment="1">
      <alignment wrapText="1"/>
    </xf>
    <xf numFmtId="0" fontId="23" fillId="4" borderId="0" xfId="7" applyFont="1" applyFill="1" applyAlignment="1">
      <alignment wrapText="1"/>
    </xf>
    <xf numFmtId="0" fontId="20" fillId="3" borderId="9" xfId="7" applyFont="1" applyFill="1" applyBorder="1" applyAlignment="1" applyProtection="1">
      <alignment horizontal="center" vertical="center" wrapText="1"/>
      <protection locked="0"/>
    </xf>
    <xf numFmtId="165" fontId="20" fillId="3" borderId="9" xfId="7" applyNumberFormat="1" applyFont="1" applyFill="1" applyBorder="1" applyAlignment="1" applyProtection="1">
      <alignment horizontal="center" vertical="center" wrapText="1"/>
      <protection locked="0"/>
    </xf>
    <xf numFmtId="0" fontId="23" fillId="0" borderId="9" xfId="7" applyFont="1" applyBorder="1" applyAlignment="1">
      <alignment horizontal="center" vertical="center" wrapText="1"/>
    </xf>
    <xf numFmtId="14" fontId="23" fillId="0" borderId="9" xfId="7" applyNumberFormat="1" applyFont="1" applyBorder="1" applyAlignment="1">
      <alignment horizontal="left" vertical="top" wrapText="1"/>
    </xf>
    <xf numFmtId="0" fontId="23" fillId="0" borderId="9" xfId="7" applyFont="1" applyBorder="1" applyAlignment="1">
      <alignment horizontal="left" vertical="top" wrapText="1"/>
    </xf>
    <xf numFmtId="0" fontId="23" fillId="0" borderId="0" xfId="7" applyFont="1"/>
    <xf numFmtId="0" fontId="23" fillId="0" borderId="9" xfId="7" applyFont="1" applyBorder="1"/>
    <xf numFmtId="0" fontId="15" fillId="0" borderId="0" xfId="2" applyFont="1" applyAlignment="1" applyProtection="1">
      <alignment vertical="top" wrapText="1"/>
      <protection locked="0"/>
    </xf>
    <xf numFmtId="0" fontId="16" fillId="0" borderId="0" xfId="2" applyFont="1" applyAlignment="1" applyProtection="1">
      <alignment vertical="top" wrapText="1"/>
      <protection locked="0"/>
    </xf>
    <xf numFmtId="0" fontId="27" fillId="0" borderId="0" xfId="2" applyFont="1" applyAlignment="1" applyProtection="1">
      <alignment vertical="top" wrapText="1"/>
      <protection locked="0"/>
    </xf>
    <xf numFmtId="0" fontId="16" fillId="0" borderId="0" xfId="2" applyFont="1"/>
    <xf numFmtId="0" fontId="16" fillId="0" borderId="9" xfId="2" applyFont="1" applyBorder="1" applyAlignment="1" applyProtection="1">
      <alignment horizontal="left" vertical="top" wrapText="1"/>
      <protection locked="0"/>
    </xf>
    <xf numFmtId="14" fontId="16" fillId="0" borderId="9" xfId="2" applyNumberFormat="1" applyFont="1" applyBorder="1" applyAlignment="1" applyProtection="1">
      <alignment horizontal="center" vertical="top" wrapText="1"/>
      <protection hidden="1"/>
    </xf>
    <xf numFmtId="0" fontId="16" fillId="0" borderId="9" xfId="2" applyFont="1" applyBorder="1" applyAlignment="1" applyProtection="1">
      <alignment horizontal="left" vertical="top" wrapText="1"/>
      <protection hidden="1"/>
    </xf>
    <xf numFmtId="167" fontId="16" fillId="0" borderId="9" xfId="2" applyNumberFormat="1" applyFont="1" applyBorder="1" applyAlignment="1" applyProtection="1">
      <alignment horizontal="center" vertical="top"/>
      <protection hidden="1"/>
    </xf>
    <xf numFmtId="166" fontId="16" fillId="0" borderId="9" xfId="2" applyNumberFormat="1" applyFont="1" applyBorder="1" applyAlignment="1" applyProtection="1">
      <alignment horizontal="left" vertical="top" wrapText="1"/>
      <protection hidden="1"/>
    </xf>
    <xf numFmtId="0" fontId="35" fillId="3" borderId="9" xfId="2" applyFont="1" applyFill="1" applyBorder="1" applyAlignment="1" applyProtection="1">
      <alignment horizontal="left" vertical="top"/>
      <protection locked="0"/>
    </xf>
    <xf numFmtId="165" fontId="35" fillId="3" borderId="9" xfId="2" applyNumberFormat="1" applyFont="1" applyFill="1" applyBorder="1" applyAlignment="1" applyProtection="1">
      <alignment horizontal="left" vertical="top"/>
      <protection locked="0"/>
    </xf>
    <xf numFmtId="0" fontId="20" fillId="3" borderId="9" xfId="8" applyFont="1" applyFill="1" applyBorder="1" applyAlignment="1">
      <alignment horizontal="center" vertical="center"/>
    </xf>
    <xf numFmtId="0" fontId="20" fillId="3" borderId="9" xfId="8" applyFont="1" applyFill="1" applyBorder="1" applyAlignment="1">
      <alignment horizontal="center" vertical="center" wrapText="1"/>
    </xf>
    <xf numFmtId="14" fontId="20" fillId="3" borderId="9" xfId="8" applyNumberFormat="1" applyFont="1" applyFill="1" applyBorder="1" applyAlignment="1">
      <alignment horizontal="center" vertical="center" wrapText="1"/>
    </xf>
    <xf numFmtId="17" fontId="20" fillId="3" borderId="23" xfId="8" applyNumberFormat="1" applyFont="1" applyFill="1" applyBorder="1" applyAlignment="1">
      <alignment horizontal="center" vertical="center" wrapText="1"/>
    </xf>
    <xf numFmtId="17" fontId="20" fillId="3" borderId="9" xfId="8" applyNumberFormat="1" applyFont="1" applyFill="1" applyBorder="1" applyAlignment="1">
      <alignment horizontal="center" vertical="center" wrapText="1"/>
    </xf>
    <xf numFmtId="0" fontId="37" fillId="5" borderId="0" xfId="8" applyFont="1" applyFill="1" applyAlignment="1">
      <alignment horizontal="center" vertical="center" wrapText="1"/>
    </xf>
    <xf numFmtId="0" fontId="38" fillId="0" borderId="9" xfId="8" applyFont="1" applyBorder="1" applyAlignment="1">
      <alignment horizontal="left" vertical="top" wrapText="1"/>
    </xf>
    <xf numFmtId="14" fontId="23" fillId="0" borderId="9" xfId="8" applyNumberFormat="1" applyFont="1" applyBorder="1" applyAlignment="1">
      <alignment horizontal="left" vertical="top" wrapText="1"/>
    </xf>
    <xf numFmtId="0" fontId="23" fillId="0" borderId="9" xfId="8" applyFont="1" applyBorder="1" applyAlignment="1">
      <alignment horizontal="center" vertical="center" wrapText="1"/>
    </xf>
    <xf numFmtId="14" fontId="23" fillId="0" borderId="9" xfId="8" applyNumberFormat="1" applyFont="1" applyBorder="1" applyAlignment="1">
      <alignment horizontal="center" vertical="center" wrapText="1"/>
    </xf>
    <xf numFmtId="0" fontId="23" fillId="4" borderId="9" xfId="8" applyFont="1" applyFill="1" applyBorder="1" applyAlignment="1">
      <alignment horizontal="center" vertical="center" wrapText="1"/>
    </xf>
    <xf numFmtId="0" fontId="21" fillId="0" borderId="9" xfId="8" applyFont="1" applyBorder="1" applyAlignment="1">
      <alignment horizontal="left" vertical="top" wrapText="1"/>
    </xf>
    <xf numFmtId="0" fontId="23" fillId="0" borderId="10" xfId="8" applyFont="1" applyBorder="1" applyAlignment="1">
      <alignment horizontal="left" vertical="top" wrapText="1"/>
    </xf>
    <xf numFmtId="0" fontId="23" fillId="0" borderId="9" xfId="8" applyFont="1" applyBorder="1" applyAlignment="1">
      <alignment horizontal="left" vertical="top" wrapText="1"/>
    </xf>
    <xf numFmtId="0" fontId="23" fillId="0" borderId="0" xfId="8" applyFont="1" applyAlignment="1">
      <alignment vertical="center" wrapText="1"/>
    </xf>
    <xf numFmtId="0" fontId="23" fillId="7" borderId="24" xfId="8" applyFont="1" applyFill="1" applyBorder="1" applyAlignment="1">
      <alignment horizontal="center" vertical="center" wrapText="1"/>
    </xf>
    <xf numFmtId="0" fontId="23" fillId="7" borderId="0" xfId="8" applyFont="1" applyFill="1" applyAlignment="1">
      <alignment horizontal="left" vertical="center" wrapText="1"/>
    </xf>
    <xf numFmtId="0" fontId="23" fillId="7" borderId="0" xfId="8" applyFont="1" applyFill="1" applyAlignment="1">
      <alignment horizontal="left" vertical="top" wrapText="1"/>
    </xf>
    <xf numFmtId="0" fontId="23" fillId="0" borderId="25" xfId="8" applyFont="1" applyBorder="1" applyAlignment="1">
      <alignment horizontal="left" vertical="top" wrapText="1"/>
    </xf>
    <xf numFmtId="0" fontId="23" fillId="7" borderId="0" xfId="8" applyFont="1" applyFill="1" applyAlignment="1">
      <alignment horizontal="center" vertical="center" wrapText="1"/>
    </xf>
    <xf numFmtId="14" fontId="23" fillId="7" borderId="0" xfId="8" applyNumberFormat="1" applyFont="1" applyFill="1" applyAlignment="1">
      <alignment horizontal="center" vertical="center" wrapText="1"/>
    </xf>
    <xf numFmtId="0" fontId="23" fillId="7" borderId="0" xfId="8" applyFont="1" applyFill="1" applyAlignment="1">
      <alignment vertical="center" wrapText="1"/>
    </xf>
    <xf numFmtId="0" fontId="23" fillId="0" borderId="24" xfId="8" applyFont="1" applyBorder="1" applyAlignment="1">
      <alignment horizontal="center" vertical="center" wrapText="1"/>
    </xf>
    <xf numFmtId="0" fontId="23" fillId="0" borderId="0" xfId="8" applyFont="1" applyAlignment="1">
      <alignment horizontal="center" vertical="center" wrapText="1"/>
    </xf>
    <xf numFmtId="14" fontId="23" fillId="0" borderId="0" xfId="8" applyNumberFormat="1" applyFont="1" applyAlignment="1">
      <alignment horizontal="center" vertical="center" wrapText="1"/>
    </xf>
    <xf numFmtId="0" fontId="20" fillId="3" borderId="0" xfId="0" applyFont="1" applyFill="1" applyAlignment="1" applyProtection="1">
      <alignment horizontal="left" vertical="top" wrapText="1"/>
      <protection locked="0"/>
    </xf>
    <xf numFmtId="0" fontId="20" fillId="3" borderId="0" xfId="0" applyFont="1" applyFill="1" applyAlignment="1" applyProtection="1">
      <alignment horizontal="left" vertical="top" wrapText="1"/>
      <protection hidden="1"/>
    </xf>
    <xf numFmtId="0" fontId="39" fillId="0" borderId="9" xfId="6" applyFont="1" applyBorder="1" applyAlignment="1">
      <alignment horizontal="center" vertical="top" wrapText="1"/>
    </xf>
    <xf numFmtId="0" fontId="21" fillId="0" borderId="9" xfId="5" applyFont="1" applyBorder="1" applyAlignment="1">
      <alignment horizontal="left" vertical="top" wrapText="1"/>
    </xf>
    <xf numFmtId="0" fontId="23" fillId="0" borderId="10" xfId="5" applyFont="1" applyBorder="1" applyAlignment="1">
      <alignment horizontal="left" vertical="top" wrapText="1"/>
    </xf>
    <xf numFmtId="14" fontId="0" fillId="0" borderId="0" xfId="0" applyNumberFormat="1"/>
    <xf numFmtId="1" fontId="21" fillId="4" borderId="17" xfId="4" applyNumberFormat="1" applyFont="1" applyFill="1" applyBorder="1" applyAlignment="1" applyProtection="1">
      <alignment horizontal="left" vertical="top" wrapText="1" indent="1"/>
      <protection hidden="1"/>
    </xf>
    <xf numFmtId="0" fontId="40" fillId="4" borderId="0" xfId="4" applyFont="1" applyFill="1"/>
    <xf numFmtId="0" fontId="21" fillId="0" borderId="0" xfId="7" applyFont="1" applyAlignment="1" applyProtection="1">
      <alignment horizontal="center" vertical="center" wrapText="1"/>
      <protection locked="0"/>
    </xf>
    <xf numFmtId="0" fontId="23" fillId="0" borderId="9" xfId="7" applyFont="1" applyBorder="1" applyAlignment="1">
      <alignment horizontal="center" vertical="center"/>
    </xf>
    <xf numFmtId="0" fontId="23" fillId="0" borderId="0" xfId="7" applyFont="1" applyAlignment="1">
      <alignment horizontal="center" vertical="center"/>
    </xf>
    <xf numFmtId="0" fontId="0" fillId="0" borderId="0" xfId="0" applyAlignment="1">
      <alignment wrapText="1"/>
    </xf>
    <xf numFmtId="0" fontId="23" fillId="0" borderId="9" xfId="7" applyFont="1" applyBorder="1" applyAlignment="1">
      <alignment wrapText="1"/>
    </xf>
    <xf numFmtId="0" fontId="0" fillId="8" borderId="0" xfId="0" applyFill="1"/>
    <xf numFmtId="0" fontId="23" fillId="8" borderId="0" xfId="0" applyFont="1" applyFill="1" applyAlignment="1" applyProtection="1">
      <alignment horizontal="left" vertical="top" wrapText="1"/>
      <protection locked="0"/>
    </xf>
    <xf numFmtId="0" fontId="2" fillId="0" borderId="0" xfId="4" applyFont="1"/>
    <xf numFmtId="0" fontId="23" fillId="9" borderId="0" xfId="0" applyFont="1" applyFill="1" applyAlignment="1">
      <alignment horizontal="left" vertical="top" wrapText="1"/>
    </xf>
    <xf numFmtId="0" fontId="23" fillId="9" borderId="0" xfId="0" applyFont="1" applyFill="1" applyAlignment="1" applyProtection="1">
      <alignment horizontal="left" vertical="top" wrapText="1"/>
      <protection locked="0"/>
    </xf>
    <xf numFmtId="0" fontId="20" fillId="10" borderId="0" xfId="0" applyFont="1" applyFill="1" applyAlignment="1" applyProtection="1">
      <alignment horizontal="left" vertical="top" wrapText="1"/>
      <protection locked="0"/>
    </xf>
    <xf numFmtId="0" fontId="20" fillId="11" borderId="0" xfId="0" applyFont="1" applyFill="1" applyAlignment="1" applyProtection="1">
      <alignment horizontal="left" vertical="top" wrapText="1"/>
      <protection locked="0"/>
    </xf>
    <xf numFmtId="49" fontId="0" fillId="0" borderId="0" xfId="0" applyNumberFormat="1" applyAlignment="1">
      <alignment vertical="top" wrapText="1"/>
    </xf>
    <xf numFmtId="0" fontId="1" fillId="0" borderId="0" xfId="4" applyFont="1"/>
    <xf numFmtId="0" fontId="40" fillId="0" borderId="0" xfId="4" applyFont="1"/>
    <xf numFmtId="0" fontId="29" fillId="0" borderId="0" xfId="5" applyFont="1" applyAlignment="1">
      <alignment horizontal="center" vertical="center" wrapText="1"/>
    </xf>
    <xf numFmtId="0" fontId="22" fillId="0" borderId="11" xfId="6" applyFont="1" applyBorder="1" applyAlignment="1">
      <alignment horizontal="left" vertical="center" wrapText="1" indent="1"/>
    </xf>
    <xf numFmtId="0" fontId="22" fillId="0" borderId="10" xfId="6" applyFont="1" applyBorder="1" applyAlignment="1">
      <alignment horizontal="left" vertical="center" wrapText="1" indent="1"/>
    </xf>
    <xf numFmtId="0" fontId="22" fillId="0" borderId="11" xfId="6" applyFont="1" applyBorder="1" applyAlignment="1">
      <alignment horizontal="left" vertical="center" indent="1"/>
    </xf>
    <xf numFmtId="0" fontId="22" fillId="0" borderId="10" xfId="6" applyFont="1" applyBorder="1" applyAlignment="1">
      <alignment horizontal="left" vertical="center" indent="1"/>
    </xf>
    <xf numFmtId="14" fontId="22" fillId="0" borderId="11" xfId="6" applyNumberFormat="1" applyFont="1" applyBorder="1" applyAlignment="1">
      <alignment horizontal="left" vertical="center" indent="1"/>
    </xf>
    <xf numFmtId="20" fontId="22" fillId="0" borderId="11" xfId="6" applyNumberFormat="1" applyFont="1" applyBorder="1" applyAlignment="1">
      <alignment horizontal="left" vertical="center" indent="1"/>
    </xf>
    <xf numFmtId="0" fontId="23" fillId="0" borderId="11" xfId="7" applyFont="1" applyBorder="1" applyAlignment="1">
      <alignment horizontal="left" vertical="top" wrapText="1"/>
    </xf>
    <xf numFmtId="0" fontId="23" fillId="0" borderId="10" xfId="7" applyFont="1" applyBorder="1" applyAlignment="1">
      <alignment horizontal="left" vertical="top" wrapText="1"/>
    </xf>
    <xf numFmtId="0" fontId="29" fillId="0" borderId="0" xfId="7" applyFont="1" applyAlignment="1">
      <alignment horizontal="center" vertical="center" wrapText="1"/>
    </xf>
    <xf numFmtId="0" fontId="30" fillId="0" borderId="0" xfId="7" applyFont="1" applyAlignment="1">
      <alignment wrapText="1"/>
    </xf>
    <xf numFmtId="14" fontId="32" fillId="0" borderId="0" xfId="7" applyNumberFormat="1" applyFont="1" applyAlignment="1" applyProtection="1">
      <alignment horizontal="left" vertical="top" wrapText="1"/>
      <protection locked="0"/>
    </xf>
    <xf numFmtId="0" fontId="15" fillId="0" borderId="0" xfId="7" applyFont="1" applyAlignment="1">
      <alignment horizontal="left" vertical="top" wrapText="1"/>
    </xf>
    <xf numFmtId="14" fontId="28" fillId="0" borderId="0" xfId="7" applyNumberFormat="1" applyFont="1" applyAlignment="1" applyProtection="1">
      <alignment horizontal="left" vertical="top" wrapText="1"/>
      <protection locked="0"/>
    </xf>
    <xf numFmtId="0" fontId="26" fillId="0" borderId="0" xfId="7" applyFont="1" applyAlignment="1">
      <alignment horizontal="left" vertical="top" wrapText="1"/>
    </xf>
    <xf numFmtId="0" fontId="20" fillId="3" borderId="11" xfId="7" applyFont="1" applyFill="1" applyBorder="1" applyAlignment="1" applyProtection="1">
      <alignment horizontal="center" vertical="center" wrapText="1"/>
      <protection locked="0"/>
    </xf>
    <xf numFmtId="0" fontId="20" fillId="3" borderId="10" xfId="7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Alignment="1">
      <alignment horizontal="left"/>
    </xf>
    <xf numFmtId="0" fontId="13" fillId="0" borderId="0" xfId="0" quotePrefix="1" applyFont="1" applyAlignment="1">
      <alignment horizontal="left" vertical="center"/>
    </xf>
    <xf numFmtId="49" fontId="13" fillId="0" borderId="0" xfId="0" quotePrefix="1" applyNumberFormat="1" applyFont="1" applyAlignment="1">
      <alignment horizontal="left" vertical="center"/>
    </xf>
    <xf numFmtId="49" fontId="13" fillId="0" borderId="0" xfId="0" applyNumberFormat="1" applyFont="1" applyAlignment="1">
      <alignment horizontal="left"/>
    </xf>
    <xf numFmtId="0" fontId="14" fillId="0" borderId="0" xfId="0" applyFont="1" applyAlignment="1">
      <alignment horizontal="left" vertical="center"/>
    </xf>
    <xf numFmtId="0" fontId="19" fillId="0" borderId="0" xfId="4" applyFont="1" applyAlignment="1">
      <alignment horizontal="center" vertical="center"/>
    </xf>
    <xf numFmtId="166" fontId="16" fillId="0" borderId="9" xfId="2" applyNumberFormat="1" applyFont="1" applyBorder="1" applyAlignment="1" applyProtection="1">
      <alignment horizontal="left" vertical="top" wrapText="1"/>
      <protection hidden="1"/>
    </xf>
    <xf numFmtId="0" fontId="33" fillId="0" borderId="0" xfId="2" applyFont="1" applyAlignment="1">
      <alignment horizontal="center" vertical="center" wrapText="1"/>
    </xf>
    <xf numFmtId="0" fontId="34" fillId="0" borderId="0" xfId="2" applyFont="1" applyAlignment="1">
      <alignment wrapText="1"/>
    </xf>
    <xf numFmtId="0" fontId="16" fillId="0" borderId="0" xfId="2" applyFont="1"/>
    <xf numFmtId="14" fontId="32" fillId="0" borderId="0" xfId="2" applyNumberFormat="1" applyFont="1" applyAlignment="1" applyProtection="1">
      <alignment horizontal="left" vertical="top" wrapText="1" indent="1"/>
      <protection locked="0"/>
    </xf>
    <xf numFmtId="0" fontId="15" fillId="0" borderId="0" xfId="2" applyFont="1" applyAlignment="1" applyProtection="1">
      <alignment horizontal="left" vertical="top" wrapText="1" indent="1"/>
      <protection locked="0"/>
    </xf>
    <xf numFmtId="14" fontId="32" fillId="0" borderId="0" xfId="2" applyNumberFormat="1" applyFont="1" applyAlignment="1" applyProtection="1">
      <alignment vertical="top"/>
      <protection locked="0"/>
    </xf>
    <xf numFmtId="0" fontId="15" fillId="0" borderId="0" xfId="2" applyFont="1" applyAlignment="1">
      <alignment vertical="top"/>
    </xf>
    <xf numFmtId="0" fontId="35" fillId="3" borderId="9" xfId="2" applyFont="1" applyFill="1" applyBorder="1" applyAlignment="1" applyProtection="1">
      <alignment horizontal="left" vertical="top"/>
      <protection locked="0"/>
    </xf>
    <xf numFmtId="0" fontId="36" fillId="3" borderId="9" xfId="2" applyFont="1" applyFill="1" applyBorder="1" applyAlignment="1">
      <alignment horizontal="left" vertical="top"/>
    </xf>
  </cellXfs>
  <cellStyles count="9">
    <cellStyle name="Normal" xfId="0" builtinId="0"/>
    <cellStyle name="Normal 10 2 2" xfId="1" xr:uid="{00000000-0005-0000-0000-000001000000}"/>
    <cellStyle name="Normal 12" xfId="3" xr:uid="{00000000-0005-0000-0000-000002000000}"/>
    <cellStyle name="Normal 13" xfId="5" xr:uid="{00000000-0005-0000-0000-000003000000}"/>
    <cellStyle name="Normal 13 2" xfId="2" xr:uid="{00000000-0005-0000-0000-000004000000}"/>
    <cellStyle name="Normal 15" xfId="4" xr:uid="{00000000-0005-0000-0000-000005000000}"/>
    <cellStyle name="Normal 2" xfId="8" xr:uid="{00000000-0005-0000-0000-000006000000}"/>
    <cellStyle name="Normal 2 4" xfId="6" xr:uid="{00000000-0005-0000-0000-000007000000}"/>
    <cellStyle name="Normal 3" xfId="7" xr:uid="{00000000-0005-0000-0000-000008000000}"/>
  </cellStyles>
  <dxfs count="78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1F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649817</xdr:colOff>
      <xdr:row>0</xdr:row>
      <xdr:rowOff>417195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893657" cy="4171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11</xdr:row>
          <xdr:rowOff>0</xdr:rowOff>
        </xdr:from>
        <xdr:to>
          <xdr:col>2</xdr:col>
          <xdr:colOff>619125</xdr:colOff>
          <xdr:row>12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12</xdr:row>
          <xdr:rowOff>0</xdr:rowOff>
        </xdr:from>
        <xdr:to>
          <xdr:col>2</xdr:col>
          <xdr:colOff>619125</xdr:colOff>
          <xdr:row>13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13</xdr:row>
          <xdr:rowOff>0</xdr:rowOff>
        </xdr:from>
        <xdr:to>
          <xdr:col>2</xdr:col>
          <xdr:colOff>619125</xdr:colOff>
          <xdr:row>14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14</xdr:row>
          <xdr:rowOff>0</xdr:rowOff>
        </xdr:from>
        <xdr:to>
          <xdr:col>2</xdr:col>
          <xdr:colOff>619125</xdr:colOff>
          <xdr:row>15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15</xdr:row>
          <xdr:rowOff>0</xdr:rowOff>
        </xdr:from>
        <xdr:to>
          <xdr:col>2</xdr:col>
          <xdr:colOff>619125</xdr:colOff>
          <xdr:row>16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16</xdr:row>
          <xdr:rowOff>0</xdr:rowOff>
        </xdr:from>
        <xdr:to>
          <xdr:col>2</xdr:col>
          <xdr:colOff>619125</xdr:colOff>
          <xdr:row>17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17</xdr:row>
          <xdr:rowOff>0</xdr:rowOff>
        </xdr:from>
        <xdr:to>
          <xdr:col>2</xdr:col>
          <xdr:colOff>619125</xdr:colOff>
          <xdr:row>18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18</xdr:row>
          <xdr:rowOff>0</xdr:rowOff>
        </xdr:from>
        <xdr:to>
          <xdr:col>2</xdr:col>
          <xdr:colOff>619125</xdr:colOff>
          <xdr:row>19</xdr:row>
          <xdr:rowOff>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19</xdr:row>
          <xdr:rowOff>0</xdr:rowOff>
        </xdr:from>
        <xdr:to>
          <xdr:col>2</xdr:col>
          <xdr:colOff>619125</xdr:colOff>
          <xdr:row>20</xdr:row>
          <xdr:rowOff>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20</xdr:row>
          <xdr:rowOff>0</xdr:rowOff>
        </xdr:from>
        <xdr:to>
          <xdr:col>2</xdr:col>
          <xdr:colOff>619125</xdr:colOff>
          <xdr:row>20</xdr:row>
          <xdr:rowOff>190500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12</xdr:row>
          <xdr:rowOff>0</xdr:rowOff>
        </xdr:from>
        <xdr:to>
          <xdr:col>2</xdr:col>
          <xdr:colOff>619125</xdr:colOff>
          <xdr:row>13</xdr:row>
          <xdr:rowOff>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13</xdr:row>
          <xdr:rowOff>0</xdr:rowOff>
        </xdr:from>
        <xdr:to>
          <xdr:col>2</xdr:col>
          <xdr:colOff>619125</xdr:colOff>
          <xdr:row>14</xdr:row>
          <xdr:rowOff>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14</xdr:row>
          <xdr:rowOff>0</xdr:rowOff>
        </xdr:from>
        <xdr:to>
          <xdr:col>2</xdr:col>
          <xdr:colOff>619125</xdr:colOff>
          <xdr:row>15</xdr:row>
          <xdr:rowOff>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15</xdr:row>
          <xdr:rowOff>0</xdr:rowOff>
        </xdr:from>
        <xdr:to>
          <xdr:col>2</xdr:col>
          <xdr:colOff>619125</xdr:colOff>
          <xdr:row>16</xdr:row>
          <xdr:rowOff>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21</xdr:row>
          <xdr:rowOff>0</xdr:rowOff>
        </xdr:from>
        <xdr:to>
          <xdr:col>2</xdr:col>
          <xdr:colOff>619125</xdr:colOff>
          <xdr:row>22</xdr:row>
          <xdr:rowOff>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22</xdr:row>
          <xdr:rowOff>0</xdr:rowOff>
        </xdr:from>
        <xdr:to>
          <xdr:col>2</xdr:col>
          <xdr:colOff>619125</xdr:colOff>
          <xdr:row>23</xdr:row>
          <xdr:rowOff>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23</xdr:row>
          <xdr:rowOff>0</xdr:rowOff>
        </xdr:from>
        <xdr:to>
          <xdr:col>2</xdr:col>
          <xdr:colOff>619125</xdr:colOff>
          <xdr:row>24</xdr:row>
          <xdr:rowOff>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24</xdr:row>
          <xdr:rowOff>0</xdr:rowOff>
        </xdr:from>
        <xdr:to>
          <xdr:col>2</xdr:col>
          <xdr:colOff>619125</xdr:colOff>
          <xdr:row>25</xdr:row>
          <xdr:rowOff>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25</xdr:row>
          <xdr:rowOff>0</xdr:rowOff>
        </xdr:from>
        <xdr:to>
          <xdr:col>2</xdr:col>
          <xdr:colOff>619125</xdr:colOff>
          <xdr:row>26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22</xdr:row>
          <xdr:rowOff>0</xdr:rowOff>
        </xdr:from>
        <xdr:to>
          <xdr:col>2</xdr:col>
          <xdr:colOff>619125</xdr:colOff>
          <xdr:row>23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23</xdr:row>
          <xdr:rowOff>0</xdr:rowOff>
        </xdr:from>
        <xdr:to>
          <xdr:col>2</xdr:col>
          <xdr:colOff>619125</xdr:colOff>
          <xdr:row>24</xdr:row>
          <xdr:rowOff>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24</xdr:row>
          <xdr:rowOff>0</xdr:rowOff>
        </xdr:from>
        <xdr:to>
          <xdr:col>2</xdr:col>
          <xdr:colOff>619125</xdr:colOff>
          <xdr:row>25</xdr:row>
          <xdr:rowOff>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25</xdr:row>
          <xdr:rowOff>0</xdr:rowOff>
        </xdr:from>
        <xdr:to>
          <xdr:col>2</xdr:col>
          <xdr:colOff>619125</xdr:colOff>
          <xdr:row>26</xdr:row>
          <xdr:rowOff>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26</xdr:row>
          <xdr:rowOff>0</xdr:rowOff>
        </xdr:from>
        <xdr:to>
          <xdr:col>2</xdr:col>
          <xdr:colOff>619125</xdr:colOff>
          <xdr:row>27</xdr:row>
          <xdr:rowOff>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27</xdr:row>
          <xdr:rowOff>0</xdr:rowOff>
        </xdr:from>
        <xdr:to>
          <xdr:col>2</xdr:col>
          <xdr:colOff>619125</xdr:colOff>
          <xdr:row>28</xdr:row>
          <xdr:rowOff>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28</xdr:row>
          <xdr:rowOff>0</xdr:rowOff>
        </xdr:from>
        <xdr:to>
          <xdr:col>2</xdr:col>
          <xdr:colOff>619125</xdr:colOff>
          <xdr:row>29</xdr:row>
          <xdr:rowOff>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29</xdr:row>
          <xdr:rowOff>0</xdr:rowOff>
        </xdr:from>
        <xdr:to>
          <xdr:col>2</xdr:col>
          <xdr:colOff>619125</xdr:colOff>
          <xdr:row>30</xdr:row>
          <xdr:rowOff>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26</xdr:row>
          <xdr:rowOff>0</xdr:rowOff>
        </xdr:from>
        <xdr:to>
          <xdr:col>2</xdr:col>
          <xdr:colOff>619125</xdr:colOff>
          <xdr:row>27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27</xdr:row>
          <xdr:rowOff>0</xdr:rowOff>
        </xdr:from>
        <xdr:to>
          <xdr:col>2</xdr:col>
          <xdr:colOff>619125</xdr:colOff>
          <xdr:row>28</xdr:row>
          <xdr:rowOff>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28</xdr:row>
          <xdr:rowOff>0</xdr:rowOff>
        </xdr:from>
        <xdr:to>
          <xdr:col>2</xdr:col>
          <xdr:colOff>619125</xdr:colOff>
          <xdr:row>29</xdr:row>
          <xdr:rowOff>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29</xdr:row>
          <xdr:rowOff>0</xdr:rowOff>
        </xdr:from>
        <xdr:to>
          <xdr:col>2</xdr:col>
          <xdr:colOff>619125</xdr:colOff>
          <xdr:row>30</xdr:row>
          <xdr:rowOff>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11</xdr:row>
          <xdr:rowOff>0</xdr:rowOff>
        </xdr:from>
        <xdr:to>
          <xdr:col>6</xdr:col>
          <xdr:colOff>619125</xdr:colOff>
          <xdr:row>12</xdr:row>
          <xdr:rowOff>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12</xdr:row>
          <xdr:rowOff>0</xdr:rowOff>
        </xdr:from>
        <xdr:to>
          <xdr:col>6</xdr:col>
          <xdr:colOff>619125</xdr:colOff>
          <xdr:row>13</xdr:row>
          <xdr:rowOff>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13</xdr:row>
          <xdr:rowOff>0</xdr:rowOff>
        </xdr:from>
        <xdr:to>
          <xdr:col>6</xdr:col>
          <xdr:colOff>619125</xdr:colOff>
          <xdr:row>14</xdr:row>
          <xdr:rowOff>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14</xdr:row>
          <xdr:rowOff>0</xdr:rowOff>
        </xdr:from>
        <xdr:to>
          <xdr:col>6</xdr:col>
          <xdr:colOff>619125</xdr:colOff>
          <xdr:row>15</xdr:row>
          <xdr:rowOff>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15</xdr:row>
          <xdr:rowOff>0</xdr:rowOff>
        </xdr:from>
        <xdr:to>
          <xdr:col>6</xdr:col>
          <xdr:colOff>619125</xdr:colOff>
          <xdr:row>16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16</xdr:row>
          <xdr:rowOff>0</xdr:rowOff>
        </xdr:from>
        <xdr:to>
          <xdr:col>6</xdr:col>
          <xdr:colOff>619125</xdr:colOff>
          <xdr:row>17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17</xdr:row>
          <xdr:rowOff>0</xdr:rowOff>
        </xdr:from>
        <xdr:to>
          <xdr:col>6</xdr:col>
          <xdr:colOff>619125</xdr:colOff>
          <xdr:row>18</xdr:row>
          <xdr:rowOff>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18</xdr:row>
          <xdr:rowOff>0</xdr:rowOff>
        </xdr:from>
        <xdr:to>
          <xdr:col>6</xdr:col>
          <xdr:colOff>619125</xdr:colOff>
          <xdr:row>19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19</xdr:row>
          <xdr:rowOff>0</xdr:rowOff>
        </xdr:from>
        <xdr:to>
          <xdr:col>6</xdr:col>
          <xdr:colOff>619125</xdr:colOff>
          <xdr:row>20</xdr:row>
          <xdr:rowOff>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20</xdr:row>
          <xdr:rowOff>0</xdr:rowOff>
        </xdr:from>
        <xdr:to>
          <xdr:col>6</xdr:col>
          <xdr:colOff>619125</xdr:colOff>
          <xdr:row>21</xdr:row>
          <xdr:rowOff>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12</xdr:row>
          <xdr:rowOff>0</xdr:rowOff>
        </xdr:from>
        <xdr:to>
          <xdr:col>6</xdr:col>
          <xdr:colOff>619125</xdr:colOff>
          <xdr:row>13</xdr:row>
          <xdr:rowOff>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13</xdr:row>
          <xdr:rowOff>0</xdr:rowOff>
        </xdr:from>
        <xdr:to>
          <xdr:col>6</xdr:col>
          <xdr:colOff>619125</xdr:colOff>
          <xdr:row>14</xdr:row>
          <xdr:rowOff>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14</xdr:row>
          <xdr:rowOff>0</xdr:rowOff>
        </xdr:from>
        <xdr:to>
          <xdr:col>6</xdr:col>
          <xdr:colOff>619125</xdr:colOff>
          <xdr:row>15</xdr:row>
          <xdr:rowOff>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15</xdr:row>
          <xdr:rowOff>0</xdr:rowOff>
        </xdr:from>
        <xdr:to>
          <xdr:col>6</xdr:col>
          <xdr:colOff>619125</xdr:colOff>
          <xdr:row>16</xdr:row>
          <xdr:rowOff>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21</xdr:row>
          <xdr:rowOff>0</xdr:rowOff>
        </xdr:from>
        <xdr:to>
          <xdr:col>6</xdr:col>
          <xdr:colOff>619125</xdr:colOff>
          <xdr:row>22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22</xdr:row>
          <xdr:rowOff>0</xdr:rowOff>
        </xdr:from>
        <xdr:to>
          <xdr:col>6</xdr:col>
          <xdr:colOff>619125</xdr:colOff>
          <xdr:row>23</xdr:row>
          <xdr:rowOff>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23</xdr:row>
          <xdr:rowOff>0</xdr:rowOff>
        </xdr:from>
        <xdr:to>
          <xdr:col>6</xdr:col>
          <xdr:colOff>619125</xdr:colOff>
          <xdr:row>24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24</xdr:row>
          <xdr:rowOff>0</xdr:rowOff>
        </xdr:from>
        <xdr:to>
          <xdr:col>6</xdr:col>
          <xdr:colOff>619125</xdr:colOff>
          <xdr:row>25</xdr:row>
          <xdr:rowOff>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25</xdr:row>
          <xdr:rowOff>0</xdr:rowOff>
        </xdr:from>
        <xdr:to>
          <xdr:col>6</xdr:col>
          <xdr:colOff>619125</xdr:colOff>
          <xdr:row>26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22</xdr:row>
          <xdr:rowOff>0</xdr:rowOff>
        </xdr:from>
        <xdr:to>
          <xdr:col>6</xdr:col>
          <xdr:colOff>619125</xdr:colOff>
          <xdr:row>23</xdr:row>
          <xdr:rowOff>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23</xdr:row>
          <xdr:rowOff>0</xdr:rowOff>
        </xdr:from>
        <xdr:to>
          <xdr:col>6</xdr:col>
          <xdr:colOff>619125</xdr:colOff>
          <xdr:row>24</xdr:row>
          <xdr:rowOff>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24</xdr:row>
          <xdr:rowOff>0</xdr:rowOff>
        </xdr:from>
        <xdr:to>
          <xdr:col>6</xdr:col>
          <xdr:colOff>619125</xdr:colOff>
          <xdr:row>25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25</xdr:row>
          <xdr:rowOff>0</xdr:rowOff>
        </xdr:from>
        <xdr:to>
          <xdr:col>6</xdr:col>
          <xdr:colOff>619125</xdr:colOff>
          <xdr:row>26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26</xdr:row>
          <xdr:rowOff>0</xdr:rowOff>
        </xdr:from>
        <xdr:to>
          <xdr:col>6</xdr:col>
          <xdr:colOff>619125</xdr:colOff>
          <xdr:row>27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27</xdr:row>
          <xdr:rowOff>0</xdr:rowOff>
        </xdr:from>
        <xdr:to>
          <xdr:col>6</xdr:col>
          <xdr:colOff>619125</xdr:colOff>
          <xdr:row>28</xdr:row>
          <xdr:rowOff>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28</xdr:row>
          <xdr:rowOff>0</xdr:rowOff>
        </xdr:from>
        <xdr:to>
          <xdr:col>6</xdr:col>
          <xdr:colOff>619125</xdr:colOff>
          <xdr:row>29</xdr:row>
          <xdr:rowOff>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29</xdr:row>
          <xdr:rowOff>0</xdr:rowOff>
        </xdr:from>
        <xdr:to>
          <xdr:col>6</xdr:col>
          <xdr:colOff>619125</xdr:colOff>
          <xdr:row>30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26</xdr:row>
          <xdr:rowOff>0</xdr:rowOff>
        </xdr:from>
        <xdr:to>
          <xdr:col>6</xdr:col>
          <xdr:colOff>619125</xdr:colOff>
          <xdr:row>27</xdr:row>
          <xdr:rowOff>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27</xdr:row>
          <xdr:rowOff>0</xdr:rowOff>
        </xdr:from>
        <xdr:to>
          <xdr:col>6</xdr:col>
          <xdr:colOff>619125</xdr:colOff>
          <xdr:row>28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28</xdr:row>
          <xdr:rowOff>0</xdr:rowOff>
        </xdr:from>
        <xdr:to>
          <xdr:col>6</xdr:col>
          <xdr:colOff>619125</xdr:colOff>
          <xdr:row>29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29</xdr:row>
          <xdr:rowOff>0</xdr:rowOff>
        </xdr:from>
        <xdr:to>
          <xdr:col>6</xdr:col>
          <xdr:colOff>619125</xdr:colOff>
          <xdr:row>30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11</xdr:row>
          <xdr:rowOff>0</xdr:rowOff>
        </xdr:from>
        <xdr:to>
          <xdr:col>2</xdr:col>
          <xdr:colOff>619125</xdr:colOff>
          <xdr:row>12</xdr:row>
          <xdr:rowOff>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12</xdr:row>
          <xdr:rowOff>0</xdr:rowOff>
        </xdr:from>
        <xdr:to>
          <xdr:col>2</xdr:col>
          <xdr:colOff>619125</xdr:colOff>
          <xdr:row>13</xdr:row>
          <xdr:rowOff>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13</xdr:row>
          <xdr:rowOff>0</xdr:rowOff>
        </xdr:from>
        <xdr:to>
          <xdr:col>2</xdr:col>
          <xdr:colOff>619125</xdr:colOff>
          <xdr:row>14</xdr:row>
          <xdr:rowOff>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14</xdr:row>
          <xdr:rowOff>0</xdr:rowOff>
        </xdr:from>
        <xdr:to>
          <xdr:col>2</xdr:col>
          <xdr:colOff>619125</xdr:colOff>
          <xdr:row>15</xdr:row>
          <xdr:rowOff>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12</xdr:row>
          <xdr:rowOff>0</xdr:rowOff>
        </xdr:from>
        <xdr:to>
          <xdr:col>2</xdr:col>
          <xdr:colOff>619125</xdr:colOff>
          <xdr:row>13</xdr:row>
          <xdr:rowOff>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13</xdr:row>
          <xdr:rowOff>0</xdr:rowOff>
        </xdr:from>
        <xdr:to>
          <xdr:col>2</xdr:col>
          <xdr:colOff>619125</xdr:colOff>
          <xdr:row>14</xdr:row>
          <xdr:rowOff>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14</xdr:row>
          <xdr:rowOff>0</xdr:rowOff>
        </xdr:from>
        <xdr:to>
          <xdr:col>2</xdr:col>
          <xdr:colOff>619125</xdr:colOff>
          <xdr:row>15</xdr:row>
          <xdr:rowOff>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11</xdr:row>
          <xdr:rowOff>0</xdr:rowOff>
        </xdr:from>
        <xdr:to>
          <xdr:col>6</xdr:col>
          <xdr:colOff>619125</xdr:colOff>
          <xdr:row>12</xdr:row>
          <xdr:rowOff>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12</xdr:row>
          <xdr:rowOff>0</xdr:rowOff>
        </xdr:from>
        <xdr:to>
          <xdr:col>6</xdr:col>
          <xdr:colOff>619125</xdr:colOff>
          <xdr:row>13</xdr:row>
          <xdr:rowOff>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13</xdr:row>
          <xdr:rowOff>0</xdr:rowOff>
        </xdr:from>
        <xdr:to>
          <xdr:col>6</xdr:col>
          <xdr:colOff>619125</xdr:colOff>
          <xdr:row>14</xdr:row>
          <xdr:rowOff>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14</xdr:row>
          <xdr:rowOff>0</xdr:rowOff>
        </xdr:from>
        <xdr:to>
          <xdr:col>6</xdr:col>
          <xdr:colOff>619125</xdr:colOff>
          <xdr:row>15</xdr:row>
          <xdr:rowOff>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12</xdr:row>
          <xdr:rowOff>0</xdr:rowOff>
        </xdr:from>
        <xdr:to>
          <xdr:col>6</xdr:col>
          <xdr:colOff>619125</xdr:colOff>
          <xdr:row>13</xdr:row>
          <xdr:rowOff>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13</xdr:row>
          <xdr:rowOff>0</xdr:rowOff>
        </xdr:from>
        <xdr:to>
          <xdr:col>6</xdr:col>
          <xdr:colOff>619125</xdr:colOff>
          <xdr:row>14</xdr:row>
          <xdr:rowOff>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14</xdr:row>
          <xdr:rowOff>0</xdr:rowOff>
        </xdr:from>
        <xdr:to>
          <xdr:col>6</xdr:col>
          <xdr:colOff>619125</xdr:colOff>
          <xdr:row>15</xdr:row>
          <xdr:rowOff>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15</xdr:row>
          <xdr:rowOff>0</xdr:rowOff>
        </xdr:from>
        <xdr:to>
          <xdr:col>2</xdr:col>
          <xdr:colOff>619125</xdr:colOff>
          <xdr:row>16</xdr:row>
          <xdr:rowOff>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16</xdr:row>
          <xdr:rowOff>0</xdr:rowOff>
        </xdr:from>
        <xdr:to>
          <xdr:col>2</xdr:col>
          <xdr:colOff>619125</xdr:colOff>
          <xdr:row>17</xdr:row>
          <xdr:rowOff>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15</xdr:row>
          <xdr:rowOff>0</xdr:rowOff>
        </xdr:from>
        <xdr:to>
          <xdr:col>2</xdr:col>
          <xdr:colOff>619125</xdr:colOff>
          <xdr:row>16</xdr:row>
          <xdr:rowOff>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16</xdr:row>
          <xdr:rowOff>0</xdr:rowOff>
        </xdr:from>
        <xdr:to>
          <xdr:col>2</xdr:col>
          <xdr:colOff>619125</xdr:colOff>
          <xdr:row>17</xdr:row>
          <xdr:rowOff>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15</xdr:row>
          <xdr:rowOff>0</xdr:rowOff>
        </xdr:from>
        <xdr:to>
          <xdr:col>2</xdr:col>
          <xdr:colOff>619125</xdr:colOff>
          <xdr:row>16</xdr:row>
          <xdr:rowOff>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15</xdr:row>
          <xdr:rowOff>0</xdr:rowOff>
        </xdr:from>
        <xdr:to>
          <xdr:col>2</xdr:col>
          <xdr:colOff>619125</xdr:colOff>
          <xdr:row>16</xdr:row>
          <xdr:rowOff>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530437</xdr:colOff>
      <xdr:row>0</xdr:row>
      <xdr:rowOff>417195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893657" cy="4171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20955</xdr:colOff>
      <xdr:row>4</xdr:row>
      <xdr:rowOff>30480</xdr:rowOff>
    </xdr:to>
    <xdr:sp macro="[0]!CreatePRBSummary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9600" y="167640"/>
          <a:ext cx="1499235" cy="5334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CREATE</a:t>
          </a:r>
          <a:r>
            <a:rPr lang="en-GB" sz="1100" b="1" baseline="0"/>
            <a:t> PROBLEM</a:t>
          </a:r>
        </a:p>
        <a:p>
          <a:pPr algn="ctr"/>
          <a:r>
            <a:rPr lang="en-GB" sz="1100" b="1" baseline="0"/>
            <a:t>PRB SUMMARY</a:t>
          </a:r>
          <a:endParaRPr lang="en-GB" sz="1100" b="1"/>
        </a:p>
      </xdr:txBody>
    </xdr:sp>
    <xdr:clientData/>
  </xdr:twoCellAnchor>
  <xdr:twoCellAnchor>
    <xdr:from>
      <xdr:col>1</xdr:col>
      <xdr:colOff>1</xdr:colOff>
      <xdr:row>22</xdr:row>
      <xdr:rowOff>0</xdr:rowOff>
    </xdr:from>
    <xdr:to>
      <xdr:col>2</xdr:col>
      <xdr:colOff>853441</xdr:colOff>
      <xdr:row>23</xdr:row>
      <xdr:rowOff>152400</xdr:rowOff>
    </xdr:to>
    <xdr:sp macro="[0]!ClearDataSheets.ClearDataSheet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09601" y="2849880"/>
          <a:ext cx="1463040" cy="32004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CLEAR</a:t>
          </a:r>
          <a:r>
            <a:rPr lang="en-GB" sz="1100" b="1" baseline="0"/>
            <a:t> DATA SHEETS</a:t>
          </a:r>
          <a:endParaRPr lang="en-GB" sz="1100" b="1"/>
        </a:p>
      </xdr:txBody>
    </xdr:sp>
    <xdr:clientData/>
  </xdr:twoCellAnchor>
  <xdr:twoCellAnchor>
    <xdr:from>
      <xdr:col>1</xdr:col>
      <xdr:colOff>0</xdr:colOff>
      <xdr:row>6</xdr:row>
      <xdr:rowOff>38100</xdr:rowOff>
    </xdr:from>
    <xdr:to>
      <xdr:col>3</xdr:col>
      <xdr:colOff>20955</xdr:colOff>
      <xdr:row>9</xdr:row>
      <xdr:rowOff>68580</xdr:rowOff>
    </xdr:to>
    <xdr:sp macro="[0]!CreateKESummary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09600" y="1043940"/>
          <a:ext cx="1499235" cy="5334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CREATE</a:t>
          </a:r>
          <a:r>
            <a:rPr lang="en-GB" sz="1100" b="1" baseline="0"/>
            <a:t> KE</a:t>
          </a:r>
        </a:p>
        <a:p>
          <a:pPr algn="ctr"/>
          <a:r>
            <a:rPr lang="en-GB" sz="1100" b="1" baseline="0"/>
            <a:t>PRB SUMMARY</a:t>
          </a:r>
          <a:endParaRPr lang="en-GB" sz="1100" b="1"/>
        </a:p>
      </xdr:txBody>
    </xdr:sp>
    <xdr:clientData/>
  </xdr:twoCellAnchor>
  <xdr:twoCellAnchor>
    <xdr:from>
      <xdr:col>3</xdr:col>
      <xdr:colOff>609600</xdr:colOff>
      <xdr:row>1</xdr:row>
      <xdr:rowOff>0</xdr:rowOff>
    </xdr:from>
    <xdr:to>
      <xdr:col>6</xdr:col>
      <xdr:colOff>59055</xdr:colOff>
      <xdr:row>4</xdr:row>
      <xdr:rowOff>30480</xdr:rowOff>
    </xdr:to>
    <xdr:sp macro="[0]!Prob_PDF_Save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697480" y="167640"/>
          <a:ext cx="1499235" cy="5334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PUBLISH</a:t>
          </a:r>
          <a:r>
            <a:rPr lang="en-GB" sz="1100" b="1" baseline="0"/>
            <a:t> PROBLEM</a:t>
          </a:r>
        </a:p>
        <a:p>
          <a:pPr algn="ctr"/>
          <a:r>
            <a:rPr lang="en-GB" sz="1100" b="1" baseline="0"/>
            <a:t>PRB SUMMARY</a:t>
          </a:r>
          <a:endParaRPr lang="en-GB" sz="1100" b="1"/>
        </a:p>
      </xdr:txBody>
    </xdr:sp>
    <xdr:clientData/>
  </xdr:twoCellAnchor>
  <xdr:twoCellAnchor>
    <xdr:from>
      <xdr:col>3</xdr:col>
      <xdr:colOff>609600</xdr:colOff>
      <xdr:row>6</xdr:row>
      <xdr:rowOff>38100</xdr:rowOff>
    </xdr:from>
    <xdr:to>
      <xdr:col>6</xdr:col>
      <xdr:colOff>59055</xdr:colOff>
      <xdr:row>9</xdr:row>
      <xdr:rowOff>68580</xdr:rowOff>
    </xdr:to>
    <xdr:sp macro="[0]!KE_PDF_Save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697480" y="1043940"/>
          <a:ext cx="1499235" cy="5334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PUBLISH</a:t>
          </a:r>
          <a:r>
            <a:rPr lang="en-GB" sz="1100" b="1" baseline="0"/>
            <a:t> KE</a:t>
          </a:r>
        </a:p>
        <a:p>
          <a:pPr algn="ctr"/>
          <a:r>
            <a:rPr lang="en-GB" sz="1100" b="1" baseline="0"/>
            <a:t>PRB SUMMARY</a:t>
          </a:r>
          <a:endParaRPr lang="en-GB" sz="1100" b="1"/>
        </a:p>
      </xdr:txBody>
    </xdr:sp>
    <xdr:clientData/>
  </xdr:twoCellAnchor>
  <xdr:twoCellAnchor>
    <xdr:from>
      <xdr:col>7</xdr:col>
      <xdr:colOff>45720</xdr:colOff>
      <xdr:row>1</xdr:row>
      <xdr:rowOff>0</xdr:rowOff>
    </xdr:from>
    <xdr:to>
      <xdr:col>9</xdr:col>
      <xdr:colOff>325755</xdr:colOff>
      <xdr:row>4</xdr:row>
      <xdr:rowOff>30480</xdr:rowOff>
    </xdr:to>
    <xdr:sp macro="[0]!ClearPRBSummary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792980" y="167640"/>
          <a:ext cx="1499235" cy="5334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CLEAR</a:t>
          </a:r>
          <a:r>
            <a:rPr lang="en-GB" sz="1100" b="1" baseline="0"/>
            <a:t> PROBLEM</a:t>
          </a:r>
        </a:p>
        <a:p>
          <a:pPr algn="ctr"/>
          <a:r>
            <a:rPr lang="en-GB" sz="1100" b="1" baseline="0"/>
            <a:t>PRB SUMMARY</a:t>
          </a:r>
          <a:endParaRPr lang="en-GB" sz="1100" b="1"/>
        </a:p>
      </xdr:txBody>
    </xdr:sp>
    <xdr:clientData/>
  </xdr:twoCellAnchor>
  <xdr:twoCellAnchor>
    <xdr:from>
      <xdr:col>7</xdr:col>
      <xdr:colOff>45720</xdr:colOff>
      <xdr:row>6</xdr:row>
      <xdr:rowOff>38100</xdr:rowOff>
    </xdr:from>
    <xdr:to>
      <xdr:col>9</xdr:col>
      <xdr:colOff>325755</xdr:colOff>
      <xdr:row>9</xdr:row>
      <xdr:rowOff>68580</xdr:rowOff>
    </xdr:to>
    <xdr:sp macro="[0]!ClearKESummary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792980" y="1043940"/>
          <a:ext cx="1499235" cy="5334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CLEAR</a:t>
          </a:r>
          <a:r>
            <a:rPr lang="en-GB" sz="1100" b="1" baseline="0"/>
            <a:t> KE</a:t>
          </a:r>
        </a:p>
        <a:p>
          <a:pPr algn="ctr"/>
          <a:r>
            <a:rPr lang="en-GB" sz="1100" b="1" baseline="0"/>
            <a:t>PRB SUMMARY</a:t>
          </a:r>
          <a:endParaRPr lang="en-GB" sz="1100" b="1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12</xdr:col>
      <xdr:colOff>280035</xdr:colOff>
      <xdr:row>4</xdr:row>
      <xdr:rowOff>30480</xdr:rowOff>
    </xdr:to>
    <xdr:sp macro="[0]!HTMLStripSheets" textlink="">
      <xdr:nvSpPr>
        <xdr:cNvPr id="3" name="Rounded Rectangle 10">
          <a:extLst>
            <a:ext uri="{FF2B5EF4-FFF2-40B4-BE49-F238E27FC236}">
              <a16:creationId xmlns:a16="http://schemas.microsoft.com/office/drawing/2014/main" id="{EB3CFE60-EF52-43E8-B518-9E8ADEFEDD24}"/>
            </a:ext>
          </a:extLst>
        </xdr:cNvPr>
        <xdr:cNvSpPr/>
      </xdr:nvSpPr>
      <xdr:spPr>
        <a:xfrm>
          <a:off x="6576060" y="167640"/>
          <a:ext cx="1499235" cy="5334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baseline="0"/>
            <a:t>STRIP HTML</a:t>
          </a:r>
          <a:endParaRPr lang="en-GB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1</xdr:row>
      <xdr:rowOff>22861</xdr:rowOff>
    </xdr:from>
    <xdr:to>
      <xdr:col>2</xdr:col>
      <xdr:colOff>899159</xdr:colOff>
      <xdr:row>2</xdr:row>
      <xdr:rowOff>207646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3380" y="205741"/>
          <a:ext cx="895350" cy="4171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1</xdr:row>
      <xdr:rowOff>22861</xdr:rowOff>
    </xdr:from>
    <xdr:to>
      <xdr:col>2</xdr:col>
      <xdr:colOff>891540</xdr:colOff>
      <xdr:row>2</xdr:row>
      <xdr:rowOff>207646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3380" y="205741"/>
          <a:ext cx="895350" cy="4171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893657</xdr:colOff>
      <xdr:row>0</xdr:row>
      <xdr:rowOff>417195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893657" cy="4171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s1.ent.cgi.com/sites/032837/Documents/31%20Contract/02%20CCNs/00%20Small%20Changes/Project%20Change%20Tracker.xlsx?NoRedirect=tru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>
        <row r="1">
          <cell r="A1" t="str">
            <v>Low</v>
          </cell>
          <cell r="C1" t="str">
            <v>SDM Graham Roberts</v>
          </cell>
          <cell r="E1" t="str">
            <v>Passed to SDM</v>
          </cell>
        </row>
        <row r="2">
          <cell r="A2" t="str">
            <v>Medium</v>
          </cell>
          <cell r="C2" t="str">
            <v>PRM Mark Procter</v>
          </cell>
          <cell r="E2" t="str">
            <v>Passed to Owner</v>
          </cell>
        </row>
        <row r="3">
          <cell r="A3" t="str">
            <v>High</v>
          </cell>
          <cell r="C3" t="str">
            <v>PM Jen Williams</v>
          </cell>
          <cell r="E3" t="str">
            <v>Passed for IA</v>
          </cell>
        </row>
        <row r="4">
          <cell r="E4" t="str">
            <v>WIP with Owner</v>
          </cell>
        </row>
        <row r="5">
          <cell r="E5" t="str">
            <v>A/W SDM &amp; CAB Approval</v>
          </cell>
        </row>
        <row r="6">
          <cell r="E6" t="str">
            <v>A/W Client Approval</v>
          </cell>
        </row>
        <row r="7">
          <cell r="E7" t="str">
            <v>Rejected by Client</v>
          </cell>
        </row>
        <row r="8">
          <cell r="E8" t="str">
            <v>Cancelled by Client</v>
          </cell>
        </row>
        <row r="9">
          <cell r="E9" t="str">
            <v>N/A to Projects</v>
          </cell>
        </row>
        <row r="10">
          <cell r="E10" t="str">
            <v>Complete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ndara">
      <a:majorFont>
        <a:latin typeface="Candara" panose="020E0502030303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ndara" panose="020E0502030303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3"/>
  <sheetViews>
    <sheetView workbookViewId="0">
      <selection activeCell="C2" sqref="C2:D2"/>
    </sheetView>
  </sheetViews>
  <sheetFormatPr defaultRowHeight="12.75" x14ac:dyDescent="0.2"/>
  <cols>
    <col min="1" max="1" width="27.7109375" bestFit="1" customWidth="1"/>
    <col min="2" max="2" width="26.140625" bestFit="1" customWidth="1"/>
    <col min="3" max="3" width="11.42578125" bestFit="1" customWidth="1"/>
    <col min="4" max="4" width="10.140625" bestFit="1" customWidth="1"/>
    <col min="5" max="5" width="13.85546875" bestFit="1" customWidth="1"/>
  </cols>
  <sheetData>
    <row r="1" spans="1:5" x14ac:dyDescent="0.2">
      <c r="A1" s="26" t="s">
        <v>73</v>
      </c>
      <c r="B1" s="26" t="s">
        <v>74</v>
      </c>
      <c r="C1" s="26" t="s">
        <v>51</v>
      </c>
      <c r="D1" s="26" t="s">
        <v>52</v>
      </c>
      <c r="E1" s="26" t="s">
        <v>77</v>
      </c>
    </row>
    <row r="2" spans="1:5" x14ac:dyDescent="0.2">
      <c r="A2" s="27" t="s">
        <v>71</v>
      </c>
      <c r="B2" s="27" t="s">
        <v>71</v>
      </c>
      <c r="C2" s="27"/>
      <c r="D2" s="158"/>
      <c r="E2" t="str">
        <f>TEXT(D2,"DD/MM/YYYY")</f>
        <v>00/01/1900</v>
      </c>
    </row>
    <row r="3" spans="1:5" x14ac:dyDescent="0.2">
      <c r="A3" s="27" t="s">
        <v>72</v>
      </c>
      <c r="B3" s="27" t="s">
        <v>72</v>
      </c>
    </row>
  </sheetData>
  <pageMargins left="0.7" right="0.7" top="0.75" bottom="0.75" header="0.3" footer="0.3"/>
  <headerFooter>
    <oddFooter>&amp;C_x000D_&amp;1#&amp;"Arial"&amp;9&amp;K000000 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pageSetUpPr autoPageBreaks="0"/>
  </sheetPr>
  <dimension ref="A1:AC230"/>
  <sheetViews>
    <sheetView zoomScale="115" zoomScaleNormal="115" workbookViewId="0">
      <selection activeCell="G6" sqref="G6"/>
    </sheetView>
  </sheetViews>
  <sheetFormatPr defaultColWidth="9.140625" defaultRowHeight="15" customHeight="1" x14ac:dyDescent="0.25"/>
  <cols>
    <col min="1" max="1" width="3.5703125" style="81" customWidth="1"/>
    <col min="2" max="2" width="21.7109375" style="81" customWidth="1"/>
    <col min="3" max="3" width="14.140625" style="81" customWidth="1"/>
    <col min="4" max="4" width="35.5703125" style="81" customWidth="1"/>
    <col min="5" max="5" width="2.5703125" style="81" customWidth="1"/>
    <col min="6" max="6" width="31.42578125" style="81" customWidth="1"/>
    <col min="7" max="7" width="14.5703125" style="81" customWidth="1"/>
    <col min="8" max="8" width="37.85546875" style="81" customWidth="1"/>
    <col min="9" max="16384" width="9.140625" style="81"/>
  </cols>
  <sheetData>
    <row r="1" spans="1:29" s="102" customFormat="1" ht="48" customHeight="1" x14ac:dyDescent="0.25">
      <c r="A1" s="176" t="s">
        <v>62</v>
      </c>
      <c r="B1" s="176"/>
      <c r="C1" s="176"/>
      <c r="D1" s="176"/>
      <c r="E1" s="176"/>
      <c r="F1" s="176"/>
      <c r="G1" s="176"/>
      <c r="H1" s="176"/>
      <c r="I1" s="91"/>
      <c r="J1" s="91"/>
      <c r="K1" s="91"/>
      <c r="L1" s="91"/>
    </row>
    <row r="2" spans="1:29" s="103" customFormat="1" ht="19.5" customHeight="1" x14ac:dyDescent="0.25">
      <c r="A2" s="176"/>
      <c r="B2" s="176"/>
      <c r="C2" s="176"/>
      <c r="D2" s="176"/>
      <c r="E2" s="176"/>
      <c r="F2" s="176"/>
      <c r="G2" s="176"/>
      <c r="H2" s="176"/>
      <c r="I2" s="91"/>
      <c r="J2" s="91"/>
      <c r="K2" s="91"/>
      <c r="L2" s="91"/>
    </row>
    <row r="3" spans="1:29" ht="23.25" customHeight="1" x14ac:dyDescent="0.25">
      <c r="A3" s="82"/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</row>
    <row r="4" spans="1:29" ht="18" customHeight="1" x14ac:dyDescent="0.25">
      <c r="A4" s="82"/>
      <c r="B4" s="101" t="s">
        <v>61</v>
      </c>
      <c r="C4" s="179" t="s">
        <v>116</v>
      </c>
      <c r="D4" s="180"/>
      <c r="E4" s="91"/>
      <c r="F4" s="91"/>
      <c r="G4" s="91"/>
      <c r="H4" s="92"/>
      <c r="I4" s="91"/>
      <c r="J4" s="91"/>
      <c r="K4" s="91"/>
      <c r="L4" s="91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C4" s="82"/>
    </row>
    <row r="5" spans="1:29" ht="18" customHeight="1" x14ac:dyDescent="0.25">
      <c r="A5" s="82"/>
      <c r="B5" s="101" t="s">
        <v>60</v>
      </c>
      <c r="C5" s="181"/>
      <c r="D5" s="180"/>
      <c r="F5" s="91"/>
      <c r="G5" s="91"/>
      <c r="H5" s="93"/>
      <c r="I5" s="91"/>
      <c r="J5" s="91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</row>
    <row r="6" spans="1:29" ht="18" customHeight="1" x14ac:dyDescent="0.25">
      <c r="A6" s="82"/>
      <c r="B6" s="101" t="s">
        <v>59</v>
      </c>
      <c r="C6" s="182"/>
      <c r="D6" s="180"/>
      <c r="E6" s="91"/>
      <c r="F6" s="91"/>
      <c r="G6" s="91"/>
      <c r="H6" s="91"/>
      <c r="I6" s="91"/>
      <c r="J6" s="91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</row>
    <row r="7" spans="1:29" x14ac:dyDescent="0.25">
      <c r="A7" s="82"/>
      <c r="B7" s="101" t="s">
        <v>104</v>
      </c>
      <c r="C7" s="177"/>
      <c r="D7" s="178"/>
      <c r="E7" s="91"/>
      <c r="F7" s="94"/>
      <c r="G7" s="91"/>
      <c r="H7" s="91"/>
      <c r="I7" s="91"/>
      <c r="J7" s="91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</row>
    <row r="8" spans="1:29" ht="18" customHeight="1" x14ac:dyDescent="0.25">
      <c r="A8" s="82"/>
      <c r="B8" s="101" t="s">
        <v>58</v>
      </c>
      <c r="C8" s="179" t="s">
        <v>109</v>
      </c>
      <c r="D8" s="180"/>
      <c r="E8" s="91"/>
      <c r="F8" s="91"/>
      <c r="G8" s="91"/>
      <c r="H8" s="91"/>
      <c r="I8" s="91"/>
      <c r="J8" s="91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</row>
    <row r="9" spans="1:29" ht="18" customHeight="1" x14ac:dyDescent="0.25">
      <c r="A9" s="82"/>
      <c r="B9" s="101" t="s">
        <v>103</v>
      </c>
      <c r="C9" s="179"/>
      <c r="D9" s="180"/>
      <c r="E9" s="91"/>
      <c r="F9" s="95"/>
      <c r="G9" s="91"/>
      <c r="H9" s="91"/>
      <c r="I9" s="91"/>
      <c r="J9" s="91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</row>
    <row r="10" spans="1:29" ht="15" customHeight="1" x14ac:dyDescent="0.25">
      <c r="A10" s="82"/>
      <c r="B10" s="91"/>
      <c r="C10" s="91"/>
      <c r="D10" s="91"/>
      <c r="E10" s="91"/>
      <c r="F10" s="91"/>
      <c r="G10" s="91"/>
      <c r="H10" s="91"/>
      <c r="I10" s="91"/>
      <c r="J10" s="91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</row>
    <row r="11" spans="1:29" ht="15" customHeight="1" x14ac:dyDescent="0.25">
      <c r="A11" s="82"/>
      <c r="B11" s="98" t="s">
        <v>51</v>
      </c>
      <c r="C11" s="98" t="s">
        <v>57</v>
      </c>
      <c r="D11" s="98" t="s">
        <v>56</v>
      </c>
      <c r="E11" s="92"/>
      <c r="F11" s="98" t="s">
        <v>106</v>
      </c>
      <c r="G11" s="98" t="s">
        <v>57</v>
      </c>
      <c r="H11" s="98" t="s">
        <v>56</v>
      </c>
      <c r="I11" s="91"/>
      <c r="J11" s="91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</row>
    <row r="12" spans="1:29" ht="15" customHeight="1" x14ac:dyDescent="0.25">
      <c r="A12" s="82"/>
      <c r="B12" s="156"/>
      <c r="C12" s="155"/>
      <c r="D12" s="157"/>
      <c r="E12" s="91"/>
      <c r="F12" s="156"/>
      <c r="G12" s="155"/>
      <c r="H12" s="157"/>
      <c r="I12" s="91"/>
      <c r="J12" s="91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</row>
    <row r="13" spans="1:29" ht="15" customHeight="1" x14ac:dyDescent="0.25">
      <c r="A13" s="82"/>
      <c r="B13" s="156"/>
      <c r="C13" s="155"/>
      <c r="D13" s="157"/>
      <c r="E13" s="91"/>
      <c r="F13" s="156"/>
      <c r="G13" s="155"/>
      <c r="H13" s="157"/>
      <c r="I13" s="91"/>
      <c r="J13" s="91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</row>
    <row r="14" spans="1:29" ht="15" customHeight="1" x14ac:dyDescent="0.25">
      <c r="A14" s="82"/>
      <c r="B14" s="156"/>
      <c r="C14" s="155"/>
      <c r="D14" s="157"/>
      <c r="E14" s="91"/>
      <c r="F14" s="156"/>
      <c r="G14" s="155"/>
      <c r="H14" s="157"/>
      <c r="I14" s="91"/>
      <c r="J14" s="91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</row>
    <row r="15" spans="1:29" ht="15" customHeight="1" x14ac:dyDescent="0.25">
      <c r="A15" s="82"/>
      <c r="B15" s="156"/>
      <c r="C15" s="155"/>
      <c r="D15" s="157"/>
      <c r="E15" s="91"/>
      <c r="F15" s="156"/>
      <c r="G15" s="155"/>
      <c r="H15" s="157"/>
      <c r="I15" s="91"/>
      <c r="J15" s="91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</row>
    <row r="16" spans="1:29" ht="15" customHeight="1" x14ac:dyDescent="0.25">
      <c r="A16" s="82"/>
      <c r="B16" s="156"/>
      <c r="C16" s="155"/>
      <c r="D16" s="157"/>
      <c r="E16" s="91"/>
      <c r="F16" s="156"/>
      <c r="G16" s="155"/>
      <c r="H16" s="157"/>
      <c r="I16" s="91"/>
      <c r="J16" s="91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</row>
    <row r="17" spans="1:29" ht="15" customHeight="1" x14ac:dyDescent="0.25">
      <c r="A17" s="82"/>
      <c r="B17" s="156"/>
      <c r="C17" s="155"/>
      <c r="D17" s="157"/>
      <c r="E17" s="91"/>
      <c r="F17" s="156"/>
      <c r="G17" s="155"/>
      <c r="H17" s="157"/>
      <c r="I17" s="91"/>
      <c r="J17" s="91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</row>
    <row r="18" spans="1:29" ht="15" customHeight="1" x14ac:dyDescent="0.25">
      <c r="A18" s="82"/>
      <c r="B18" s="156"/>
      <c r="C18" s="155"/>
      <c r="D18" s="157"/>
      <c r="E18" s="91"/>
      <c r="F18" s="156"/>
      <c r="G18" s="155"/>
      <c r="H18" s="157"/>
      <c r="I18" s="91"/>
      <c r="J18" s="91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</row>
    <row r="19" spans="1:29" ht="15" customHeight="1" x14ac:dyDescent="0.25">
      <c r="A19" s="82"/>
      <c r="B19" s="156"/>
      <c r="C19" s="155"/>
      <c r="D19" s="157"/>
      <c r="E19" s="91"/>
      <c r="F19" s="156"/>
      <c r="G19" s="155"/>
      <c r="H19" s="157"/>
      <c r="I19" s="91"/>
      <c r="J19" s="91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</row>
    <row r="20" spans="1:29" ht="15" customHeight="1" x14ac:dyDescent="0.25">
      <c r="A20" s="82"/>
      <c r="B20" s="156"/>
      <c r="C20" s="155"/>
      <c r="D20" s="157"/>
      <c r="E20" s="91"/>
      <c r="F20" s="156"/>
      <c r="G20" s="155"/>
      <c r="H20" s="157"/>
      <c r="I20" s="91"/>
      <c r="J20" s="91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</row>
    <row r="21" spans="1:29" ht="15" customHeight="1" x14ac:dyDescent="0.25">
      <c r="A21" s="82"/>
      <c r="B21" s="156"/>
      <c r="C21" s="155"/>
      <c r="D21" s="157"/>
      <c r="E21" s="91"/>
      <c r="F21" s="156"/>
      <c r="G21" s="155"/>
      <c r="H21" s="157"/>
      <c r="I21" s="91"/>
      <c r="J21" s="91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</row>
    <row r="22" spans="1:29" ht="15" customHeight="1" x14ac:dyDescent="0.25">
      <c r="A22" s="82"/>
      <c r="B22" s="156"/>
      <c r="C22" s="155"/>
      <c r="D22" s="157"/>
      <c r="E22" s="82"/>
      <c r="F22" s="156"/>
      <c r="G22" s="155"/>
      <c r="H22" s="157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</row>
    <row r="23" spans="1:29" ht="15" customHeight="1" x14ac:dyDescent="0.25">
      <c r="A23" s="82"/>
      <c r="B23" s="156"/>
      <c r="C23" s="155"/>
      <c r="D23" s="157"/>
      <c r="E23" s="82"/>
      <c r="F23" s="156"/>
      <c r="G23" s="155"/>
      <c r="H23" s="157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</row>
    <row r="24" spans="1:29" ht="15" customHeight="1" x14ac:dyDescent="0.25">
      <c r="A24" s="82"/>
      <c r="B24" s="156"/>
      <c r="C24" s="155"/>
      <c r="D24" s="157"/>
      <c r="E24" s="82"/>
      <c r="F24" s="156"/>
      <c r="G24" s="155"/>
      <c r="H24" s="157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</row>
    <row r="25" spans="1:29" ht="15" customHeight="1" x14ac:dyDescent="0.25">
      <c r="A25" s="82"/>
      <c r="B25" s="156"/>
      <c r="C25" s="155"/>
      <c r="D25" s="157"/>
      <c r="E25" s="82"/>
      <c r="F25" s="156"/>
      <c r="G25" s="155"/>
      <c r="H25" s="157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</row>
    <row r="26" spans="1:29" ht="15" customHeight="1" x14ac:dyDescent="0.25">
      <c r="A26" s="82"/>
      <c r="B26" s="156"/>
      <c r="C26" s="155"/>
      <c r="D26" s="157"/>
      <c r="E26" s="82"/>
      <c r="F26" s="156"/>
      <c r="G26" s="155"/>
      <c r="H26" s="157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</row>
    <row r="27" spans="1:29" ht="15" customHeight="1" x14ac:dyDescent="0.25">
      <c r="A27" s="82"/>
      <c r="B27" s="156"/>
      <c r="C27" s="155"/>
      <c r="D27" s="157"/>
      <c r="E27" s="82"/>
      <c r="F27" s="156"/>
      <c r="G27" s="155"/>
      <c r="H27" s="157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</row>
    <row r="28" spans="1:29" ht="15" customHeight="1" x14ac:dyDescent="0.25">
      <c r="A28" s="82"/>
      <c r="B28" s="156"/>
      <c r="C28" s="155"/>
      <c r="D28" s="157"/>
      <c r="E28" s="82"/>
      <c r="F28" s="156"/>
      <c r="G28" s="155"/>
      <c r="H28" s="157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</row>
    <row r="29" spans="1:29" ht="15" customHeight="1" x14ac:dyDescent="0.25">
      <c r="A29" s="82"/>
      <c r="B29" s="156"/>
      <c r="C29" s="155"/>
      <c r="D29" s="157"/>
      <c r="E29" s="82"/>
      <c r="F29" s="156"/>
      <c r="G29" s="155"/>
      <c r="H29" s="157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</row>
    <row r="30" spans="1:29" ht="15" customHeight="1" x14ac:dyDescent="0.25">
      <c r="A30" s="82"/>
      <c r="B30" s="156"/>
      <c r="C30" s="155"/>
      <c r="D30" s="157"/>
      <c r="E30" s="82"/>
      <c r="F30" s="156"/>
      <c r="G30" s="155"/>
      <c r="H30" s="157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</row>
    <row r="31" spans="1:29" ht="15" customHeight="1" thickBot="1" x14ac:dyDescent="0.3">
      <c r="A31" s="82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</row>
    <row r="32" spans="1:29" ht="15" customHeight="1" x14ac:dyDescent="0.25">
      <c r="A32" s="82"/>
      <c r="B32" s="99" t="s">
        <v>55</v>
      </c>
      <c r="C32" s="100"/>
      <c r="D32" s="83"/>
      <c r="E32" s="83"/>
      <c r="F32" s="83"/>
      <c r="G32" s="83"/>
      <c r="H32" s="84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</row>
    <row r="33" spans="1:29" ht="15" customHeight="1" x14ac:dyDescent="0.25">
      <c r="A33" s="82"/>
      <c r="B33" s="85" t="s">
        <v>54</v>
      </c>
      <c r="C33" s="86"/>
      <c r="D33" s="86"/>
      <c r="E33" s="86"/>
      <c r="F33" s="86"/>
      <c r="G33" s="86"/>
      <c r="H33" s="87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</row>
    <row r="34" spans="1:29" ht="15" customHeight="1" thickBot="1" x14ac:dyDescent="0.3">
      <c r="A34" s="82"/>
      <c r="B34" s="88" t="s">
        <v>53</v>
      </c>
      <c r="C34" s="89"/>
      <c r="D34" s="89"/>
      <c r="E34" s="89"/>
      <c r="F34" s="89"/>
      <c r="G34" s="89"/>
      <c r="H34" s="90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</row>
    <row r="35" spans="1:29" ht="15" customHeight="1" x14ac:dyDescent="0.25">
      <c r="A35" s="82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</row>
    <row r="36" spans="1:29" ht="15" customHeight="1" x14ac:dyDescent="0.25">
      <c r="A36" s="82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</row>
    <row r="37" spans="1:29" ht="15" customHeight="1" x14ac:dyDescent="0.25">
      <c r="A37" s="82"/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</row>
    <row r="38" spans="1:29" ht="15" customHeight="1" x14ac:dyDescent="0.25">
      <c r="A38" s="82"/>
      <c r="B38" s="91"/>
      <c r="C38" s="91"/>
      <c r="D38" s="91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</row>
    <row r="39" spans="1:29" ht="15" customHeight="1" x14ac:dyDescent="0.25">
      <c r="A39" s="82"/>
      <c r="B39" s="91"/>
      <c r="C39" s="91"/>
      <c r="D39" s="91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</row>
    <row r="40" spans="1:29" ht="15" customHeight="1" x14ac:dyDescent="0.25">
      <c r="A40" s="82"/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</row>
    <row r="41" spans="1:29" ht="15" customHeight="1" x14ac:dyDescent="0.25">
      <c r="A41" s="82"/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</row>
    <row r="42" spans="1:29" ht="15" customHeight="1" x14ac:dyDescent="0.25">
      <c r="A42" s="82"/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</row>
    <row r="43" spans="1:29" ht="15" customHeight="1" x14ac:dyDescent="0.25">
      <c r="A43" s="82"/>
      <c r="B43" s="82"/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  <c r="AA43" s="82"/>
      <c r="AB43" s="82"/>
      <c r="AC43" s="82"/>
    </row>
    <row r="44" spans="1:29" ht="15" customHeight="1" x14ac:dyDescent="0.25">
      <c r="A44" s="82"/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</row>
    <row r="45" spans="1:29" ht="15" customHeight="1" x14ac:dyDescent="0.25">
      <c r="A45" s="82"/>
      <c r="B45" s="82"/>
      <c r="C45" s="82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</row>
    <row r="46" spans="1:29" ht="15" customHeight="1" x14ac:dyDescent="0.25">
      <c r="A46" s="82"/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82"/>
    </row>
    <row r="47" spans="1:29" ht="15" customHeight="1" x14ac:dyDescent="0.25">
      <c r="A47" s="82"/>
      <c r="B47" s="82"/>
      <c r="C47" s="82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</row>
    <row r="48" spans="1:29" ht="15" customHeight="1" x14ac:dyDescent="0.25">
      <c r="A48" s="82"/>
      <c r="B48" s="82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</row>
    <row r="49" spans="1:29" ht="15" customHeight="1" x14ac:dyDescent="0.25">
      <c r="A49" s="82"/>
      <c r="B49" s="82"/>
      <c r="C49" s="82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</row>
    <row r="50" spans="1:29" ht="15" customHeight="1" x14ac:dyDescent="0.25">
      <c r="A50" s="82"/>
      <c r="B50" s="82"/>
      <c r="C50" s="82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</row>
    <row r="51" spans="1:29" ht="15" customHeight="1" x14ac:dyDescent="0.25">
      <c r="A51" s="82"/>
      <c r="B51" s="82"/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</row>
    <row r="52" spans="1:29" ht="15" customHeight="1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</row>
    <row r="53" spans="1:29" ht="15" customHeight="1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</row>
    <row r="54" spans="1:29" ht="15" customHeight="1" x14ac:dyDescent="0.25">
      <c r="A54" s="82"/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</row>
    <row r="55" spans="1:29" ht="15" customHeight="1" x14ac:dyDescent="0.25">
      <c r="A55" s="82"/>
      <c r="B55" s="82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</row>
    <row r="56" spans="1:29" ht="15" customHeight="1" x14ac:dyDescent="0.25">
      <c r="A56" s="82"/>
      <c r="B56" s="82"/>
      <c r="C56" s="82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82"/>
      <c r="Z56" s="82"/>
      <c r="AA56" s="82"/>
      <c r="AB56" s="82"/>
      <c r="AC56" s="82"/>
    </row>
    <row r="57" spans="1:29" ht="15" customHeight="1" x14ac:dyDescent="0.25">
      <c r="A57" s="82"/>
      <c r="B57" s="82"/>
      <c r="C57" s="8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  <c r="AB57" s="82"/>
      <c r="AC57" s="82"/>
    </row>
    <row r="58" spans="1:29" ht="15" customHeight="1" x14ac:dyDescent="0.25">
      <c r="A58" s="82"/>
      <c r="B58" s="82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</row>
    <row r="59" spans="1:29" ht="15" customHeight="1" x14ac:dyDescent="0.25">
      <c r="A59" s="82"/>
      <c r="B59" s="82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2"/>
      <c r="T59" s="82"/>
      <c r="U59" s="82"/>
      <c r="V59" s="82"/>
      <c r="W59" s="82"/>
      <c r="X59" s="82"/>
      <c r="Y59" s="82"/>
      <c r="Z59" s="82"/>
      <c r="AA59" s="82"/>
      <c r="AB59" s="82"/>
      <c r="AC59" s="82"/>
    </row>
    <row r="60" spans="1:29" ht="15" customHeight="1" x14ac:dyDescent="0.25">
      <c r="A60" s="82"/>
      <c r="B60" s="82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</row>
    <row r="61" spans="1:29" ht="15" customHeight="1" x14ac:dyDescent="0.25">
      <c r="A61" s="82"/>
      <c r="B61" s="82"/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82"/>
      <c r="Z61" s="82"/>
      <c r="AA61" s="82"/>
      <c r="AB61" s="82"/>
      <c r="AC61" s="82"/>
    </row>
    <row r="62" spans="1:29" ht="15" customHeight="1" x14ac:dyDescent="0.25">
      <c r="A62" s="82"/>
      <c r="B62" s="82"/>
      <c r="C62" s="82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82"/>
      <c r="Z62" s="82"/>
      <c r="AA62" s="82"/>
      <c r="AB62" s="82"/>
      <c r="AC62" s="82"/>
    </row>
    <row r="63" spans="1:29" ht="15" customHeight="1" x14ac:dyDescent="0.25">
      <c r="A63" s="82"/>
      <c r="B63" s="82"/>
      <c r="C63" s="82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B63" s="82"/>
      <c r="AC63" s="82"/>
    </row>
    <row r="64" spans="1:29" ht="15" customHeight="1" x14ac:dyDescent="0.25">
      <c r="A64" s="82"/>
      <c r="B64" s="82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</row>
    <row r="65" spans="1:29" ht="15" customHeight="1" x14ac:dyDescent="0.25">
      <c r="A65" s="82"/>
      <c r="B65" s="82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</row>
    <row r="66" spans="1:29" ht="15" customHeight="1" x14ac:dyDescent="0.25">
      <c r="A66" s="82"/>
      <c r="B66" s="82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</row>
    <row r="67" spans="1:29" ht="15" customHeight="1" x14ac:dyDescent="0.25">
      <c r="A67" s="82"/>
      <c r="B67" s="82"/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</row>
    <row r="68" spans="1:29" ht="15" customHeight="1" x14ac:dyDescent="0.25">
      <c r="A68" s="82"/>
      <c r="B68" s="82"/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</row>
    <row r="69" spans="1:29" ht="15" customHeight="1" x14ac:dyDescent="0.25">
      <c r="A69" s="82"/>
      <c r="B69" s="82"/>
      <c r="C69" s="82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82"/>
    </row>
    <row r="70" spans="1:29" ht="15" customHeight="1" x14ac:dyDescent="0.25">
      <c r="A70" s="82"/>
      <c r="B70" s="82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82"/>
    </row>
    <row r="71" spans="1:29" ht="15" customHeight="1" x14ac:dyDescent="0.25">
      <c r="A71" s="82"/>
      <c r="B71" s="82"/>
      <c r="C71" s="82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82"/>
    </row>
    <row r="72" spans="1:29" ht="15" customHeight="1" x14ac:dyDescent="0.25">
      <c r="A72" s="82"/>
      <c r="B72" s="82"/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  <c r="AC72" s="82"/>
    </row>
    <row r="73" spans="1:29" ht="15" customHeight="1" x14ac:dyDescent="0.25">
      <c r="A73" s="82"/>
      <c r="B73" s="82"/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82"/>
    </row>
    <row r="74" spans="1:29" ht="15" customHeight="1" x14ac:dyDescent="0.25">
      <c r="A74" s="82"/>
      <c r="B74" s="82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  <c r="AC74" s="82"/>
    </row>
    <row r="75" spans="1:29" ht="15" customHeight="1" x14ac:dyDescent="0.25">
      <c r="A75" s="82"/>
      <c r="B75" s="82"/>
      <c r="C75" s="82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  <c r="AA75" s="82"/>
      <c r="AB75" s="82"/>
      <c r="AC75" s="82"/>
    </row>
    <row r="76" spans="1:29" ht="15" customHeight="1" x14ac:dyDescent="0.25">
      <c r="A76" s="82"/>
      <c r="B76" s="82"/>
      <c r="C76" s="82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82"/>
      <c r="Z76" s="82"/>
      <c r="AA76" s="82"/>
      <c r="AB76" s="82"/>
      <c r="AC76" s="82"/>
    </row>
    <row r="77" spans="1:29" ht="15" customHeight="1" x14ac:dyDescent="0.25">
      <c r="A77" s="82"/>
      <c r="B77" s="82"/>
      <c r="C77" s="82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  <c r="Y77" s="82"/>
      <c r="Z77" s="82"/>
      <c r="AA77" s="82"/>
      <c r="AB77" s="82"/>
      <c r="AC77" s="82"/>
    </row>
    <row r="78" spans="1:29" ht="15" customHeight="1" x14ac:dyDescent="0.25">
      <c r="A78" s="82"/>
      <c r="B78" s="82"/>
      <c r="C78" s="82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82"/>
      <c r="Z78" s="82"/>
      <c r="AA78" s="82"/>
      <c r="AB78" s="82"/>
      <c r="AC78" s="82"/>
    </row>
    <row r="79" spans="1:29" ht="15" customHeight="1" x14ac:dyDescent="0.25">
      <c r="A79" s="82"/>
      <c r="B79" s="82"/>
      <c r="C79" s="82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82"/>
      <c r="AA79" s="82"/>
      <c r="AB79" s="82"/>
      <c r="AC79" s="82"/>
    </row>
    <row r="80" spans="1:29" ht="15" customHeight="1" x14ac:dyDescent="0.25">
      <c r="A80" s="82"/>
      <c r="B80" s="82"/>
      <c r="C80" s="82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82"/>
      <c r="AA80" s="82"/>
      <c r="AB80" s="82"/>
      <c r="AC80" s="82"/>
    </row>
    <row r="81" spans="1:29" ht="15" customHeight="1" x14ac:dyDescent="0.25">
      <c r="A81" s="82"/>
      <c r="B81" s="82"/>
      <c r="C81" s="82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  <c r="AC81" s="82"/>
    </row>
    <row r="82" spans="1:29" ht="15" customHeight="1" x14ac:dyDescent="0.25">
      <c r="A82" s="82"/>
      <c r="B82" s="82"/>
      <c r="C82" s="82"/>
      <c r="D82" s="82"/>
      <c r="E82" s="82"/>
      <c r="F82" s="82"/>
      <c r="G82" s="82"/>
      <c r="H82" s="82"/>
      <c r="I82" s="82"/>
      <c r="J82" s="82"/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  <c r="Y82" s="82"/>
      <c r="Z82" s="82"/>
      <c r="AA82" s="82"/>
      <c r="AB82" s="82"/>
      <c r="AC82" s="82"/>
    </row>
    <row r="83" spans="1:29" ht="15" customHeight="1" x14ac:dyDescent="0.25">
      <c r="A83" s="82"/>
      <c r="B83" s="82"/>
      <c r="C83" s="82"/>
      <c r="D83" s="82"/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  <c r="P83" s="82"/>
      <c r="Q83" s="82"/>
      <c r="R83" s="82"/>
      <c r="S83" s="82"/>
      <c r="T83" s="82"/>
      <c r="U83" s="82"/>
      <c r="V83" s="82"/>
      <c r="W83" s="82"/>
      <c r="X83" s="82"/>
      <c r="Y83" s="82"/>
      <c r="Z83" s="82"/>
      <c r="AA83" s="82"/>
      <c r="AB83" s="82"/>
      <c r="AC83" s="82"/>
    </row>
    <row r="84" spans="1:29" ht="15" customHeight="1" x14ac:dyDescent="0.25">
      <c r="A84" s="82"/>
      <c r="B84" s="82"/>
      <c r="C84" s="82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82"/>
      <c r="Z84" s="82"/>
      <c r="AA84" s="82"/>
      <c r="AB84" s="82"/>
      <c r="AC84" s="82"/>
    </row>
    <row r="85" spans="1:29" ht="15" customHeight="1" x14ac:dyDescent="0.25">
      <c r="A85" s="82"/>
      <c r="B85" s="82"/>
      <c r="C85" s="82"/>
      <c r="D85" s="82"/>
      <c r="E85" s="82"/>
      <c r="F85" s="82"/>
      <c r="G85" s="82"/>
      <c r="H85" s="82"/>
      <c r="I85" s="82"/>
      <c r="J85" s="82"/>
      <c r="K85" s="82"/>
      <c r="L85" s="82"/>
      <c r="M85" s="82"/>
      <c r="N85" s="82"/>
      <c r="O85" s="82"/>
      <c r="P85" s="82"/>
      <c r="Q85" s="82"/>
      <c r="R85" s="82"/>
      <c r="S85" s="82"/>
      <c r="T85" s="82"/>
      <c r="U85" s="82"/>
      <c r="V85" s="82"/>
      <c r="W85" s="82"/>
      <c r="X85" s="82"/>
      <c r="Y85" s="82"/>
      <c r="Z85" s="82"/>
      <c r="AA85" s="82"/>
      <c r="AB85" s="82"/>
      <c r="AC85" s="82"/>
    </row>
    <row r="86" spans="1:29" ht="15" customHeight="1" x14ac:dyDescent="0.25">
      <c r="A86" s="82"/>
      <c r="B86" s="82"/>
      <c r="C86" s="82"/>
      <c r="D86" s="82"/>
      <c r="E86" s="82"/>
      <c r="F86" s="82"/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  <c r="R86" s="82"/>
      <c r="S86" s="82"/>
      <c r="T86" s="82"/>
      <c r="U86" s="82"/>
      <c r="V86" s="82"/>
      <c r="W86" s="82"/>
      <c r="X86" s="82"/>
      <c r="Y86" s="82"/>
      <c r="Z86" s="82"/>
      <c r="AA86" s="82"/>
      <c r="AB86" s="82"/>
      <c r="AC86" s="82"/>
    </row>
    <row r="87" spans="1:29" ht="15" customHeight="1" x14ac:dyDescent="0.25">
      <c r="A87" s="82"/>
      <c r="B87" s="82"/>
      <c r="C87" s="82"/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  <c r="R87" s="82"/>
      <c r="S87" s="82"/>
      <c r="T87" s="82"/>
      <c r="U87" s="82"/>
      <c r="V87" s="82"/>
      <c r="W87" s="82"/>
      <c r="X87" s="82"/>
      <c r="Y87" s="82"/>
      <c r="Z87" s="82"/>
      <c r="AA87" s="82"/>
      <c r="AB87" s="82"/>
      <c r="AC87" s="82"/>
    </row>
    <row r="88" spans="1:29" ht="15" customHeight="1" x14ac:dyDescent="0.25">
      <c r="A88" s="82"/>
      <c r="B88" s="82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82"/>
      <c r="R88" s="82"/>
      <c r="S88" s="82"/>
      <c r="T88" s="82"/>
      <c r="U88" s="82"/>
      <c r="V88" s="82"/>
      <c r="W88" s="82"/>
      <c r="X88" s="82"/>
      <c r="Y88" s="82"/>
      <c r="Z88" s="82"/>
      <c r="AA88" s="82"/>
      <c r="AB88" s="82"/>
      <c r="AC88" s="82"/>
    </row>
    <row r="89" spans="1:29" ht="15" customHeight="1" x14ac:dyDescent="0.25">
      <c r="A89" s="82"/>
      <c r="B89" s="82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  <c r="AB89" s="82"/>
      <c r="AC89" s="82"/>
    </row>
    <row r="90" spans="1:29" ht="15" customHeight="1" x14ac:dyDescent="0.25">
      <c r="A90" s="82"/>
      <c r="B90" s="82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  <c r="AC90" s="82"/>
    </row>
    <row r="91" spans="1:29" ht="15" customHeight="1" x14ac:dyDescent="0.25">
      <c r="A91" s="82"/>
      <c r="B91" s="82"/>
      <c r="C91" s="82"/>
      <c r="D91" s="82"/>
      <c r="E91" s="82"/>
      <c r="F91" s="82"/>
      <c r="G91" s="82"/>
      <c r="H91" s="82"/>
      <c r="I91" s="82"/>
      <c r="J91" s="82"/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  <c r="Y91" s="82"/>
      <c r="Z91" s="82"/>
      <c r="AA91" s="82"/>
      <c r="AB91" s="82"/>
      <c r="AC91" s="82"/>
    </row>
    <row r="92" spans="1:29" ht="15" customHeight="1" x14ac:dyDescent="0.25">
      <c r="A92" s="82"/>
      <c r="B92" s="82"/>
      <c r="C92" s="82"/>
      <c r="D92" s="82"/>
      <c r="E92" s="82"/>
      <c r="F92" s="82"/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</row>
    <row r="93" spans="1:29" ht="15" customHeight="1" x14ac:dyDescent="0.25">
      <c r="A93" s="82"/>
      <c r="B93" s="82"/>
      <c r="C93" s="82"/>
      <c r="D93" s="82"/>
      <c r="E93" s="82"/>
      <c r="F93" s="82"/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82"/>
    </row>
    <row r="94" spans="1:29" ht="15" customHeight="1" x14ac:dyDescent="0.25">
      <c r="A94" s="82"/>
      <c r="B94" s="82"/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82"/>
    </row>
    <row r="95" spans="1:29" ht="15" customHeight="1" x14ac:dyDescent="0.25">
      <c r="A95" s="82"/>
      <c r="B95" s="82"/>
      <c r="C95" s="82"/>
      <c r="D95" s="82"/>
      <c r="E95" s="82"/>
      <c r="F95" s="82"/>
      <c r="G95" s="82"/>
      <c r="H95" s="82"/>
      <c r="I95" s="82"/>
      <c r="J95" s="82"/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82"/>
      <c r="Z95" s="82"/>
      <c r="AA95" s="82"/>
      <c r="AB95" s="82"/>
      <c r="AC95" s="82"/>
    </row>
    <row r="96" spans="1:29" ht="15" customHeight="1" x14ac:dyDescent="0.25">
      <c r="A96" s="82"/>
      <c r="B96" s="82"/>
      <c r="C96" s="82"/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82"/>
      <c r="AA96" s="82"/>
      <c r="AB96" s="82"/>
      <c r="AC96" s="82"/>
    </row>
    <row r="97" spans="1:29" ht="15" customHeight="1" x14ac:dyDescent="0.25">
      <c r="A97" s="82"/>
      <c r="B97" s="82"/>
      <c r="C97" s="82"/>
      <c r="D97" s="82"/>
      <c r="E97" s="82"/>
      <c r="F97" s="82"/>
      <c r="G97" s="82"/>
      <c r="H97" s="82"/>
      <c r="I97" s="82"/>
      <c r="J97" s="82"/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82"/>
      <c r="Z97" s="82"/>
      <c r="AA97" s="82"/>
      <c r="AB97" s="82"/>
      <c r="AC97" s="82"/>
    </row>
    <row r="98" spans="1:29" ht="15" customHeight="1" x14ac:dyDescent="0.25">
      <c r="A98" s="82"/>
      <c r="B98" s="82"/>
      <c r="C98" s="82"/>
      <c r="D98" s="82"/>
      <c r="E98" s="82"/>
      <c r="F98" s="82"/>
      <c r="G98" s="82"/>
      <c r="H98" s="82"/>
      <c r="I98" s="82"/>
      <c r="J98" s="82"/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82"/>
      <c r="AA98" s="82"/>
      <c r="AB98" s="82"/>
      <c r="AC98" s="82"/>
    </row>
    <row r="99" spans="1:29" ht="15" customHeight="1" x14ac:dyDescent="0.25">
      <c r="A99" s="82"/>
      <c r="B99" s="82"/>
      <c r="C99" s="82"/>
      <c r="D99" s="82"/>
      <c r="E99" s="82"/>
      <c r="F99" s="82"/>
      <c r="G99" s="82"/>
      <c r="H99" s="82"/>
      <c r="I99" s="82"/>
      <c r="J99" s="82"/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  <c r="AA99" s="82"/>
      <c r="AB99" s="82"/>
      <c r="AC99" s="82"/>
    </row>
    <row r="100" spans="1:29" ht="15" customHeight="1" x14ac:dyDescent="0.25">
      <c r="A100" s="82"/>
      <c r="B100" s="82"/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  <c r="AC100" s="82"/>
    </row>
    <row r="101" spans="1:29" ht="15" customHeight="1" x14ac:dyDescent="0.25">
      <c r="A101" s="82"/>
      <c r="B101" s="82"/>
      <c r="C101" s="82"/>
      <c r="D101" s="82"/>
      <c r="E101" s="82"/>
      <c r="F101" s="82"/>
      <c r="G101" s="82"/>
      <c r="H101" s="82"/>
      <c r="I101" s="82"/>
      <c r="J101" s="82"/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2"/>
      <c r="AA101" s="82"/>
      <c r="AB101" s="82"/>
      <c r="AC101" s="82"/>
    </row>
    <row r="102" spans="1:29" ht="15" customHeight="1" x14ac:dyDescent="0.25">
      <c r="A102" s="82"/>
      <c r="B102" s="82"/>
      <c r="C102" s="82"/>
      <c r="D102" s="82"/>
      <c r="E102" s="82"/>
      <c r="F102" s="82"/>
      <c r="G102" s="82"/>
      <c r="H102" s="82"/>
      <c r="I102" s="82"/>
      <c r="J102" s="82"/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2"/>
      <c r="AA102" s="82"/>
      <c r="AB102" s="82"/>
      <c r="AC102" s="82"/>
    </row>
    <row r="103" spans="1:29" ht="15" customHeight="1" x14ac:dyDescent="0.25">
      <c r="A103" s="82"/>
      <c r="B103" s="82"/>
      <c r="C103" s="82"/>
      <c r="D103" s="82"/>
      <c r="E103" s="82"/>
      <c r="F103" s="82"/>
      <c r="G103" s="82"/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  <c r="AC103" s="82"/>
    </row>
    <row r="104" spans="1:29" ht="15" customHeight="1" x14ac:dyDescent="0.25">
      <c r="A104" s="82"/>
      <c r="B104" s="82"/>
      <c r="C104" s="82"/>
      <c r="D104" s="82"/>
      <c r="E104" s="82"/>
      <c r="F104" s="82"/>
      <c r="G104" s="82"/>
      <c r="H104" s="82"/>
      <c r="I104" s="82"/>
      <c r="J104" s="82"/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82"/>
      <c r="Z104" s="82"/>
      <c r="AA104" s="82"/>
      <c r="AB104" s="82"/>
      <c r="AC104" s="82"/>
    </row>
    <row r="105" spans="1:29" ht="15" customHeight="1" x14ac:dyDescent="0.25">
      <c r="B105" s="82"/>
      <c r="C105" s="82"/>
      <c r="D105" s="82"/>
      <c r="E105" s="82"/>
      <c r="F105" s="82"/>
      <c r="G105" s="82"/>
      <c r="H105" s="82"/>
      <c r="I105" s="82"/>
      <c r="J105" s="82"/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2"/>
      <c r="V105" s="82"/>
      <c r="W105" s="82"/>
      <c r="X105" s="82"/>
      <c r="Y105" s="82"/>
      <c r="Z105" s="82"/>
      <c r="AA105" s="82"/>
      <c r="AB105" s="82"/>
      <c r="AC105" s="82"/>
    </row>
    <row r="106" spans="1:29" ht="15" customHeight="1" x14ac:dyDescent="0.25">
      <c r="B106" s="82"/>
      <c r="C106" s="82"/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  <c r="Y106" s="82"/>
      <c r="Z106" s="82"/>
      <c r="AA106" s="82"/>
      <c r="AB106" s="82"/>
      <c r="AC106" s="82"/>
    </row>
    <row r="107" spans="1:29" ht="15" customHeight="1" x14ac:dyDescent="0.25">
      <c r="B107" s="82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2"/>
      <c r="V107" s="82"/>
      <c r="W107" s="82"/>
      <c r="X107" s="82"/>
      <c r="Y107" s="82"/>
      <c r="Z107" s="82"/>
      <c r="AA107" s="82"/>
      <c r="AB107" s="82"/>
      <c r="AC107" s="82"/>
    </row>
    <row r="108" spans="1:29" ht="15" customHeight="1" x14ac:dyDescent="0.25">
      <c r="B108" s="82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  <c r="AA108" s="82"/>
      <c r="AB108" s="82"/>
      <c r="AC108" s="82"/>
    </row>
    <row r="109" spans="1:29" ht="15" customHeight="1" x14ac:dyDescent="0.25">
      <c r="B109" s="82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82"/>
      <c r="Q109" s="82"/>
      <c r="R109" s="82"/>
      <c r="S109" s="82"/>
      <c r="T109" s="82"/>
      <c r="U109" s="82"/>
      <c r="V109" s="82"/>
      <c r="W109" s="82"/>
      <c r="X109" s="82"/>
      <c r="Y109" s="82"/>
      <c r="Z109" s="82"/>
      <c r="AA109" s="82"/>
      <c r="AB109" s="82"/>
      <c r="AC109" s="82"/>
    </row>
    <row r="110" spans="1:29" ht="15" customHeight="1" x14ac:dyDescent="0.25"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</row>
    <row r="111" spans="1:29" ht="15" customHeight="1" x14ac:dyDescent="0.25">
      <c r="B111" s="82"/>
      <c r="C111" s="82"/>
      <c r="D111" s="82"/>
      <c r="E111" s="82"/>
      <c r="F111" s="82"/>
      <c r="G111" s="82"/>
      <c r="H111" s="82"/>
      <c r="I111" s="82"/>
      <c r="J111" s="82"/>
      <c r="K111" s="82"/>
      <c r="L111" s="82"/>
      <c r="M111" s="82"/>
      <c r="N111" s="82"/>
      <c r="O111" s="82"/>
      <c r="P111" s="82"/>
      <c r="Q111" s="82"/>
      <c r="R111" s="82"/>
      <c r="S111" s="82"/>
      <c r="T111" s="82"/>
      <c r="U111" s="82"/>
      <c r="V111" s="82"/>
      <c r="W111" s="82"/>
      <c r="X111" s="82"/>
      <c r="Y111" s="82"/>
      <c r="Z111" s="82"/>
      <c r="AA111" s="82"/>
      <c r="AB111" s="82"/>
      <c r="AC111" s="82"/>
    </row>
    <row r="112" spans="1:29" ht="15" customHeight="1" x14ac:dyDescent="0.25">
      <c r="B112" s="82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82"/>
      <c r="AA112" s="82"/>
      <c r="AB112" s="82"/>
      <c r="AC112" s="82"/>
    </row>
    <row r="113" spans="2:29" ht="15" customHeight="1" x14ac:dyDescent="0.25">
      <c r="B113" s="82"/>
      <c r="C113" s="82"/>
      <c r="D113" s="82"/>
      <c r="E113" s="82"/>
      <c r="F113" s="82"/>
      <c r="G113" s="82"/>
      <c r="H113" s="82"/>
      <c r="I113" s="82"/>
      <c r="J113" s="82"/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82"/>
      <c r="AA113" s="82"/>
      <c r="AB113" s="82"/>
      <c r="AC113" s="82"/>
    </row>
    <row r="114" spans="2:29" ht="15" customHeight="1" x14ac:dyDescent="0.25">
      <c r="B114" s="82"/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Z114" s="82"/>
      <c r="AA114" s="82"/>
      <c r="AB114" s="82"/>
      <c r="AC114" s="82"/>
    </row>
    <row r="115" spans="2:29" ht="15" customHeight="1" x14ac:dyDescent="0.25">
      <c r="B115" s="82"/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  <c r="V115" s="82"/>
      <c r="W115" s="82"/>
      <c r="X115" s="82"/>
      <c r="Y115" s="82"/>
      <c r="Z115" s="82"/>
      <c r="AA115" s="82"/>
      <c r="AB115" s="82"/>
      <c r="AC115" s="82"/>
    </row>
    <row r="116" spans="2:29" ht="15" customHeight="1" x14ac:dyDescent="0.25">
      <c r="B116" s="82"/>
      <c r="C116" s="82"/>
      <c r="D116" s="82"/>
      <c r="E116" s="82"/>
      <c r="F116" s="82"/>
      <c r="G116" s="82"/>
      <c r="H116" s="82"/>
      <c r="I116" s="82"/>
      <c r="J116" s="82"/>
      <c r="K116" s="82"/>
      <c r="L116" s="82"/>
      <c r="M116" s="82"/>
      <c r="N116" s="82"/>
      <c r="O116" s="82"/>
      <c r="P116" s="82"/>
      <c r="Q116" s="82"/>
      <c r="R116" s="82"/>
      <c r="S116" s="82"/>
      <c r="T116" s="82"/>
      <c r="U116" s="82"/>
      <c r="V116" s="82"/>
      <c r="W116" s="82"/>
      <c r="X116" s="82"/>
      <c r="Y116" s="82"/>
      <c r="Z116" s="82"/>
      <c r="AA116" s="82"/>
      <c r="AB116" s="82"/>
      <c r="AC116" s="82"/>
    </row>
    <row r="117" spans="2:29" ht="15" customHeight="1" x14ac:dyDescent="0.25">
      <c r="B117" s="82"/>
      <c r="C117" s="82"/>
      <c r="D117" s="82"/>
      <c r="E117" s="82"/>
      <c r="F117" s="82"/>
      <c r="G117" s="82"/>
      <c r="H117" s="82"/>
      <c r="I117" s="82"/>
      <c r="J117" s="82"/>
      <c r="K117" s="82"/>
      <c r="L117" s="82"/>
      <c r="M117" s="82"/>
      <c r="N117" s="82"/>
      <c r="O117" s="82"/>
      <c r="P117" s="82"/>
      <c r="Q117" s="82"/>
      <c r="R117" s="82"/>
      <c r="S117" s="82"/>
      <c r="T117" s="82"/>
      <c r="U117" s="82"/>
      <c r="V117" s="82"/>
      <c r="W117" s="82"/>
      <c r="X117" s="82"/>
      <c r="Y117" s="82"/>
      <c r="Z117" s="82"/>
      <c r="AA117" s="82"/>
      <c r="AB117" s="82"/>
      <c r="AC117" s="82"/>
    </row>
    <row r="118" spans="2:29" ht="15" customHeight="1" x14ac:dyDescent="0.25">
      <c r="B118" s="82"/>
      <c r="C118" s="82"/>
      <c r="D118" s="82"/>
      <c r="E118" s="82"/>
      <c r="F118" s="82"/>
      <c r="G118" s="82"/>
      <c r="H118" s="82"/>
      <c r="I118" s="82"/>
      <c r="J118" s="82"/>
      <c r="K118" s="82"/>
      <c r="L118" s="82"/>
      <c r="M118" s="82"/>
      <c r="N118" s="82"/>
      <c r="O118" s="82"/>
      <c r="P118" s="82"/>
      <c r="Q118" s="82"/>
      <c r="R118" s="82"/>
      <c r="S118" s="82"/>
      <c r="T118" s="82"/>
      <c r="U118" s="82"/>
      <c r="V118" s="82"/>
      <c r="W118" s="82"/>
      <c r="X118" s="82"/>
      <c r="Y118" s="82"/>
      <c r="Z118" s="82"/>
      <c r="AA118" s="82"/>
      <c r="AB118" s="82"/>
      <c r="AC118" s="82"/>
    </row>
    <row r="119" spans="2:29" ht="15" customHeight="1" x14ac:dyDescent="0.25">
      <c r="B119" s="82"/>
      <c r="C119" s="82"/>
      <c r="D119" s="82"/>
      <c r="E119" s="82"/>
      <c r="F119" s="82"/>
      <c r="G119" s="82"/>
      <c r="H119" s="82"/>
      <c r="I119" s="82"/>
      <c r="J119" s="82"/>
      <c r="K119" s="82"/>
      <c r="L119" s="82"/>
      <c r="M119" s="82"/>
      <c r="N119" s="82"/>
      <c r="O119" s="82"/>
      <c r="P119" s="82"/>
      <c r="Q119" s="82"/>
      <c r="R119" s="82"/>
      <c r="S119" s="82"/>
      <c r="T119" s="82"/>
      <c r="U119" s="82"/>
      <c r="V119" s="82"/>
      <c r="W119" s="82"/>
      <c r="X119" s="82"/>
      <c r="Y119" s="82"/>
      <c r="Z119" s="82"/>
      <c r="AA119" s="82"/>
      <c r="AB119" s="82"/>
      <c r="AC119" s="82"/>
    </row>
    <row r="120" spans="2:29" ht="15" customHeight="1" x14ac:dyDescent="0.25"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  <c r="AA120" s="82"/>
      <c r="AB120" s="82"/>
      <c r="AC120" s="82"/>
    </row>
    <row r="121" spans="2:29" ht="15" customHeight="1" x14ac:dyDescent="0.25">
      <c r="B121" s="82"/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  <c r="AB121" s="82"/>
      <c r="AC121" s="82"/>
    </row>
    <row r="122" spans="2:29" ht="15" customHeight="1" x14ac:dyDescent="0.25">
      <c r="B122" s="82"/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  <c r="AA122" s="82"/>
      <c r="AB122" s="82"/>
      <c r="AC122" s="82"/>
    </row>
    <row r="123" spans="2:29" ht="15" customHeight="1" x14ac:dyDescent="0.25">
      <c r="B123" s="82"/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82"/>
      <c r="O123" s="82"/>
      <c r="P123" s="82"/>
      <c r="Q123" s="82"/>
      <c r="R123" s="82"/>
      <c r="S123" s="82"/>
      <c r="T123" s="82"/>
      <c r="U123" s="82"/>
      <c r="V123" s="82"/>
      <c r="W123" s="82"/>
      <c r="X123" s="82"/>
      <c r="Y123" s="82"/>
      <c r="Z123" s="82"/>
      <c r="AA123" s="82"/>
      <c r="AB123" s="82"/>
      <c r="AC123" s="82"/>
    </row>
    <row r="124" spans="2:29" ht="15" customHeight="1" x14ac:dyDescent="0.25">
      <c r="B124" s="82"/>
      <c r="C124" s="82"/>
      <c r="D124" s="82"/>
      <c r="E124" s="82"/>
      <c r="F124" s="82"/>
      <c r="G124" s="82"/>
      <c r="H124" s="82"/>
      <c r="I124" s="82"/>
      <c r="J124" s="82"/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  <c r="AA124" s="82"/>
      <c r="AB124" s="82"/>
      <c r="AC124" s="82"/>
    </row>
    <row r="125" spans="2:29" ht="15" customHeight="1" x14ac:dyDescent="0.25">
      <c r="B125" s="82"/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  <c r="AA125" s="82"/>
      <c r="AB125" s="82"/>
      <c r="AC125" s="82"/>
    </row>
    <row r="126" spans="2:29" ht="15" customHeight="1" x14ac:dyDescent="0.25">
      <c r="B126" s="82"/>
      <c r="C126" s="82"/>
      <c r="D126" s="82"/>
      <c r="E126" s="82"/>
      <c r="F126" s="82"/>
      <c r="G126" s="82"/>
      <c r="H126" s="82"/>
      <c r="I126" s="82"/>
      <c r="J126" s="82"/>
      <c r="K126" s="82"/>
      <c r="L126" s="82"/>
      <c r="M126" s="82"/>
      <c r="N126" s="82"/>
      <c r="O126" s="82"/>
      <c r="P126" s="82"/>
      <c r="Q126" s="82"/>
      <c r="R126" s="82"/>
      <c r="S126" s="82"/>
      <c r="T126" s="82"/>
      <c r="U126" s="82"/>
      <c r="V126" s="82"/>
      <c r="W126" s="82"/>
      <c r="X126" s="82"/>
      <c r="Y126" s="82"/>
      <c r="Z126" s="82"/>
      <c r="AA126" s="82"/>
      <c r="AB126" s="82"/>
      <c r="AC126" s="82"/>
    </row>
    <row r="127" spans="2:29" ht="15" customHeight="1" x14ac:dyDescent="0.25">
      <c r="B127" s="82"/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82"/>
      <c r="W127" s="82"/>
      <c r="X127" s="82"/>
      <c r="Y127" s="82"/>
      <c r="Z127" s="82"/>
      <c r="AA127" s="82"/>
      <c r="AB127" s="82"/>
      <c r="AC127" s="82"/>
    </row>
    <row r="128" spans="2:29" ht="15" customHeight="1" x14ac:dyDescent="0.25">
      <c r="B128" s="82"/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82"/>
      <c r="AA128" s="82"/>
      <c r="AB128" s="82"/>
      <c r="AC128" s="82"/>
    </row>
    <row r="129" spans="2:29" ht="15" customHeight="1" x14ac:dyDescent="0.25">
      <c r="B129" s="82"/>
      <c r="C129" s="82"/>
      <c r="D129" s="82"/>
      <c r="E129" s="82"/>
      <c r="F129" s="82"/>
      <c r="G129" s="82"/>
      <c r="H129" s="82"/>
      <c r="I129" s="82"/>
      <c r="J129" s="82"/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82"/>
      <c r="AA129" s="82"/>
      <c r="AB129" s="82"/>
      <c r="AC129" s="82"/>
    </row>
    <row r="130" spans="2:29" ht="15" customHeight="1" x14ac:dyDescent="0.25">
      <c r="B130" s="82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  <c r="AB130" s="82"/>
      <c r="AC130" s="82"/>
    </row>
    <row r="131" spans="2:29" ht="15" customHeight="1" x14ac:dyDescent="0.25">
      <c r="B131" s="82"/>
      <c r="C131" s="82"/>
      <c r="D131" s="82"/>
      <c r="E131" s="82"/>
      <c r="F131" s="82"/>
      <c r="G131" s="82"/>
      <c r="H131" s="82"/>
      <c r="I131" s="82"/>
      <c r="J131" s="82"/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2"/>
      <c r="V131" s="82"/>
      <c r="W131" s="82"/>
      <c r="X131" s="82"/>
      <c r="Y131" s="82"/>
      <c r="Z131" s="82"/>
      <c r="AA131" s="82"/>
      <c r="AB131" s="82"/>
      <c r="AC131" s="82"/>
    </row>
    <row r="132" spans="2:29" ht="15" customHeight="1" x14ac:dyDescent="0.25">
      <c r="B132" s="82"/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  <c r="Y132" s="82"/>
      <c r="Z132" s="82"/>
      <c r="AA132" s="82"/>
      <c r="AB132" s="82"/>
      <c r="AC132" s="82"/>
    </row>
    <row r="133" spans="2:29" ht="15" customHeight="1" x14ac:dyDescent="0.25">
      <c r="B133" s="82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  <c r="AA133" s="82"/>
      <c r="AB133" s="82"/>
      <c r="AC133" s="82"/>
    </row>
    <row r="134" spans="2:29" ht="15" customHeight="1" x14ac:dyDescent="0.25">
      <c r="B134" s="82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82"/>
      <c r="Y134" s="82"/>
      <c r="Z134" s="82"/>
      <c r="AA134" s="82"/>
      <c r="AB134" s="82"/>
      <c r="AC134" s="82"/>
    </row>
    <row r="135" spans="2:29" ht="15" customHeight="1" x14ac:dyDescent="0.25">
      <c r="B135" s="82"/>
      <c r="C135" s="82"/>
      <c r="D135" s="82"/>
      <c r="E135" s="82"/>
      <c r="F135" s="82"/>
      <c r="G135" s="82"/>
      <c r="H135" s="82"/>
      <c r="I135" s="82"/>
      <c r="J135" s="82"/>
      <c r="K135" s="82"/>
      <c r="L135" s="82"/>
      <c r="M135" s="82"/>
      <c r="N135" s="82"/>
      <c r="O135" s="82"/>
      <c r="P135" s="82"/>
      <c r="Q135" s="82"/>
      <c r="R135" s="82"/>
      <c r="S135" s="82"/>
      <c r="T135" s="82"/>
      <c r="U135" s="82"/>
      <c r="V135" s="82"/>
      <c r="W135" s="82"/>
      <c r="X135" s="82"/>
      <c r="Y135" s="82"/>
      <c r="Z135" s="82"/>
      <c r="AA135" s="82"/>
      <c r="AB135" s="82"/>
      <c r="AC135" s="82"/>
    </row>
    <row r="136" spans="2:29" ht="15" customHeight="1" x14ac:dyDescent="0.25">
      <c r="B136" s="82"/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2"/>
      <c r="N136" s="82"/>
      <c r="O136" s="82"/>
      <c r="P136" s="82"/>
      <c r="Q136" s="82"/>
      <c r="R136" s="82"/>
      <c r="S136" s="82"/>
      <c r="T136" s="82"/>
      <c r="U136" s="82"/>
      <c r="V136" s="82"/>
      <c r="W136" s="82"/>
      <c r="X136" s="82"/>
      <c r="Y136" s="82"/>
      <c r="Z136" s="82"/>
      <c r="AA136" s="82"/>
      <c r="AB136" s="82"/>
      <c r="AC136" s="82"/>
    </row>
    <row r="137" spans="2:29" ht="15" customHeight="1" x14ac:dyDescent="0.25">
      <c r="B137" s="82"/>
      <c r="C137" s="82"/>
      <c r="D137" s="82"/>
      <c r="E137" s="82"/>
      <c r="F137" s="82"/>
      <c r="G137" s="82"/>
      <c r="H137" s="82"/>
      <c r="I137" s="82"/>
      <c r="J137" s="82"/>
      <c r="K137" s="82"/>
      <c r="L137" s="82"/>
      <c r="M137" s="82"/>
      <c r="N137" s="82"/>
      <c r="O137" s="82"/>
      <c r="P137" s="82"/>
      <c r="Q137" s="82"/>
      <c r="R137" s="82"/>
      <c r="S137" s="82"/>
      <c r="T137" s="82"/>
      <c r="U137" s="82"/>
      <c r="V137" s="82"/>
      <c r="W137" s="82"/>
      <c r="X137" s="82"/>
      <c r="Y137" s="82"/>
      <c r="Z137" s="82"/>
      <c r="AA137" s="82"/>
      <c r="AB137" s="82"/>
      <c r="AC137" s="82"/>
    </row>
    <row r="138" spans="2:29" ht="15" customHeight="1" x14ac:dyDescent="0.25">
      <c r="B138" s="82"/>
      <c r="C138" s="82"/>
      <c r="D138" s="82"/>
      <c r="E138" s="82"/>
      <c r="F138" s="82"/>
      <c r="G138" s="82"/>
      <c r="H138" s="82"/>
      <c r="I138" s="82"/>
      <c r="J138" s="82"/>
      <c r="K138" s="82"/>
      <c r="L138" s="82"/>
      <c r="M138" s="82"/>
      <c r="N138" s="82"/>
      <c r="O138" s="82"/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  <c r="AB138" s="82"/>
      <c r="AC138" s="82"/>
    </row>
    <row r="139" spans="2:29" ht="15" customHeight="1" x14ac:dyDescent="0.25">
      <c r="B139" s="82"/>
      <c r="C139" s="82"/>
      <c r="D139" s="82"/>
      <c r="E139" s="82"/>
      <c r="F139" s="82"/>
      <c r="G139" s="82"/>
      <c r="H139" s="82"/>
      <c r="I139" s="82"/>
      <c r="J139" s="82"/>
      <c r="K139" s="82"/>
      <c r="L139" s="82"/>
      <c r="M139" s="82"/>
      <c r="N139" s="82"/>
      <c r="O139" s="82"/>
      <c r="P139" s="82"/>
      <c r="Q139" s="82"/>
      <c r="R139" s="82"/>
      <c r="S139" s="82"/>
      <c r="T139" s="82"/>
      <c r="U139" s="82"/>
      <c r="V139" s="82"/>
      <c r="W139" s="82"/>
      <c r="X139" s="82"/>
      <c r="Y139" s="82"/>
      <c r="Z139" s="82"/>
      <c r="AA139" s="82"/>
      <c r="AB139" s="82"/>
      <c r="AC139" s="82"/>
    </row>
    <row r="140" spans="2:29" ht="15" customHeight="1" x14ac:dyDescent="0.25">
      <c r="B140" s="82"/>
      <c r="C140" s="82"/>
      <c r="D140" s="82"/>
      <c r="E140" s="82"/>
      <c r="F140" s="82"/>
      <c r="G140" s="82"/>
      <c r="H140" s="82"/>
      <c r="I140" s="82"/>
      <c r="J140" s="82"/>
      <c r="K140" s="82"/>
      <c r="L140" s="82"/>
      <c r="M140" s="82"/>
      <c r="N140" s="82"/>
      <c r="O140" s="82"/>
      <c r="P140" s="82"/>
      <c r="Q140" s="82"/>
      <c r="R140" s="82"/>
      <c r="S140" s="82"/>
      <c r="T140" s="82"/>
      <c r="U140" s="82"/>
      <c r="V140" s="82"/>
      <c r="W140" s="82"/>
      <c r="X140" s="82"/>
      <c r="Y140" s="82"/>
      <c r="Z140" s="82"/>
      <c r="AA140" s="82"/>
      <c r="AB140" s="82"/>
      <c r="AC140" s="82"/>
    </row>
    <row r="141" spans="2:29" ht="15" customHeight="1" x14ac:dyDescent="0.25">
      <c r="B141" s="82"/>
      <c r="C141" s="82"/>
      <c r="D141" s="82"/>
      <c r="E141" s="82"/>
      <c r="F141" s="82"/>
      <c r="G141" s="82"/>
      <c r="H141" s="82"/>
      <c r="I141" s="82"/>
      <c r="J141" s="82"/>
      <c r="K141" s="82"/>
      <c r="L141" s="82"/>
      <c r="M141" s="82"/>
      <c r="N141" s="82"/>
      <c r="O141" s="82"/>
      <c r="P141" s="82"/>
      <c r="Q141" s="82"/>
      <c r="R141" s="82"/>
      <c r="S141" s="82"/>
      <c r="T141" s="82"/>
      <c r="U141" s="82"/>
      <c r="V141" s="82"/>
      <c r="W141" s="82"/>
      <c r="X141" s="82"/>
      <c r="Y141" s="82"/>
      <c r="Z141" s="82"/>
      <c r="AA141" s="82"/>
      <c r="AB141" s="82"/>
      <c r="AC141" s="82"/>
    </row>
    <row r="142" spans="2:29" ht="15" customHeight="1" x14ac:dyDescent="0.25">
      <c r="B142" s="82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2"/>
      <c r="O142" s="82"/>
      <c r="P142" s="82"/>
      <c r="Q142" s="82"/>
      <c r="R142" s="82"/>
      <c r="S142" s="82"/>
      <c r="T142" s="82"/>
      <c r="U142" s="82"/>
      <c r="V142" s="82"/>
      <c r="W142" s="82"/>
      <c r="X142" s="82"/>
      <c r="Y142" s="82"/>
      <c r="Z142" s="82"/>
      <c r="AA142" s="82"/>
      <c r="AB142" s="82"/>
      <c r="AC142" s="82"/>
    </row>
    <row r="143" spans="2:29" ht="15" customHeight="1" x14ac:dyDescent="0.25">
      <c r="B143" s="82"/>
      <c r="C143" s="82"/>
      <c r="D143" s="82"/>
      <c r="E143" s="82"/>
      <c r="F143" s="82"/>
      <c r="G143" s="82"/>
      <c r="H143" s="82"/>
      <c r="I143" s="82"/>
      <c r="J143" s="82"/>
      <c r="K143" s="82"/>
      <c r="L143" s="82"/>
      <c r="M143" s="82"/>
      <c r="N143" s="82"/>
      <c r="O143" s="82"/>
      <c r="P143" s="82"/>
      <c r="Q143" s="82"/>
      <c r="R143" s="82"/>
      <c r="S143" s="82"/>
      <c r="T143" s="82"/>
      <c r="U143" s="82"/>
      <c r="V143" s="82"/>
      <c r="W143" s="82"/>
      <c r="X143" s="82"/>
      <c r="Y143" s="82"/>
      <c r="Z143" s="82"/>
      <c r="AA143" s="82"/>
      <c r="AB143" s="82"/>
      <c r="AC143" s="82"/>
    </row>
    <row r="144" spans="2:29" ht="15" customHeight="1" x14ac:dyDescent="0.25">
      <c r="B144" s="82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82"/>
    </row>
    <row r="145" spans="2:29" ht="15" customHeight="1" x14ac:dyDescent="0.25">
      <c r="B145" s="82"/>
      <c r="C145" s="82"/>
      <c r="D145" s="82"/>
      <c r="E145" s="82"/>
      <c r="F145" s="82"/>
      <c r="G145" s="82"/>
      <c r="H145" s="82"/>
      <c r="I145" s="82"/>
      <c r="J145" s="82"/>
      <c r="K145" s="82"/>
      <c r="L145" s="82"/>
      <c r="M145" s="82"/>
      <c r="N145" s="82"/>
      <c r="O145" s="82"/>
      <c r="P145" s="82"/>
      <c r="Q145" s="82"/>
      <c r="R145" s="82"/>
      <c r="S145" s="82"/>
      <c r="T145" s="82"/>
      <c r="U145" s="82"/>
      <c r="V145" s="82"/>
      <c r="W145" s="82"/>
      <c r="X145" s="82"/>
      <c r="Y145" s="82"/>
      <c r="Z145" s="82"/>
      <c r="AA145" s="82"/>
      <c r="AB145" s="82"/>
      <c r="AC145" s="82"/>
    </row>
    <row r="146" spans="2:29" ht="15" customHeight="1" x14ac:dyDescent="0.25">
      <c r="B146" s="82"/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82"/>
    </row>
    <row r="147" spans="2:29" ht="15" customHeight="1" x14ac:dyDescent="0.25">
      <c r="B147" s="82"/>
      <c r="C147" s="82"/>
      <c r="D147" s="82"/>
      <c r="E147" s="82"/>
      <c r="F147" s="82"/>
      <c r="G147" s="82"/>
      <c r="H147" s="82"/>
      <c r="I147" s="82"/>
      <c r="J147" s="82"/>
      <c r="K147" s="82"/>
      <c r="L147" s="82"/>
      <c r="M147" s="82"/>
      <c r="N147" s="82"/>
      <c r="O147" s="82"/>
      <c r="P147" s="82"/>
      <c r="Q147" s="82"/>
      <c r="R147" s="82"/>
      <c r="S147" s="82"/>
      <c r="T147" s="82"/>
      <c r="U147" s="82"/>
      <c r="V147" s="82"/>
      <c r="W147" s="82"/>
      <c r="X147" s="82"/>
      <c r="Y147" s="82"/>
      <c r="Z147" s="82"/>
      <c r="AA147" s="82"/>
      <c r="AB147" s="82"/>
      <c r="AC147" s="82"/>
    </row>
    <row r="148" spans="2:29" ht="15" customHeight="1" x14ac:dyDescent="0.25">
      <c r="B148" s="82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  <c r="AA148" s="82"/>
      <c r="AB148" s="82"/>
      <c r="AC148" s="82"/>
    </row>
    <row r="149" spans="2:29" ht="15" customHeight="1" x14ac:dyDescent="0.25">
      <c r="B149" s="82"/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2"/>
      <c r="N149" s="82"/>
      <c r="O149" s="82"/>
      <c r="P149" s="82"/>
      <c r="Q149" s="82"/>
      <c r="R149" s="82"/>
      <c r="S149" s="82"/>
      <c r="T149" s="82"/>
      <c r="U149" s="82"/>
      <c r="V149" s="82"/>
      <c r="W149" s="82"/>
      <c r="X149" s="82"/>
      <c r="Y149" s="82"/>
      <c r="Z149" s="82"/>
      <c r="AA149" s="82"/>
      <c r="AB149" s="82"/>
      <c r="AC149" s="82"/>
    </row>
    <row r="150" spans="2:29" ht="15" customHeight="1" x14ac:dyDescent="0.25">
      <c r="B150" s="82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82"/>
      <c r="Y150" s="82"/>
      <c r="Z150" s="82"/>
      <c r="AA150" s="82"/>
      <c r="AB150" s="82"/>
      <c r="AC150" s="82"/>
    </row>
    <row r="151" spans="2:29" ht="15" customHeight="1" x14ac:dyDescent="0.25">
      <c r="B151" s="82"/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2"/>
      <c r="N151" s="82"/>
      <c r="O151" s="82"/>
      <c r="P151" s="82"/>
      <c r="Q151" s="82"/>
      <c r="R151" s="82"/>
      <c r="S151" s="82"/>
      <c r="T151" s="82"/>
      <c r="U151" s="82"/>
      <c r="V151" s="82"/>
      <c r="W151" s="82"/>
      <c r="X151" s="82"/>
      <c r="Y151" s="82"/>
      <c r="Z151" s="82"/>
      <c r="AA151" s="82"/>
      <c r="AB151" s="82"/>
      <c r="AC151" s="82"/>
    </row>
    <row r="152" spans="2:29" ht="15" customHeight="1" x14ac:dyDescent="0.25">
      <c r="B152" s="82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  <c r="Y152" s="82"/>
      <c r="Z152" s="82"/>
      <c r="AA152" s="82"/>
      <c r="AB152" s="82"/>
      <c r="AC152" s="82"/>
    </row>
    <row r="153" spans="2:29" ht="15" customHeight="1" x14ac:dyDescent="0.25">
      <c r="B153" s="82"/>
      <c r="C153" s="82"/>
      <c r="D153" s="82"/>
      <c r="E153" s="82"/>
      <c r="F153" s="82"/>
      <c r="G153" s="82"/>
      <c r="H153" s="82"/>
      <c r="I153" s="82"/>
      <c r="J153" s="82"/>
      <c r="K153" s="82"/>
      <c r="L153" s="82"/>
      <c r="M153" s="82"/>
      <c r="N153" s="82"/>
      <c r="O153" s="82"/>
      <c r="P153" s="82"/>
      <c r="Q153" s="82"/>
      <c r="R153" s="82"/>
      <c r="S153" s="82"/>
      <c r="T153" s="82"/>
      <c r="U153" s="82"/>
      <c r="V153" s="82"/>
      <c r="W153" s="82"/>
      <c r="X153" s="82"/>
      <c r="Y153" s="82"/>
      <c r="Z153" s="82"/>
      <c r="AA153" s="82"/>
      <c r="AB153" s="82"/>
      <c r="AC153" s="82"/>
    </row>
    <row r="154" spans="2:29" ht="15" customHeight="1" x14ac:dyDescent="0.25">
      <c r="B154" s="82"/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2"/>
      <c r="N154" s="82"/>
      <c r="O154" s="82"/>
      <c r="P154" s="82"/>
      <c r="Q154" s="82"/>
      <c r="R154" s="82"/>
      <c r="S154" s="82"/>
      <c r="T154" s="82"/>
      <c r="U154" s="82"/>
      <c r="V154" s="82"/>
      <c r="W154" s="82"/>
      <c r="X154" s="82"/>
      <c r="Y154" s="82"/>
      <c r="Z154" s="82"/>
      <c r="AA154" s="82"/>
      <c r="AB154" s="82"/>
      <c r="AC154" s="82"/>
    </row>
    <row r="155" spans="2:29" ht="15" customHeight="1" x14ac:dyDescent="0.25">
      <c r="B155" s="82"/>
      <c r="C155" s="82"/>
      <c r="D155" s="82"/>
      <c r="E155" s="82"/>
      <c r="F155" s="82"/>
      <c r="G155" s="82"/>
      <c r="H155" s="82"/>
      <c r="I155" s="82"/>
      <c r="J155" s="82"/>
      <c r="K155" s="82"/>
      <c r="L155" s="82"/>
      <c r="M155" s="82"/>
      <c r="N155" s="82"/>
      <c r="O155" s="82"/>
      <c r="P155" s="82"/>
      <c r="Q155" s="82"/>
      <c r="R155" s="82"/>
      <c r="S155" s="82"/>
      <c r="T155" s="82"/>
      <c r="U155" s="82"/>
      <c r="V155" s="82"/>
      <c r="W155" s="82"/>
      <c r="X155" s="82"/>
      <c r="Y155" s="82"/>
      <c r="Z155" s="82"/>
      <c r="AA155" s="82"/>
      <c r="AB155" s="82"/>
      <c r="AC155" s="82"/>
    </row>
    <row r="156" spans="2:29" ht="15" customHeight="1" x14ac:dyDescent="0.25">
      <c r="B156" s="82"/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  <c r="AA156" s="82"/>
      <c r="AB156" s="82"/>
      <c r="AC156" s="82"/>
    </row>
    <row r="157" spans="2:29" ht="15" customHeight="1" x14ac:dyDescent="0.25">
      <c r="B157" s="82"/>
      <c r="C157" s="82"/>
      <c r="D157" s="82"/>
      <c r="E157" s="82"/>
      <c r="F157" s="82"/>
      <c r="G157" s="82"/>
      <c r="H157" s="82"/>
      <c r="I157" s="82"/>
      <c r="J157" s="82"/>
      <c r="K157" s="82"/>
      <c r="L157" s="82"/>
      <c r="M157" s="82"/>
      <c r="N157" s="82"/>
      <c r="O157" s="82"/>
      <c r="P157" s="82"/>
      <c r="Q157" s="82"/>
      <c r="R157" s="82"/>
      <c r="S157" s="82"/>
      <c r="T157" s="82"/>
      <c r="U157" s="82"/>
      <c r="V157" s="82"/>
      <c r="W157" s="82"/>
      <c r="X157" s="82"/>
      <c r="Y157" s="82"/>
      <c r="Z157" s="82"/>
      <c r="AA157" s="82"/>
      <c r="AB157" s="82"/>
      <c r="AC157" s="82"/>
    </row>
    <row r="158" spans="2:29" ht="15" customHeight="1" x14ac:dyDescent="0.25">
      <c r="B158" s="82"/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2"/>
      <c r="N158" s="82"/>
      <c r="O158" s="82"/>
      <c r="P158" s="82"/>
      <c r="Q158" s="82"/>
      <c r="R158" s="82"/>
      <c r="S158" s="82"/>
      <c r="T158" s="82"/>
      <c r="U158" s="82"/>
      <c r="V158" s="82"/>
      <c r="W158" s="82"/>
      <c r="X158" s="82"/>
      <c r="Y158" s="82"/>
      <c r="Z158" s="82"/>
      <c r="AA158" s="82"/>
      <c r="AB158" s="82"/>
      <c r="AC158" s="82"/>
    </row>
    <row r="159" spans="2:29" ht="15" customHeight="1" x14ac:dyDescent="0.25">
      <c r="B159" s="82"/>
      <c r="C159" s="82"/>
      <c r="D159" s="82"/>
      <c r="E159" s="82"/>
      <c r="F159" s="82"/>
      <c r="G159" s="82"/>
      <c r="H159" s="82"/>
      <c r="I159" s="82"/>
      <c r="J159" s="82"/>
      <c r="K159" s="82"/>
      <c r="L159" s="82"/>
      <c r="M159" s="82"/>
      <c r="N159" s="82"/>
      <c r="O159" s="82"/>
      <c r="P159" s="82"/>
      <c r="Q159" s="82"/>
      <c r="R159" s="82"/>
      <c r="S159" s="82"/>
      <c r="T159" s="82"/>
      <c r="U159" s="82"/>
      <c r="V159" s="82"/>
      <c r="W159" s="82"/>
      <c r="X159" s="82"/>
      <c r="Y159" s="82"/>
      <c r="Z159" s="82"/>
      <c r="AA159" s="82"/>
      <c r="AB159" s="82"/>
      <c r="AC159" s="82"/>
    </row>
    <row r="160" spans="2:29" ht="15" customHeight="1" x14ac:dyDescent="0.25">
      <c r="B160" s="82"/>
      <c r="C160" s="82"/>
      <c r="D160" s="82"/>
      <c r="E160" s="82"/>
      <c r="F160" s="82"/>
      <c r="G160" s="82"/>
      <c r="H160" s="82"/>
      <c r="I160" s="82"/>
      <c r="J160" s="82"/>
      <c r="K160" s="82"/>
      <c r="L160" s="82"/>
      <c r="M160" s="82"/>
      <c r="N160" s="82"/>
      <c r="O160" s="82"/>
      <c r="P160" s="82"/>
      <c r="Q160" s="82"/>
      <c r="R160" s="82"/>
      <c r="S160" s="82"/>
      <c r="T160" s="82"/>
      <c r="U160" s="82"/>
      <c r="V160" s="82"/>
      <c r="W160" s="82"/>
      <c r="X160" s="82"/>
      <c r="Y160" s="82"/>
      <c r="Z160" s="82"/>
      <c r="AA160" s="82"/>
      <c r="AB160" s="82"/>
      <c r="AC160" s="82"/>
    </row>
    <row r="161" spans="2:29" ht="15" customHeight="1" x14ac:dyDescent="0.25">
      <c r="B161" s="82"/>
      <c r="C161" s="82"/>
      <c r="D161" s="82"/>
      <c r="E161" s="82"/>
      <c r="F161" s="82"/>
      <c r="G161" s="82"/>
      <c r="H161" s="82"/>
      <c r="I161" s="82"/>
      <c r="J161" s="82"/>
      <c r="K161" s="82"/>
      <c r="L161" s="82"/>
      <c r="M161" s="82"/>
      <c r="N161" s="82"/>
      <c r="O161" s="82"/>
      <c r="P161" s="82"/>
      <c r="Q161" s="82"/>
      <c r="R161" s="82"/>
      <c r="S161" s="82"/>
      <c r="T161" s="82"/>
      <c r="U161" s="82"/>
      <c r="V161" s="82"/>
      <c r="W161" s="82"/>
      <c r="X161" s="82"/>
      <c r="Y161" s="82"/>
      <c r="Z161" s="82"/>
      <c r="AA161" s="82"/>
      <c r="AB161" s="82"/>
      <c r="AC161" s="82"/>
    </row>
    <row r="162" spans="2:29" ht="15" customHeight="1" x14ac:dyDescent="0.25">
      <c r="B162" s="82"/>
      <c r="C162" s="82"/>
      <c r="D162" s="82"/>
      <c r="E162" s="82"/>
      <c r="F162" s="82"/>
      <c r="G162" s="82"/>
      <c r="H162" s="82"/>
      <c r="I162" s="82"/>
      <c r="J162" s="82"/>
      <c r="K162" s="82"/>
      <c r="L162" s="82"/>
      <c r="M162" s="82"/>
      <c r="N162" s="82"/>
      <c r="O162" s="82"/>
      <c r="P162" s="82"/>
      <c r="Q162" s="82"/>
      <c r="R162" s="82"/>
      <c r="S162" s="82"/>
      <c r="T162" s="82"/>
      <c r="U162" s="82"/>
      <c r="V162" s="82"/>
      <c r="W162" s="82"/>
      <c r="X162" s="82"/>
      <c r="Y162" s="82"/>
      <c r="Z162" s="82"/>
      <c r="AA162" s="82"/>
      <c r="AB162" s="82"/>
      <c r="AC162" s="82"/>
    </row>
    <row r="163" spans="2:29" ht="15" customHeight="1" x14ac:dyDescent="0.25">
      <c r="B163" s="82"/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2"/>
      <c r="N163" s="82"/>
      <c r="O163" s="82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2"/>
      <c r="AA163" s="82"/>
      <c r="AB163" s="82"/>
      <c r="AC163" s="82"/>
    </row>
    <row r="164" spans="2:29" ht="15" customHeight="1" x14ac:dyDescent="0.25">
      <c r="B164" s="82"/>
      <c r="C164" s="82"/>
      <c r="D164" s="82"/>
      <c r="E164" s="82"/>
      <c r="F164" s="82"/>
      <c r="G164" s="82"/>
      <c r="H164" s="82"/>
      <c r="I164" s="82"/>
      <c r="J164" s="82"/>
      <c r="K164" s="82"/>
      <c r="L164" s="82"/>
      <c r="M164" s="82"/>
      <c r="N164" s="82"/>
      <c r="O164" s="82"/>
      <c r="P164" s="82"/>
      <c r="Q164" s="82"/>
      <c r="R164" s="82"/>
      <c r="S164" s="82"/>
      <c r="T164" s="82"/>
      <c r="U164" s="82"/>
      <c r="V164" s="82"/>
      <c r="W164" s="82"/>
      <c r="X164" s="82"/>
      <c r="Y164" s="82"/>
      <c r="Z164" s="82"/>
      <c r="AA164" s="82"/>
      <c r="AB164" s="82"/>
      <c r="AC164" s="82"/>
    </row>
    <row r="165" spans="2:29" ht="15" customHeight="1" x14ac:dyDescent="0.25">
      <c r="B165" s="82"/>
      <c r="C165" s="82"/>
      <c r="D165" s="82"/>
      <c r="E165" s="82"/>
      <c r="F165" s="82"/>
      <c r="G165" s="82"/>
      <c r="H165" s="82"/>
      <c r="I165" s="82"/>
      <c r="J165" s="82"/>
      <c r="K165" s="82"/>
      <c r="L165" s="82"/>
      <c r="M165" s="82"/>
      <c r="N165" s="82"/>
      <c r="O165" s="82"/>
      <c r="P165" s="82"/>
      <c r="Q165" s="82"/>
      <c r="R165" s="82"/>
      <c r="S165" s="82"/>
      <c r="T165" s="82"/>
      <c r="U165" s="82"/>
      <c r="V165" s="82"/>
      <c r="W165" s="82"/>
      <c r="X165" s="82"/>
      <c r="Y165" s="82"/>
      <c r="Z165" s="82"/>
      <c r="AA165" s="82"/>
      <c r="AB165" s="82"/>
      <c r="AC165" s="82"/>
    </row>
    <row r="166" spans="2:29" ht="15" customHeight="1" x14ac:dyDescent="0.25">
      <c r="B166" s="82"/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2"/>
      <c r="N166" s="82"/>
      <c r="O166" s="82"/>
      <c r="P166" s="82"/>
      <c r="Q166" s="82"/>
      <c r="R166" s="82"/>
      <c r="S166" s="82"/>
      <c r="T166" s="82"/>
      <c r="U166" s="82"/>
      <c r="V166" s="82"/>
      <c r="W166" s="82"/>
      <c r="X166" s="82"/>
      <c r="Y166" s="82"/>
      <c r="Z166" s="82"/>
      <c r="AA166" s="82"/>
      <c r="AB166" s="82"/>
      <c r="AC166" s="82"/>
    </row>
    <row r="167" spans="2:29" ht="15" customHeight="1" x14ac:dyDescent="0.25">
      <c r="B167" s="82"/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82"/>
      <c r="P167" s="82"/>
      <c r="Q167" s="82"/>
      <c r="R167" s="82"/>
      <c r="S167" s="82"/>
      <c r="T167" s="82"/>
      <c r="U167" s="82"/>
      <c r="V167" s="82"/>
      <c r="W167" s="82"/>
      <c r="X167" s="82"/>
      <c r="Y167" s="82"/>
      <c r="Z167" s="82"/>
      <c r="AA167" s="82"/>
      <c r="AB167" s="82"/>
      <c r="AC167" s="82"/>
    </row>
    <row r="168" spans="2:29" ht="15" customHeight="1" x14ac:dyDescent="0.25">
      <c r="B168" s="82"/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2"/>
      <c r="N168" s="82"/>
      <c r="O168" s="82"/>
      <c r="P168" s="82"/>
      <c r="Q168" s="82"/>
      <c r="R168" s="82"/>
      <c r="S168" s="82"/>
      <c r="T168" s="82"/>
      <c r="U168" s="82"/>
      <c r="V168" s="82"/>
      <c r="W168" s="82"/>
      <c r="X168" s="82"/>
      <c r="Y168" s="82"/>
      <c r="Z168" s="82"/>
      <c r="AA168" s="82"/>
      <c r="AB168" s="82"/>
      <c r="AC168" s="82"/>
    </row>
    <row r="169" spans="2:29" ht="15" customHeight="1" x14ac:dyDescent="0.25">
      <c r="B169" s="82"/>
      <c r="C169" s="82"/>
      <c r="D169" s="82"/>
      <c r="E169" s="82"/>
      <c r="F169" s="82"/>
      <c r="G169" s="82"/>
      <c r="H169" s="82"/>
      <c r="I169" s="82"/>
      <c r="J169" s="82"/>
      <c r="K169" s="82"/>
      <c r="L169" s="82"/>
      <c r="M169" s="82"/>
      <c r="N169" s="82"/>
      <c r="O169" s="82"/>
      <c r="P169" s="82"/>
      <c r="Q169" s="82"/>
      <c r="R169" s="82"/>
      <c r="S169" s="82"/>
      <c r="T169" s="82"/>
      <c r="U169" s="82"/>
      <c r="V169" s="82"/>
      <c r="W169" s="82"/>
      <c r="X169" s="82"/>
      <c r="Y169" s="82"/>
      <c r="Z169" s="82"/>
      <c r="AA169" s="82"/>
      <c r="AB169" s="82"/>
      <c r="AC169" s="82"/>
    </row>
    <row r="170" spans="2:29" ht="15" customHeight="1" x14ac:dyDescent="0.25">
      <c r="B170" s="82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82"/>
      <c r="O170" s="82"/>
      <c r="P170" s="82"/>
      <c r="Q170" s="82"/>
      <c r="R170" s="82"/>
      <c r="S170" s="82"/>
      <c r="T170" s="82"/>
      <c r="U170" s="82"/>
      <c r="V170" s="82"/>
      <c r="W170" s="82"/>
      <c r="X170" s="82"/>
      <c r="Y170" s="82"/>
      <c r="Z170" s="82"/>
      <c r="AA170" s="82"/>
      <c r="AB170" s="82"/>
      <c r="AC170" s="82"/>
    </row>
    <row r="171" spans="2:29" ht="15" customHeight="1" x14ac:dyDescent="0.25">
      <c r="B171" s="82"/>
      <c r="C171" s="82"/>
      <c r="D171" s="82"/>
      <c r="E171" s="82"/>
      <c r="F171" s="82"/>
      <c r="G171" s="82"/>
      <c r="H171" s="82"/>
      <c r="I171" s="82"/>
      <c r="J171" s="82"/>
      <c r="K171" s="82"/>
      <c r="L171" s="82"/>
      <c r="M171" s="82"/>
      <c r="N171" s="82"/>
      <c r="O171" s="82"/>
      <c r="P171" s="82"/>
      <c r="Q171" s="82"/>
      <c r="R171" s="82"/>
      <c r="S171" s="82"/>
      <c r="T171" s="82"/>
      <c r="U171" s="82"/>
      <c r="V171" s="82"/>
      <c r="W171" s="82"/>
      <c r="X171" s="82"/>
      <c r="Y171" s="82"/>
      <c r="Z171" s="82"/>
      <c r="AA171" s="82"/>
      <c r="AB171" s="82"/>
      <c r="AC171" s="82"/>
    </row>
    <row r="172" spans="2:29" ht="15" customHeight="1" x14ac:dyDescent="0.25">
      <c r="B172" s="82"/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2"/>
      <c r="N172" s="82"/>
      <c r="O172" s="82"/>
      <c r="P172" s="82"/>
      <c r="Q172" s="82"/>
      <c r="R172" s="82"/>
      <c r="S172" s="82"/>
      <c r="T172" s="82"/>
      <c r="U172" s="82"/>
      <c r="V172" s="82"/>
      <c r="W172" s="82"/>
      <c r="X172" s="82"/>
      <c r="Y172" s="82"/>
      <c r="Z172" s="82"/>
      <c r="AA172" s="82"/>
      <c r="AB172" s="82"/>
      <c r="AC172" s="82"/>
    </row>
    <row r="173" spans="2:29" ht="15" customHeight="1" x14ac:dyDescent="0.25">
      <c r="B173" s="82"/>
      <c r="C173" s="82"/>
      <c r="D173" s="82"/>
      <c r="E173" s="82"/>
      <c r="F173" s="82"/>
      <c r="G173" s="82"/>
      <c r="H173" s="82"/>
      <c r="I173" s="82"/>
      <c r="J173" s="82"/>
      <c r="K173" s="82"/>
      <c r="L173" s="82"/>
      <c r="M173" s="82"/>
      <c r="N173" s="82"/>
      <c r="O173" s="82"/>
      <c r="P173" s="82"/>
      <c r="Q173" s="82"/>
      <c r="R173" s="82"/>
      <c r="S173" s="82"/>
      <c r="T173" s="82"/>
      <c r="U173" s="82"/>
      <c r="V173" s="82"/>
      <c r="W173" s="82"/>
      <c r="X173" s="82"/>
      <c r="Y173" s="82"/>
      <c r="Z173" s="82"/>
      <c r="AA173" s="82"/>
      <c r="AB173" s="82"/>
      <c r="AC173" s="82"/>
    </row>
    <row r="174" spans="2:29" ht="15" customHeight="1" x14ac:dyDescent="0.25">
      <c r="B174" s="82"/>
      <c r="C174" s="82"/>
      <c r="D174" s="82"/>
      <c r="E174" s="82"/>
      <c r="F174" s="82"/>
      <c r="G174" s="82"/>
      <c r="H174" s="82"/>
      <c r="I174" s="82"/>
      <c r="J174" s="82"/>
      <c r="K174" s="82"/>
      <c r="L174" s="82"/>
      <c r="M174" s="82"/>
      <c r="N174" s="82"/>
      <c r="O174" s="82"/>
      <c r="P174" s="82"/>
      <c r="Q174" s="82"/>
      <c r="R174" s="82"/>
      <c r="S174" s="82"/>
      <c r="T174" s="82"/>
      <c r="U174" s="82"/>
      <c r="V174" s="82"/>
      <c r="W174" s="82"/>
      <c r="X174" s="82"/>
      <c r="Y174" s="82"/>
      <c r="Z174" s="82"/>
      <c r="AA174" s="82"/>
      <c r="AB174" s="82"/>
      <c r="AC174" s="82"/>
    </row>
    <row r="175" spans="2:29" ht="15" customHeight="1" x14ac:dyDescent="0.25">
      <c r="B175" s="82"/>
      <c r="C175" s="82"/>
      <c r="D175" s="82"/>
      <c r="E175" s="82"/>
      <c r="F175" s="82"/>
      <c r="G175" s="82"/>
      <c r="H175" s="82"/>
      <c r="I175" s="82"/>
      <c r="J175" s="82"/>
      <c r="K175" s="82"/>
      <c r="L175" s="82"/>
      <c r="M175" s="82"/>
      <c r="N175" s="82"/>
      <c r="O175" s="82"/>
      <c r="P175" s="82"/>
      <c r="Q175" s="82"/>
      <c r="R175" s="82"/>
      <c r="S175" s="82"/>
      <c r="T175" s="82"/>
      <c r="U175" s="82"/>
      <c r="V175" s="82"/>
      <c r="W175" s="82"/>
      <c r="X175" s="82"/>
      <c r="Y175" s="82"/>
      <c r="Z175" s="82"/>
      <c r="AA175" s="82"/>
      <c r="AB175" s="82"/>
      <c r="AC175" s="82"/>
    </row>
    <row r="176" spans="2:29" ht="15" customHeight="1" x14ac:dyDescent="0.25">
      <c r="B176" s="82"/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  <c r="AA176" s="82"/>
      <c r="AB176" s="82"/>
      <c r="AC176" s="82"/>
    </row>
    <row r="177" spans="2:29" ht="15" customHeight="1" x14ac:dyDescent="0.25">
      <c r="B177" s="82"/>
      <c r="C177" s="82"/>
      <c r="D177" s="82"/>
      <c r="E177" s="82"/>
      <c r="F177" s="82"/>
      <c r="G177" s="82"/>
      <c r="H177" s="82"/>
      <c r="I177" s="82"/>
      <c r="J177" s="82"/>
      <c r="K177" s="82"/>
      <c r="L177" s="82"/>
      <c r="M177" s="82"/>
      <c r="N177" s="82"/>
      <c r="O177" s="82"/>
      <c r="P177" s="82"/>
      <c r="Q177" s="82"/>
      <c r="R177" s="82"/>
      <c r="S177" s="82"/>
      <c r="T177" s="82"/>
      <c r="U177" s="82"/>
      <c r="V177" s="82"/>
      <c r="W177" s="82"/>
      <c r="X177" s="82"/>
      <c r="Y177" s="82"/>
      <c r="Z177" s="82"/>
      <c r="AA177" s="82"/>
      <c r="AB177" s="82"/>
      <c r="AC177" s="82"/>
    </row>
    <row r="178" spans="2:29" ht="15" customHeight="1" x14ac:dyDescent="0.25">
      <c r="B178" s="82"/>
      <c r="C178" s="82"/>
      <c r="D178" s="82"/>
      <c r="E178" s="82"/>
      <c r="F178" s="82"/>
      <c r="G178" s="82"/>
      <c r="H178" s="82"/>
      <c r="I178" s="82"/>
      <c r="J178" s="82"/>
      <c r="K178" s="82"/>
      <c r="L178" s="82"/>
      <c r="M178" s="82"/>
      <c r="N178" s="82"/>
      <c r="O178" s="82"/>
      <c r="P178" s="82"/>
      <c r="Q178" s="82"/>
      <c r="R178" s="82"/>
      <c r="S178" s="82"/>
      <c r="T178" s="82"/>
      <c r="U178" s="82"/>
      <c r="V178" s="82"/>
      <c r="W178" s="82"/>
      <c r="X178" s="82"/>
      <c r="Y178" s="82"/>
      <c r="Z178" s="82"/>
      <c r="AA178" s="82"/>
      <c r="AB178" s="82"/>
      <c r="AC178" s="82"/>
    </row>
    <row r="179" spans="2:29" ht="15" customHeight="1" x14ac:dyDescent="0.25">
      <c r="B179" s="82"/>
      <c r="C179" s="82"/>
      <c r="D179" s="82"/>
      <c r="E179" s="82"/>
      <c r="F179" s="82"/>
      <c r="G179" s="82"/>
      <c r="H179" s="82"/>
      <c r="I179" s="82"/>
      <c r="J179" s="82"/>
      <c r="K179" s="82"/>
      <c r="L179" s="82"/>
      <c r="M179" s="82"/>
      <c r="N179" s="82"/>
      <c r="O179" s="82"/>
      <c r="P179" s="82"/>
      <c r="Q179" s="82"/>
      <c r="R179" s="82"/>
      <c r="S179" s="82"/>
      <c r="T179" s="82"/>
      <c r="U179" s="82"/>
      <c r="V179" s="82"/>
      <c r="W179" s="82"/>
      <c r="X179" s="82"/>
      <c r="Y179" s="82"/>
      <c r="Z179" s="82"/>
      <c r="AA179" s="82"/>
      <c r="AB179" s="82"/>
      <c r="AC179" s="82"/>
    </row>
    <row r="180" spans="2:29" ht="15" customHeight="1" x14ac:dyDescent="0.25">
      <c r="B180" s="82"/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  <c r="Y180" s="82"/>
      <c r="Z180" s="82"/>
      <c r="AA180" s="82"/>
      <c r="AB180" s="82"/>
      <c r="AC180" s="82"/>
    </row>
    <row r="181" spans="2:29" ht="15" customHeight="1" x14ac:dyDescent="0.25">
      <c r="B181" s="82"/>
      <c r="C181" s="82"/>
      <c r="D181" s="82"/>
      <c r="E181" s="82"/>
      <c r="F181" s="82"/>
      <c r="G181" s="82"/>
      <c r="H181" s="82"/>
      <c r="I181" s="82"/>
      <c r="J181" s="82"/>
      <c r="K181" s="82"/>
      <c r="L181" s="82"/>
      <c r="M181" s="82"/>
      <c r="N181" s="82"/>
      <c r="O181" s="82"/>
      <c r="P181" s="82"/>
      <c r="Q181" s="82"/>
      <c r="R181" s="82"/>
      <c r="S181" s="82"/>
      <c r="T181" s="82"/>
      <c r="U181" s="82"/>
      <c r="V181" s="82"/>
      <c r="W181" s="82"/>
      <c r="X181" s="82"/>
      <c r="Y181" s="82"/>
      <c r="Z181" s="82"/>
      <c r="AA181" s="82"/>
      <c r="AB181" s="82"/>
      <c r="AC181" s="82"/>
    </row>
    <row r="182" spans="2:29" ht="15" customHeight="1" x14ac:dyDescent="0.25">
      <c r="B182" s="82"/>
      <c r="C182" s="82"/>
      <c r="D182" s="82"/>
      <c r="E182" s="82"/>
      <c r="F182" s="82"/>
      <c r="G182" s="82"/>
      <c r="H182" s="82"/>
      <c r="I182" s="82"/>
      <c r="J182" s="82"/>
      <c r="K182" s="82"/>
      <c r="L182" s="82"/>
      <c r="M182" s="82"/>
      <c r="N182" s="82"/>
      <c r="O182" s="82"/>
      <c r="P182" s="82"/>
      <c r="Q182" s="82"/>
      <c r="R182" s="82"/>
      <c r="S182" s="82"/>
      <c r="T182" s="82"/>
      <c r="U182" s="82"/>
      <c r="V182" s="82"/>
      <c r="W182" s="82"/>
      <c r="X182" s="82"/>
      <c r="Y182" s="82"/>
      <c r="Z182" s="82"/>
      <c r="AA182" s="82"/>
      <c r="AB182" s="82"/>
      <c r="AC182" s="82"/>
    </row>
    <row r="183" spans="2:29" ht="15" customHeight="1" x14ac:dyDescent="0.25">
      <c r="B183" s="82"/>
      <c r="C183" s="82"/>
      <c r="D183" s="82"/>
      <c r="E183" s="82"/>
      <c r="F183" s="82"/>
      <c r="G183" s="82"/>
      <c r="H183" s="82"/>
      <c r="I183" s="82"/>
      <c r="J183" s="82"/>
      <c r="K183" s="82"/>
      <c r="L183" s="82"/>
      <c r="M183" s="82"/>
      <c r="N183" s="82"/>
      <c r="O183" s="82"/>
      <c r="P183" s="82"/>
      <c r="Q183" s="82"/>
      <c r="R183" s="82"/>
      <c r="S183" s="82"/>
      <c r="T183" s="82"/>
      <c r="U183" s="82"/>
      <c r="V183" s="82"/>
      <c r="W183" s="82"/>
      <c r="X183" s="82"/>
      <c r="Y183" s="82"/>
      <c r="Z183" s="82"/>
      <c r="AA183" s="82"/>
      <c r="AB183" s="82"/>
      <c r="AC183" s="82"/>
    </row>
    <row r="184" spans="2:29" ht="15" customHeight="1" x14ac:dyDescent="0.25">
      <c r="B184" s="82"/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2"/>
      <c r="N184" s="82"/>
      <c r="O184" s="82"/>
      <c r="P184" s="82"/>
      <c r="Q184" s="82"/>
      <c r="R184" s="82"/>
      <c r="S184" s="82"/>
      <c r="T184" s="82"/>
      <c r="U184" s="82"/>
      <c r="V184" s="82"/>
      <c r="W184" s="82"/>
      <c r="X184" s="82"/>
      <c r="Y184" s="82"/>
      <c r="Z184" s="82"/>
      <c r="AA184" s="82"/>
      <c r="AB184" s="82"/>
      <c r="AC184" s="82"/>
    </row>
    <row r="185" spans="2:29" ht="15" customHeight="1" x14ac:dyDescent="0.25">
      <c r="B185" s="82"/>
      <c r="C185" s="82"/>
      <c r="D185" s="82"/>
      <c r="E185" s="82"/>
      <c r="F185" s="82"/>
      <c r="G185" s="82"/>
      <c r="H185" s="82"/>
      <c r="I185" s="82"/>
      <c r="J185" s="82"/>
      <c r="K185" s="82"/>
      <c r="L185" s="82"/>
      <c r="M185" s="82"/>
      <c r="N185" s="82"/>
      <c r="O185" s="82"/>
      <c r="P185" s="82"/>
      <c r="Q185" s="82"/>
      <c r="R185" s="82"/>
      <c r="S185" s="82"/>
      <c r="T185" s="82"/>
      <c r="U185" s="82"/>
      <c r="V185" s="82"/>
      <c r="W185" s="82"/>
      <c r="X185" s="82"/>
      <c r="Y185" s="82"/>
      <c r="Z185" s="82"/>
      <c r="AA185" s="82"/>
      <c r="AB185" s="82"/>
      <c r="AC185" s="82"/>
    </row>
    <row r="186" spans="2:29" ht="15" customHeight="1" x14ac:dyDescent="0.25">
      <c r="B186" s="82"/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  <c r="Y186" s="82"/>
      <c r="Z186" s="82"/>
      <c r="AA186" s="82"/>
      <c r="AB186" s="82"/>
      <c r="AC186" s="82"/>
    </row>
    <row r="187" spans="2:29" ht="15" customHeight="1" x14ac:dyDescent="0.25">
      <c r="B187" s="82"/>
      <c r="C187" s="82"/>
      <c r="D187" s="82"/>
      <c r="E187" s="82"/>
      <c r="F187" s="82"/>
      <c r="G187" s="82"/>
      <c r="H187" s="82"/>
      <c r="I187" s="82"/>
      <c r="J187" s="82"/>
      <c r="K187" s="82"/>
      <c r="L187" s="82"/>
      <c r="M187" s="82"/>
      <c r="N187" s="82"/>
      <c r="O187" s="82"/>
      <c r="P187" s="82"/>
      <c r="Q187" s="82"/>
      <c r="R187" s="82"/>
      <c r="S187" s="82"/>
      <c r="T187" s="82"/>
      <c r="U187" s="82"/>
      <c r="V187" s="82"/>
      <c r="W187" s="82"/>
      <c r="X187" s="82"/>
      <c r="Y187" s="82"/>
      <c r="Z187" s="82"/>
      <c r="AA187" s="82"/>
      <c r="AB187" s="82"/>
      <c r="AC187" s="82"/>
    </row>
    <row r="188" spans="2:29" ht="15" customHeight="1" x14ac:dyDescent="0.25">
      <c r="B188" s="82"/>
      <c r="C188" s="82"/>
      <c r="D188" s="82"/>
      <c r="E188" s="82"/>
      <c r="F188" s="82"/>
      <c r="G188" s="82"/>
      <c r="H188" s="82"/>
      <c r="I188" s="82"/>
      <c r="J188" s="82"/>
      <c r="K188" s="82"/>
      <c r="L188" s="82"/>
      <c r="M188" s="82"/>
      <c r="N188" s="82"/>
      <c r="O188" s="82"/>
      <c r="P188" s="82"/>
      <c r="Q188" s="82"/>
      <c r="R188" s="82"/>
      <c r="S188" s="82"/>
      <c r="T188" s="82"/>
      <c r="U188" s="82"/>
      <c r="V188" s="82"/>
      <c r="W188" s="82"/>
      <c r="X188" s="82"/>
      <c r="Y188" s="82"/>
      <c r="Z188" s="82"/>
      <c r="AA188" s="82"/>
      <c r="AB188" s="82"/>
      <c r="AC188" s="82"/>
    </row>
    <row r="189" spans="2:29" ht="15" customHeight="1" x14ac:dyDescent="0.25">
      <c r="B189" s="82"/>
      <c r="C189" s="82"/>
      <c r="D189" s="82"/>
      <c r="E189" s="82"/>
      <c r="F189" s="82"/>
      <c r="G189" s="82"/>
      <c r="H189" s="82"/>
      <c r="I189" s="82"/>
      <c r="J189" s="82"/>
      <c r="K189" s="82"/>
      <c r="L189" s="82"/>
      <c r="M189" s="82"/>
      <c r="N189" s="82"/>
      <c r="O189" s="82"/>
      <c r="P189" s="82"/>
      <c r="Q189" s="82"/>
      <c r="R189" s="82"/>
      <c r="S189" s="82"/>
      <c r="T189" s="82"/>
      <c r="U189" s="82"/>
      <c r="V189" s="82"/>
      <c r="W189" s="82"/>
      <c r="X189" s="82"/>
      <c r="Y189" s="82"/>
      <c r="Z189" s="82"/>
      <c r="AA189" s="82"/>
      <c r="AB189" s="82"/>
      <c r="AC189" s="82"/>
    </row>
    <row r="190" spans="2:29" ht="15" customHeight="1" x14ac:dyDescent="0.25">
      <c r="B190" s="82"/>
      <c r="C190" s="82"/>
      <c r="D190" s="82"/>
      <c r="E190" s="82"/>
      <c r="F190" s="82"/>
      <c r="G190" s="82"/>
      <c r="H190" s="82"/>
      <c r="I190" s="82"/>
      <c r="J190" s="82"/>
      <c r="K190" s="82"/>
      <c r="L190" s="82"/>
      <c r="M190" s="82"/>
      <c r="N190" s="82"/>
      <c r="O190" s="82"/>
      <c r="P190" s="82"/>
      <c r="Q190" s="82"/>
      <c r="R190" s="82"/>
      <c r="S190" s="82"/>
      <c r="T190" s="82"/>
      <c r="U190" s="82"/>
      <c r="V190" s="82"/>
      <c r="W190" s="82"/>
      <c r="X190" s="82"/>
      <c r="Y190" s="82"/>
      <c r="Z190" s="82"/>
      <c r="AA190" s="82"/>
      <c r="AB190" s="82"/>
      <c r="AC190" s="82"/>
    </row>
    <row r="191" spans="2:29" ht="15" customHeight="1" x14ac:dyDescent="0.25">
      <c r="B191" s="82"/>
      <c r="C191" s="82"/>
      <c r="D191" s="82"/>
      <c r="E191" s="82"/>
      <c r="F191" s="82"/>
      <c r="G191" s="82"/>
      <c r="H191" s="82"/>
      <c r="I191" s="82"/>
      <c r="J191" s="82"/>
      <c r="K191" s="82"/>
      <c r="L191" s="82"/>
      <c r="M191" s="82"/>
      <c r="N191" s="82"/>
      <c r="O191" s="82"/>
      <c r="P191" s="82"/>
      <c r="Q191" s="82"/>
      <c r="R191" s="82"/>
      <c r="S191" s="82"/>
      <c r="T191" s="82"/>
      <c r="U191" s="82"/>
      <c r="V191" s="82"/>
      <c r="W191" s="82"/>
      <c r="X191" s="82"/>
      <c r="Y191" s="82"/>
      <c r="Z191" s="82"/>
      <c r="AA191" s="82"/>
      <c r="AB191" s="82"/>
      <c r="AC191" s="82"/>
    </row>
    <row r="192" spans="2:29" ht="15" customHeight="1" x14ac:dyDescent="0.25">
      <c r="B192" s="82"/>
      <c r="C192" s="82"/>
      <c r="D192" s="82"/>
      <c r="E192" s="82"/>
      <c r="F192" s="82"/>
      <c r="G192" s="82"/>
      <c r="H192" s="82"/>
      <c r="I192" s="82"/>
      <c r="J192" s="82"/>
      <c r="K192" s="82"/>
      <c r="L192" s="82"/>
      <c r="M192" s="82"/>
      <c r="N192" s="82"/>
      <c r="O192" s="82"/>
      <c r="P192" s="82"/>
      <c r="Q192" s="82"/>
      <c r="R192" s="82"/>
      <c r="S192" s="82"/>
      <c r="T192" s="82"/>
      <c r="U192" s="82"/>
      <c r="V192" s="82"/>
      <c r="W192" s="82"/>
      <c r="X192" s="82"/>
      <c r="Y192" s="82"/>
      <c r="Z192" s="82"/>
      <c r="AA192" s="82"/>
      <c r="AB192" s="82"/>
      <c r="AC192" s="82"/>
    </row>
    <row r="193" spans="2:29" ht="15" customHeight="1" x14ac:dyDescent="0.25">
      <c r="B193" s="82"/>
      <c r="C193" s="82"/>
      <c r="D193" s="82"/>
      <c r="E193" s="82"/>
      <c r="F193" s="82"/>
      <c r="G193" s="82"/>
      <c r="H193" s="82"/>
      <c r="I193" s="82"/>
      <c r="J193" s="82"/>
      <c r="K193" s="82"/>
      <c r="L193" s="82"/>
      <c r="M193" s="82"/>
      <c r="N193" s="82"/>
      <c r="O193" s="82"/>
      <c r="P193" s="82"/>
      <c r="Q193" s="82"/>
      <c r="R193" s="82"/>
      <c r="S193" s="82"/>
      <c r="T193" s="82"/>
      <c r="U193" s="82"/>
      <c r="V193" s="82"/>
      <c r="W193" s="82"/>
      <c r="X193" s="82"/>
      <c r="Y193" s="82"/>
      <c r="Z193" s="82"/>
      <c r="AA193" s="82"/>
      <c r="AB193" s="82"/>
      <c r="AC193" s="82"/>
    </row>
    <row r="194" spans="2:29" ht="15" customHeight="1" x14ac:dyDescent="0.25">
      <c r="B194" s="82"/>
      <c r="C194" s="82"/>
      <c r="D194" s="82"/>
      <c r="E194" s="82"/>
      <c r="F194" s="82"/>
      <c r="G194" s="82"/>
      <c r="H194" s="82"/>
      <c r="I194" s="82"/>
      <c r="J194" s="82"/>
      <c r="K194" s="82"/>
      <c r="L194" s="82"/>
      <c r="M194" s="82"/>
      <c r="N194" s="82"/>
      <c r="O194" s="82"/>
      <c r="P194" s="82"/>
      <c r="Q194" s="82"/>
      <c r="R194" s="82"/>
      <c r="S194" s="82"/>
      <c r="T194" s="82"/>
      <c r="U194" s="82"/>
      <c r="V194" s="82"/>
      <c r="W194" s="82"/>
      <c r="X194" s="82"/>
      <c r="Y194" s="82"/>
      <c r="Z194" s="82"/>
      <c r="AA194" s="82"/>
      <c r="AB194" s="82"/>
      <c r="AC194" s="82"/>
    </row>
    <row r="195" spans="2:29" ht="15" customHeight="1" x14ac:dyDescent="0.25">
      <c r="B195" s="82"/>
      <c r="C195" s="82"/>
      <c r="D195" s="82"/>
      <c r="E195" s="82"/>
      <c r="F195" s="82"/>
      <c r="G195" s="82"/>
      <c r="H195" s="82"/>
      <c r="I195" s="82"/>
      <c r="J195" s="82"/>
      <c r="K195" s="82"/>
      <c r="L195" s="82"/>
      <c r="M195" s="82"/>
      <c r="N195" s="82"/>
      <c r="O195" s="82"/>
      <c r="P195" s="82"/>
      <c r="Q195" s="82"/>
      <c r="R195" s="82"/>
      <c r="S195" s="82"/>
      <c r="T195" s="82"/>
      <c r="U195" s="82"/>
      <c r="V195" s="82"/>
      <c r="W195" s="82"/>
      <c r="X195" s="82"/>
      <c r="Y195" s="82"/>
      <c r="Z195" s="82"/>
      <c r="AA195" s="82"/>
      <c r="AB195" s="82"/>
      <c r="AC195" s="82"/>
    </row>
    <row r="196" spans="2:29" ht="15" customHeight="1" x14ac:dyDescent="0.25">
      <c r="B196" s="82"/>
      <c r="C196" s="82"/>
      <c r="D196" s="82"/>
      <c r="E196" s="82"/>
      <c r="F196" s="82"/>
      <c r="G196" s="82"/>
      <c r="H196" s="82"/>
      <c r="I196" s="82"/>
      <c r="J196" s="82"/>
      <c r="K196" s="82"/>
      <c r="L196" s="82"/>
      <c r="M196" s="82"/>
      <c r="N196" s="82"/>
      <c r="O196" s="82"/>
      <c r="P196" s="82"/>
      <c r="Q196" s="82"/>
      <c r="R196" s="82"/>
      <c r="S196" s="82"/>
      <c r="T196" s="82"/>
      <c r="U196" s="82"/>
      <c r="V196" s="82"/>
      <c r="W196" s="82"/>
      <c r="X196" s="82"/>
      <c r="Y196" s="82"/>
      <c r="Z196" s="82"/>
      <c r="AA196" s="82"/>
      <c r="AB196" s="82"/>
      <c r="AC196" s="82"/>
    </row>
    <row r="197" spans="2:29" ht="15" customHeight="1" x14ac:dyDescent="0.25">
      <c r="B197" s="82"/>
      <c r="C197" s="82"/>
      <c r="D197" s="82"/>
      <c r="E197" s="82"/>
      <c r="F197" s="82"/>
      <c r="G197" s="82"/>
      <c r="H197" s="82"/>
      <c r="I197" s="82"/>
      <c r="J197" s="82"/>
      <c r="K197" s="82"/>
      <c r="L197" s="82"/>
      <c r="M197" s="82"/>
      <c r="N197" s="82"/>
      <c r="O197" s="82"/>
      <c r="P197" s="82"/>
      <c r="Q197" s="82"/>
      <c r="R197" s="82"/>
      <c r="S197" s="82"/>
      <c r="T197" s="82"/>
      <c r="U197" s="82"/>
      <c r="V197" s="82"/>
      <c r="W197" s="82"/>
      <c r="X197" s="82"/>
      <c r="Y197" s="82"/>
      <c r="Z197" s="82"/>
      <c r="AA197" s="82"/>
      <c r="AB197" s="82"/>
      <c r="AC197" s="82"/>
    </row>
    <row r="198" spans="2:29" ht="15" customHeight="1" x14ac:dyDescent="0.25">
      <c r="B198" s="82"/>
      <c r="C198" s="82"/>
      <c r="D198" s="82"/>
      <c r="E198" s="82"/>
      <c r="F198" s="82"/>
      <c r="G198" s="82"/>
      <c r="H198" s="82"/>
      <c r="I198" s="82"/>
      <c r="J198" s="82"/>
      <c r="K198" s="82"/>
      <c r="L198" s="82"/>
      <c r="M198" s="82"/>
      <c r="N198" s="82"/>
      <c r="O198" s="82"/>
      <c r="P198" s="82"/>
      <c r="Q198" s="82"/>
      <c r="R198" s="82"/>
      <c r="S198" s="82"/>
      <c r="T198" s="82"/>
      <c r="U198" s="82"/>
      <c r="V198" s="82"/>
      <c r="W198" s="82"/>
      <c r="X198" s="82"/>
      <c r="Y198" s="82"/>
      <c r="Z198" s="82"/>
      <c r="AA198" s="82"/>
      <c r="AB198" s="82"/>
      <c r="AC198" s="82"/>
    </row>
    <row r="199" spans="2:29" ht="15" customHeight="1" x14ac:dyDescent="0.25">
      <c r="B199" s="82"/>
      <c r="C199" s="82"/>
      <c r="D199" s="82"/>
      <c r="E199" s="82"/>
      <c r="F199" s="82"/>
      <c r="G199" s="82"/>
      <c r="H199" s="82"/>
      <c r="I199" s="82"/>
      <c r="J199" s="82"/>
      <c r="K199" s="82"/>
      <c r="L199" s="82"/>
      <c r="M199" s="82"/>
      <c r="N199" s="82"/>
      <c r="O199" s="82"/>
      <c r="P199" s="82"/>
      <c r="Q199" s="82"/>
      <c r="R199" s="82"/>
      <c r="S199" s="82"/>
      <c r="T199" s="82"/>
      <c r="U199" s="82"/>
      <c r="V199" s="82"/>
      <c r="W199" s="82"/>
      <c r="X199" s="82"/>
      <c r="Y199" s="82"/>
      <c r="Z199" s="82"/>
      <c r="AA199" s="82"/>
      <c r="AB199" s="82"/>
      <c r="AC199" s="82"/>
    </row>
    <row r="200" spans="2:29" ht="15" customHeight="1" x14ac:dyDescent="0.25">
      <c r="B200" s="82"/>
      <c r="C200" s="82"/>
      <c r="D200" s="82"/>
      <c r="E200" s="82"/>
      <c r="F200" s="82"/>
      <c r="G200" s="82"/>
      <c r="H200" s="82"/>
      <c r="I200" s="82"/>
      <c r="J200" s="82"/>
      <c r="K200" s="82"/>
      <c r="L200" s="82"/>
      <c r="M200" s="82"/>
      <c r="N200" s="82"/>
      <c r="O200" s="82"/>
      <c r="P200" s="82"/>
      <c r="Q200" s="82"/>
      <c r="R200" s="82"/>
      <c r="S200" s="82"/>
      <c r="T200" s="82"/>
      <c r="U200" s="82"/>
      <c r="V200" s="82"/>
      <c r="W200" s="82"/>
      <c r="X200" s="82"/>
      <c r="Y200" s="82"/>
      <c r="Z200" s="82"/>
      <c r="AA200" s="82"/>
      <c r="AB200" s="82"/>
      <c r="AC200" s="82"/>
    </row>
    <row r="201" spans="2:29" ht="15" customHeight="1" x14ac:dyDescent="0.25">
      <c r="B201" s="82"/>
      <c r="C201" s="82"/>
      <c r="D201" s="82"/>
      <c r="E201" s="82"/>
      <c r="F201" s="82"/>
      <c r="G201" s="82"/>
      <c r="H201" s="82"/>
      <c r="I201" s="82"/>
      <c r="J201" s="82"/>
      <c r="K201" s="82"/>
      <c r="L201" s="82"/>
      <c r="M201" s="82"/>
      <c r="N201" s="82"/>
      <c r="O201" s="82"/>
      <c r="P201" s="82"/>
      <c r="Q201" s="82"/>
      <c r="R201" s="82"/>
      <c r="S201" s="82"/>
      <c r="T201" s="82"/>
      <c r="U201" s="82"/>
      <c r="V201" s="82"/>
      <c r="W201" s="82"/>
      <c r="X201" s="82"/>
      <c r="Y201" s="82"/>
      <c r="Z201" s="82"/>
      <c r="AA201" s="82"/>
      <c r="AB201" s="82"/>
      <c r="AC201" s="82"/>
    </row>
    <row r="202" spans="2:29" ht="15" customHeight="1" x14ac:dyDescent="0.25">
      <c r="B202" s="82"/>
      <c r="C202" s="82"/>
      <c r="D202" s="82"/>
      <c r="E202" s="82"/>
      <c r="F202" s="82"/>
      <c r="G202" s="82"/>
      <c r="H202" s="82"/>
      <c r="I202" s="82"/>
      <c r="J202" s="82"/>
      <c r="K202" s="82"/>
      <c r="L202" s="82"/>
      <c r="M202" s="82"/>
      <c r="N202" s="82"/>
      <c r="O202" s="82"/>
      <c r="P202" s="82"/>
      <c r="Q202" s="82"/>
      <c r="R202" s="82"/>
      <c r="S202" s="82"/>
      <c r="T202" s="82"/>
      <c r="U202" s="82"/>
      <c r="V202" s="82"/>
      <c r="W202" s="82"/>
      <c r="X202" s="82"/>
      <c r="Y202" s="82"/>
      <c r="Z202" s="82"/>
      <c r="AA202" s="82"/>
      <c r="AB202" s="82"/>
      <c r="AC202" s="82"/>
    </row>
    <row r="203" spans="2:29" ht="15" customHeight="1" x14ac:dyDescent="0.25">
      <c r="B203" s="82"/>
      <c r="C203" s="82"/>
      <c r="D203" s="82"/>
      <c r="E203" s="82"/>
      <c r="F203" s="82"/>
      <c r="G203" s="82"/>
      <c r="H203" s="82"/>
      <c r="I203" s="82"/>
      <c r="J203" s="82"/>
      <c r="K203" s="82"/>
      <c r="L203" s="82"/>
      <c r="M203" s="82"/>
      <c r="N203" s="82"/>
      <c r="O203" s="82"/>
      <c r="P203" s="82"/>
      <c r="Q203" s="82"/>
      <c r="R203" s="82"/>
      <c r="S203" s="82"/>
      <c r="T203" s="82"/>
      <c r="U203" s="82"/>
      <c r="V203" s="82"/>
      <c r="W203" s="82"/>
      <c r="X203" s="82"/>
      <c r="Y203" s="82"/>
      <c r="Z203" s="82"/>
      <c r="AA203" s="82"/>
      <c r="AB203" s="82"/>
      <c r="AC203" s="82"/>
    </row>
    <row r="204" spans="2:29" ht="15" customHeight="1" x14ac:dyDescent="0.25">
      <c r="B204" s="82"/>
      <c r="C204" s="82"/>
      <c r="D204" s="82"/>
      <c r="E204" s="82"/>
      <c r="F204" s="82"/>
      <c r="G204" s="82"/>
      <c r="H204" s="82"/>
      <c r="I204" s="82"/>
      <c r="J204" s="82"/>
      <c r="K204" s="82"/>
      <c r="L204" s="82"/>
      <c r="M204" s="82"/>
      <c r="N204" s="82"/>
      <c r="O204" s="82"/>
      <c r="P204" s="82"/>
      <c r="Q204" s="82"/>
      <c r="R204" s="82"/>
      <c r="S204" s="82"/>
      <c r="T204" s="82"/>
      <c r="U204" s="82"/>
      <c r="V204" s="82"/>
      <c r="W204" s="82"/>
      <c r="X204" s="82"/>
      <c r="Y204" s="82"/>
      <c r="Z204" s="82"/>
      <c r="AA204" s="82"/>
      <c r="AB204" s="82"/>
      <c r="AC204" s="82"/>
    </row>
    <row r="205" spans="2:29" ht="15" customHeight="1" x14ac:dyDescent="0.25">
      <c r="B205" s="82"/>
      <c r="C205" s="82"/>
      <c r="D205" s="82"/>
      <c r="E205" s="82"/>
      <c r="F205" s="82"/>
      <c r="G205" s="82"/>
      <c r="H205" s="82"/>
      <c r="I205" s="82"/>
      <c r="J205" s="82"/>
      <c r="K205" s="82"/>
      <c r="L205" s="82"/>
      <c r="M205" s="82"/>
      <c r="N205" s="82"/>
      <c r="O205" s="82"/>
      <c r="P205" s="82"/>
      <c r="Q205" s="82"/>
      <c r="R205" s="82"/>
      <c r="S205" s="82"/>
      <c r="T205" s="82"/>
      <c r="U205" s="82"/>
      <c r="V205" s="82"/>
      <c r="W205" s="82"/>
      <c r="X205" s="82"/>
      <c r="Y205" s="82"/>
      <c r="Z205" s="82"/>
      <c r="AA205" s="82"/>
      <c r="AB205" s="82"/>
      <c r="AC205" s="82"/>
    </row>
    <row r="206" spans="2:29" ht="15" customHeight="1" x14ac:dyDescent="0.25">
      <c r="B206" s="82"/>
      <c r="C206" s="82"/>
      <c r="D206" s="82"/>
      <c r="E206" s="82"/>
      <c r="F206" s="82"/>
      <c r="G206" s="82"/>
      <c r="H206" s="82"/>
      <c r="I206" s="82"/>
      <c r="J206" s="82"/>
      <c r="K206" s="82"/>
      <c r="L206" s="82"/>
      <c r="M206" s="82"/>
      <c r="N206" s="82"/>
      <c r="O206" s="82"/>
      <c r="P206" s="82"/>
      <c r="Q206" s="82"/>
      <c r="R206" s="82"/>
      <c r="S206" s="82"/>
      <c r="T206" s="82"/>
      <c r="U206" s="82"/>
      <c r="V206" s="82"/>
      <c r="W206" s="82"/>
      <c r="X206" s="82"/>
      <c r="Y206" s="82"/>
      <c r="Z206" s="82"/>
      <c r="AA206" s="82"/>
      <c r="AB206" s="82"/>
      <c r="AC206" s="82"/>
    </row>
    <row r="207" spans="2:29" ht="15" customHeight="1" x14ac:dyDescent="0.25">
      <c r="B207" s="82"/>
      <c r="C207" s="82"/>
      <c r="D207" s="82"/>
      <c r="E207" s="82"/>
      <c r="F207" s="82"/>
      <c r="G207" s="82"/>
      <c r="H207" s="82"/>
      <c r="I207" s="82"/>
      <c r="J207" s="82"/>
      <c r="K207" s="82"/>
      <c r="L207" s="82"/>
      <c r="M207" s="82"/>
      <c r="N207" s="82"/>
      <c r="O207" s="82"/>
      <c r="P207" s="82"/>
      <c r="Q207" s="82"/>
      <c r="R207" s="82"/>
      <c r="S207" s="82"/>
      <c r="T207" s="82"/>
      <c r="U207" s="82"/>
      <c r="V207" s="82"/>
      <c r="W207" s="82"/>
      <c r="X207" s="82"/>
      <c r="Y207" s="82"/>
      <c r="Z207" s="82"/>
      <c r="AA207" s="82"/>
      <c r="AB207" s="82"/>
      <c r="AC207" s="82"/>
    </row>
    <row r="208" spans="2:29" ht="15" customHeight="1" x14ac:dyDescent="0.25">
      <c r="B208" s="82"/>
      <c r="C208" s="82"/>
      <c r="D208" s="82"/>
      <c r="E208" s="82"/>
      <c r="F208" s="82"/>
      <c r="G208" s="82"/>
      <c r="H208" s="82"/>
      <c r="I208" s="82"/>
      <c r="J208" s="82"/>
      <c r="K208" s="82"/>
      <c r="L208" s="82"/>
      <c r="M208" s="82"/>
      <c r="N208" s="82"/>
      <c r="O208" s="82"/>
      <c r="P208" s="82"/>
      <c r="Q208" s="82"/>
      <c r="R208" s="82"/>
      <c r="S208" s="82"/>
      <c r="T208" s="82"/>
      <c r="U208" s="82"/>
      <c r="V208" s="82"/>
      <c r="W208" s="82"/>
      <c r="X208" s="82"/>
      <c r="Y208" s="82"/>
      <c r="Z208" s="82"/>
      <c r="AA208" s="82"/>
      <c r="AB208" s="82"/>
      <c r="AC208" s="82"/>
    </row>
    <row r="209" spans="2:29" ht="15" customHeight="1" x14ac:dyDescent="0.25">
      <c r="B209" s="82"/>
      <c r="C209" s="82"/>
      <c r="D209" s="82"/>
      <c r="E209" s="82"/>
      <c r="F209" s="82"/>
      <c r="G209" s="82"/>
      <c r="H209" s="82"/>
      <c r="I209" s="82"/>
      <c r="J209" s="82"/>
      <c r="K209" s="82"/>
      <c r="L209" s="82"/>
      <c r="M209" s="82"/>
      <c r="N209" s="82"/>
      <c r="O209" s="82"/>
      <c r="P209" s="82"/>
      <c r="Q209" s="82"/>
      <c r="R209" s="82"/>
      <c r="S209" s="82"/>
      <c r="T209" s="82"/>
      <c r="U209" s="82"/>
      <c r="V209" s="82"/>
      <c r="W209" s="82"/>
      <c r="X209" s="82"/>
      <c r="Y209" s="82"/>
      <c r="Z209" s="82"/>
      <c r="AA209" s="82"/>
      <c r="AB209" s="82"/>
      <c r="AC209" s="82"/>
    </row>
    <row r="210" spans="2:29" ht="15" customHeight="1" x14ac:dyDescent="0.25">
      <c r="B210" s="82"/>
      <c r="C210" s="82"/>
      <c r="D210" s="82"/>
      <c r="E210" s="82"/>
      <c r="F210" s="82"/>
      <c r="G210" s="82"/>
      <c r="H210" s="82"/>
      <c r="I210" s="82"/>
      <c r="J210" s="82"/>
      <c r="K210" s="82"/>
      <c r="L210" s="82"/>
      <c r="M210" s="82"/>
      <c r="N210" s="82"/>
      <c r="O210" s="82"/>
      <c r="P210" s="82"/>
      <c r="Q210" s="82"/>
      <c r="R210" s="82"/>
      <c r="S210" s="82"/>
      <c r="T210" s="82"/>
      <c r="U210" s="82"/>
      <c r="V210" s="82"/>
      <c r="W210" s="82"/>
      <c r="X210" s="82"/>
      <c r="Y210" s="82"/>
      <c r="Z210" s="82"/>
      <c r="AA210" s="82"/>
      <c r="AB210" s="82"/>
      <c r="AC210" s="82"/>
    </row>
    <row r="211" spans="2:29" ht="15" customHeight="1" x14ac:dyDescent="0.25">
      <c r="B211" s="82"/>
      <c r="C211" s="82"/>
      <c r="D211" s="82"/>
      <c r="E211" s="82"/>
      <c r="F211" s="82"/>
      <c r="G211" s="82"/>
      <c r="H211" s="82"/>
      <c r="I211" s="82"/>
      <c r="J211" s="82"/>
      <c r="K211" s="82"/>
      <c r="L211" s="82"/>
      <c r="M211" s="82"/>
      <c r="N211" s="82"/>
      <c r="O211" s="82"/>
      <c r="P211" s="82"/>
      <c r="Q211" s="82"/>
      <c r="R211" s="82"/>
      <c r="S211" s="82"/>
      <c r="T211" s="82"/>
      <c r="U211" s="82"/>
      <c r="V211" s="82"/>
      <c r="W211" s="82"/>
      <c r="X211" s="82"/>
      <c r="Y211" s="82"/>
      <c r="Z211" s="82"/>
      <c r="AA211" s="82"/>
      <c r="AB211" s="82"/>
      <c r="AC211" s="82"/>
    </row>
    <row r="212" spans="2:29" ht="15" customHeight="1" x14ac:dyDescent="0.25">
      <c r="B212" s="82"/>
      <c r="C212" s="82"/>
      <c r="D212" s="82"/>
      <c r="E212" s="82"/>
      <c r="F212" s="82"/>
      <c r="G212" s="82"/>
      <c r="H212" s="82"/>
      <c r="I212" s="82"/>
      <c r="J212" s="82"/>
      <c r="K212" s="82"/>
      <c r="L212" s="82"/>
      <c r="M212" s="82"/>
      <c r="N212" s="82"/>
      <c r="O212" s="82"/>
      <c r="P212" s="82"/>
      <c r="Q212" s="82"/>
      <c r="R212" s="82"/>
      <c r="S212" s="82"/>
      <c r="T212" s="82"/>
      <c r="U212" s="82"/>
      <c r="V212" s="82"/>
      <c r="W212" s="82"/>
      <c r="X212" s="82"/>
      <c r="Y212" s="82"/>
      <c r="Z212" s="82"/>
      <c r="AA212" s="82"/>
      <c r="AB212" s="82"/>
      <c r="AC212" s="82"/>
    </row>
    <row r="213" spans="2:29" ht="15" customHeight="1" x14ac:dyDescent="0.25">
      <c r="B213" s="82"/>
      <c r="C213" s="82"/>
      <c r="D213" s="82"/>
      <c r="E213" s="82"/>
      <c r="F213" s="82"/>
      <c r="G213" s="82"/>
      <c r="H213" s="82"/>
      <c r="I213" s="82"/>
      <c r="J213" s="82"/>
      <c r="K213" s="82"/>
      <c r="L213" s="82"/>
      <c r="M213" s="82"/>
      <c r="N213" s="82"/>
      <c r="O213" s="82"/>
      <c r="P213" s="82"/>
      <c r="Q213" s="82"/>
      <c r="R213" s="82"/>
      <c r="S213" s="82"/>
      <c r="T213" s="82"/>
      <c r="U213" s="82"/>
      <c r="V213" s="82"/>
      <c r="W213" s="82"/>
      <c r="X213" s="82"/>
      <c r="Y213" s="82"/>
      <c r="Z213" s="82"/>
      <c r="AA213" s="82"/>
      <c r="AB213" s="82"/>
      <c r="AC213" s="82"/>
    </row>
    <row r="214" spans="2:29" ht="15" customHeight="1" x14ac:dyDescent="0.25">
      <c r="B214" s="82"/>
      <c r="C214" s="82"/>
      <c r="D214" s="82"/>
      <c r="E214" s="82"/>
      <c r="F214" s="82"/>
      <c r="G214" s="82"/>
      <c r="H214" s="82"/>
      <c r="I214" s="82"/>
      <c r="J214" s="82"/>
      <c r="K214" s="82"/>
      <c r="L214" s="82"/>
      <c r="M214" s="82"/>
      <c r="N214" s="82"/>
      <c r="O214" s="82"/>
      <c r="P214" s="82"/>
      <c r="Q214" s="82"/>
      <c r="R214" s="82"/>
      <c r="S214" s="82"/>
      <c r="T214" s="82"/>
      <c r="U214" s="82"/>
      <c r="V214" s="82"/>
      <c r="W214" s="82"/>
      <c r="X214" s="82"/>
      <c r="Y214" s="82"/>
      <c r="Z214" s="82"/>
      <c r="AA214" s="82"/>
      <c r="AB214" s="82"/>
      <c r="AC214" s="82"/>
    </row>
    <row r="215" spans="2:29" ht="15" customHeight="1" x14ac:dyDescent="0.25">
      <c r="E215" s="82"/>
      <c r="I215" s="82"/>
      <c r="J215" s="82"/>
      <c r="K215" s="82"/>
      <c r="L215" s="82"/>
      <c r="M215" s="82"/>
      <c r="N215" s="82"/>
      <c r="O215" s="82"/>
      <c r="P215" s="82"/>
      <c r="Q215" s="82"/>
      <c r="R215" s="82"/>
      <c r="S215" s="82"/>
      <c r="T215" s="82"/>
      <c r="U215" s="82"/>
      <c r="V215" s="82"/>
      <c r="W215" s="82"/>
      <c r="X215" s="82"/>
      <c r="Y215" s="82"/>
      <c r="Z215" s="82"/>
      <c r="AA215" s="82"/>
      <c r="AB215" s="82"/>
      <c r="AC215" s="82"/>
    </row>
    <row r="216" spans="2:29" ht="15" customHeight="1" x14ac:dyDescent="0.25">
      <c r="E216" s="82"/>
      <c r="I216" s="82"/>
      <c r="J216" s="82"/>
      <c r="K216" s="82"/>
      <c r="L216" s="82"/>
      <c r="M216" s="82"/>
      <c r="N216" s="82"/>
      <c r="O216" s="82"/>
      <c r="P216" s="82"/>
      <c r="Q216" s="82"/>
      <c r="R216" s="82"/>
      <c r="S216" s="82"/>
      <c r="T216" s="82"/>
      <c r="U216" s="82"/>
      <c r="V216" s="82"/>
      <c r="W216" s="82"/>
      <c r="X216" s="82"/>
      <c r="Y216" s="82"/>
      <c r="Z216" s="82"/>
      <c r="AA216" s="82"/>
      <c r="AB216" s="82"/>
      <c r="AC216" s="82"/>
    </row>
    <row r="217" spans="2:29" ht="15" customHeight="1" x14ac:dyDescent="0.25">
      <c r="E217" s="82"/>
      <c r="I217" s="82"/>
      <c r="J217" s="82"/>
      <c r="K217" s="82"/>
      <c r="L217" s="82"/>
      <c r="M217" s="82"/>
      <c r="N217" s="82"/>
      <c r="O217" s="82"/>
      <c r="P217" s="82"/>
      <c r="Q217" s="82"/>
      <c r="R217" s="82"/>
      <c r="S217" s="82"/>
      <c r="T217" s="82"/>
      <c r="U217" s="82"/>
      <c r="V217" s="82"/>
      <c r="W217" s="82"/>
      <c r="X217" s="82"/>
      <c r="Y217" s="82"/>
      <c r="Z217" s="82"/>
      <c r="AA217" s="82"/>
      <c r="AB217" s="82"/>
      <c r="AC217" s="82"/>
    </row>
    <row r="218" spans="2:29" ht="15" customHeight="1" x14ac:dyDescent="0.25">
      <c r="E218" s="82"/>
      <c r="I218" s="82"/>
      <c r="J218" s="82"/>
      <c r="K218" s="82"/>
      <c r="L218" s="82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  <c r="Y218" s="82"/>
      <c r="Z218" s="82"/>
      <c r="AA218" s="82"/>
      <c r="AB218" s="82"/>
      <c r="AC218" s="82"/>
    </row>
    <row r="219" spans="2:29" ht="15" customHeight="1" x14ac:dyDescent="0.25">
      <c r="E219" s="82"/>
      <c r="I219" s="82"/>
      <c r="J219" s="82"/>
      <c r="K219" s="82"/>
      <c r="L219" s="82"/>
      <c r="M219" s="82"/>
      <c r="N219" s="82"/>
      <c r="O219" s="82"/>
      <c r="P219" s="82"/>
      <c r="Q219" s="82"/>
      <c r="R219" s="82"/>
      <c r="S219" s="82"/>
      <c r="T219" s="82"/>
      <c r="U219" s="82"/>
      <c r="V219" s="82"/>
      <c r="W219" s="82"/>
      <c r="X219" s="82"/>
      <c r="Y219" s="82"/>
      <c r="Z219" s="82"/>
      <c r="AA219" s="82"/>
      <c r="AB219" s="82"/>
      <c r="AC219" s="82"/>
    </row>
    <row r="220" spans="2:29" ht="15" customHeight="1" x14ac:dyDescent="0.25">
      <c r="E220" s="82"/>
      <c r="I220" s="82"/>
      <c r="J220" s="82"/>
      <c r="K220" s="82"/>
      <c r="L220" s="82"/>
      <c r="M220" s="82"/>
      <c r="N220" s="82"/>
      <c r="O220" s="82"/>
      <c r="P220" s="82"/>
      <c r="Q220" s="82"/>
      <c r="R220" s="82"/>
      <c r="S220" s="82"/>
      <c r="T220" s="82"/>
      <c r="U220" s="82"/>
      <c r="V220" s="82"/>
      <c r="W220" s="82"/>
      <c r="X220" s="82"/>
      <c r="Y220" s="82"/>
      <c r="Z220" s="82"/>
      <c r="AA220" s="82"/>
      <c r="AB220" s="82"/>
      <c r="AC220" s="82"/>
    </row>
    <row r="221" spans="2:29" ht="15" customHeight="1" x14ac:dyDescent="0.25">
      <c r="E221" s="82"/>
      <c r="I221" s="82"/>
      <c r="J221" s="82"/>
      <c r="K221" s="82"/>
      <c r="L221" s="82"/>
      <c r="M221" s="82"/>
      <c r="N221" s="82"/>
      <c r="O221" s="82"/>
      <c r="P221" s="82"/>
      <c r="Q221" s="82"/>
      <c r="R221" s="82"/>
      <c r="S221" s="82"/>
      <c r="T221" s="82"/>
      <c r="U221" s="82"/>
      <c r="V221" s="82"/>
      <c r="W221" s="82"/>
      <c r="X221" s="82"/>
      <c r="Y221" s="82"/>
      <c r="Z221" s="82"/>
      <c r="AA221" s="82"/>
      <c r="AB221" s="82"/>
      <c r="AC221" s="82"/>
    </row>
    <row r="222" spans="2:29" ht="15" customHeight="1" x14ac:dyDescent="0.25">
      <c r="E222" s="82"/>
      <c r="I222" s="82"/>
      <c r="J222" s="82"/>
      <c r="K222" s="82"/>
      <c r="L222" s="82"/>
      <c r="M222" s="82"/>
      <c r="N222" s="82"/>
      <c r="O222" s="82"/>
      <c r="P222" s="82"/>
      <c r="Q222" s="82"/>
      <c r="R222" s="82"/>
      <c r="S222" s="82"/>
      <c r="T222" s="82"/>
      <c r="U222" s="82"/>
      <c r="V222" s="82"/>
      <c r="W222" s="82"/>
      <c r="X222" s="82"/>
      <c r="Y222" s="82"/>
      <c r="Z222" s="82"/>
      <c r="AA222" s="82"/>
      <c r="AB222" s="82"/>
      <c r="AC222" s="82"/>
    </row>
    <row r="223" spans="2:29" ht="15" customHeight="1" x14ac:dyDescent="0.25">
      <c r="E223" s="82"/>
      <c r="I223" s="82"/>
      <c r="J223" s="82"/>
      <c r="K223" s="82"/>
      <c r="L223" s="82"/>
      <c r="M223" s="82"/>
      <c r="N223" s="82"/>
      <c r="O223" s="82"/>
      <c r="P223" s="82"/>
      <c r="Q223" s="82"/>
      <c r="R223" s="82"/>
      <c r="S223" s="82"/>
      <c r="T223" s="82"/>
      <c r="U223" s="82"/>
      <c r="V223" s="82"/>
      <c r="W223" s="82"/>
      <c r="X223" s="82"/>
      <c r="Y223" s="82"/>
      <c r="Z223" s="82"/>
      <c r="AA223" s="82"/>
      <c r="AB223" s="82"/>
      <c r="AC223" s="82"/>
    </row>
    <row r="224" spans="2:29" ht="15" customHeight="1" x14ac:dyDescent="0.25">
      <c r="E224" s="82"/>
      <c r="I224" s="82"/>
      <c r="J224" s="82"/>
      <c r="K224" s="82"/>
      <c r="L224" s="82"/>
      <c r="M224" s="82"/>
      <c r="N224" s="82"/>
      <c r="O224" s="82"/>
      <c r="P224" s="82"/>
      <c r="Q224" s="82"/>
      <c r="R224" s="82"/>
      <c r="S224" s="82"/>
      <c r="T224" s="82"/>
      <c r="U224" s="82"/>
      <c r="V224" s="82"/>
      <c r="W224" s="82"/>
      <c r="X224" s="82"/>
      <c r="Y224" s="82"/>
      <c r="Z224" s="82"/>
      <c r="AA224" s="82"/>
      <c r="AB224" s="82"/>
      <c r="AC224" s="82"/>
    </row>
    <row r="225" spans="5:29" ht="15" customHeight="1" x14ac:dyDescent="0.25">
      <c r="E225" s="82"/>
      <c r="I225" s="82"/>
      <c r="J225" s="82"/>
      <c r="K225" s="82"/>
      <c r="L225" s="82"/>
      <c r="M225" s="82"/>
      <c r="N225" s="82"/>
      <c r="O225" s="82"/>
      <c r="P225" s="82"/>
      <c r="Q225" s="82"/>
      <c r="R225" s="82"/>
      <c r="S225" s="82"/>
      <c r="T225" s="82"/>
      <c r="U225" s="82"/>
      <c r="V225" s="82"/>
      <c r="W225" s="82"/>
      <c r="X225" s="82"/>
      <c r="Y225" s="82"/>
      <c r="Z225" s="82"/>
      <c r="AA225" s="82"/>
      <c r="AB225" s="82"/>
      <c r="AC225" s="82"/>
    </row>
    <row r="226" spans="5:29" ht="15" customHeight="1" x14ac:dyDescent="0.25">
      <c r="E226" s="82"/>
      <c r="I226" s="82"/>
      <c r="J226" s="82"/>
      <c r="K226" s="82"/>
      <c r="L226" s="82"/>
      <c r="M226" s="82"/>
      <c r="N226" s="82"/>
      <c r="O226" s="82"/>
      <c r="P226" s="82"/>
      <c r="Q226" s="82"/>
      <c r="R226" s="82"/>
      <c r="S226" s="82"/>
      <c r="T226" s="82"/>
      <c r="U226" s="82"/>
      <c r="V226" s="82"/>
      <c r="W226" s="82"/>
      <c r="X226" s="82"/>
      <c r="Y226" s="82"/>
      <c r="Z226" s="82"/>
      <c r="AA226" s="82"/>
      <c r="AB226" s="82"/>
      <c r="AC226" s="82"/>
    </row>
    <row r="227" spans="5:29" ht="15" customHeight="1" x14ac:dyDescent="0.25">
      <c r="E227" s="82"/>
      <c r="I227" s="82"/>
      <c r="J227" s="82"/>
      <c r="K227" s="82"/>
      <c r="L227" s="82"/>
      <c r="M227" s="82"/>
      <c r="N227" s="82"/>
      <c r="O227" s="82"/>
      <c r="P227" s="82"/>
      <c r="Q227" s="82"/>
      <c r="R227" s="82"/>
      <c r="S227" s="82"/>
      <c r="T227" s="82"/>
      <c r="U227" s="82"/>
      <c r="V227" s="82"/>
      <c r="W227" s="82"/>
      <c r="X227" s="82"/>
      <c r="Y227" s="82"/>
      <c r="Z227" s="82"/>
      <c r="AA227" s="82"/>
      <c r="AB227" s="82"/>
      <c r="AC227" s="82"/>
    </row>
    <row r="228" spans="5:29" ht="15" customHeight="1" x14ac:dyDescent="0.25">
      <c r="E228" s="82"/>
      <c r="I228" s="82"/>
      <c r="J228" s="82"/>
      <c r="K228" s="82"/>
      <c r="L228" s="82"/>
      <c r="M228" s="82"/>
      <c r="N228" s="82"/>
      <c r="O228" s="82"/>
      <c r="P228" s="82"/>
      <c r="Q228" s="82"/>
      <c r="R228" s="82"/>
      <c r="S228" s="82"/>
      <c r="T228" s="82"/>
      <c r="U228" s="82"/>
      <c r="V228" s="82"/>
      <c r="W228" s="82"/>
      <c r="X228" s="82"/>
      <c r="Y228" s="82"/>
      <c r="Z228" s="82"/>
      <c r="AA228" s="82"/>
      <c r="AB228" s="82"/>
      <c r="AC228" s="82"/>
    </row>
    <row r="229" spans="5:29" ht="15" customHeight="1" x14ac:dyDescent="0.25">
      <c r="I229" s="82"/>
      <c r="J229" s="82"/>
      <c r="K229" s="82"/>
      <c r="L229" s="82"/>
      <c r="M229" s="82"/>
      <c r="N229" s="82"/>
      <c r="O229" s="82"/>
      <c r="P229" s="82"/>
      <c r="Q229" s="82"/>
      <c r="R229" s="82"/>
      <c r="S229" s="82"/>
      <c r="T229" s="82"/>
      <c r="U229" s="82"/>
      <c r="V229" s="82"/>
      <c r="W229" s="82"/>
      <c r="X229" s="82"/>
      <c r="Y229" s="82"/>
      <c r="Z229" s="82"/>
      <c r="AA229" s="82"/>
      <c r="AB229" s="82"/>
      <c r="AC229" s="82"/>
    </row>
    <row r="230" spans="5:29" ht="15" customHeight="1" x14ac:dyDescent="0.25">
      <c r="I230" s="82"/>
      <c r="J230" s="82"/>
      <c r="K230" s="82"/>
      <c r="L230" s="82"/>
      <c r="M230" s="82"/>
      <c r="N230" s="82"/>
      <c r="O230" s="82"/>
      <c r="P230" s="82"/>
      <c r="Q230" s="82"/>
      <c r="R230" s="82"/>
      <c r="S230" s="82"/>
      <c r="T230" s="82"/>
      <c r="U230" s="82"/>
      <c r="V230" s="82"/>
      <c r="W230" s="82"/>
      <c r="X230" s="82"/>
      <c r="Y230" s="82"/>
      <c r="Z230" s="82"/>
      <c r="AA230" s="82"/>
      <c r="AB230" s="82"/>
      <c r="AC230" s="82"/>
    </row>
  </sheetData>
  <mergeCells count="7">
    <mergeCell ref="A1:H2"/>
    <mergeCell ref="C7:D7"/>
    <mergeCell ref="C8:D8"/>
    <mergeCell ref="C9:D9"/>
    <mergeCell ref="C4:D4"/>
    <mergeCell ref="C5:D5"/>
    <mergeCell ref="C6:D6"/>
  </mergeCells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&amp;LProblem Status Report Template (RAG) V5.0&amp;C_x000D_&amp;1#&amp;"Arial"&amp;9&amp;K000000 Confidential&amp;RLast Updated: 26/02/2020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390525</xdr:colOff>
                    <xdr:row>11</xdr:row>
                    <xdr:rowOff>0</xdr:rowOff>
                  </from>
                  <to>
                    <xdr:col>2</xdr:col>
                    <xdr:colOff>619125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Check Box 23">
              <controlPr defaultSize="0" autoFill="0" autoLine="0" autoPict="0">
                <anchor moveWithCells="1">
                  <from>
                    <xdr:col>2</xdr:col>
                    <xdr:colOff>390525</xdr:colOff>
                    <xdr:row>12</xdr:row>
                    <xdr:rowOff>0</xdr:rowOff>
                  </from>
                  <to>
                    <xdr:col>2</xdr:col>
                    <xdr:colOff>619125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Check Box 24">
              <controlPr defaultSize="0" autoFill="0" autoLine="0" autoPict="0">
                <anchor moveWithCells="1">
                  <from>
                    <xdr:col>2</xdr:col>
                    <xdr:colOff>390525</xdr:colOff>
                    <xdr:row>13</xdr:row>
                    <xdr:rowOff>0</xdr:rowOff>
                  </from>
                  <to>
                    <xdr:col>2</xdr:col>
                    <xdr:colOff>619125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Check Box 25">
              <controlPr defaultSize="0" autoFill="0" autoLine="0" autoPict="0">
                <anchor moveWithCells="1">
                  <from>
                    <xdr:col>2</xdr:col>
                    <xdr:colOff>390525</xdr:colOff>
                    <xdr:row>14</xdr:row>
                    <xdr:rowOff>0</xdr:rowOff>
                  </from>
                  <to>
                    <xdr:col>2</xdr:col>
                    <xdr:colOff>619125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Check Box 26">
              <controlPr defaultSize="0" autoFill="0" autoLine="0" autoPict="0">
                <anchor moveWithCells="1">
                  <from>
                    <xdr:col>2</xdr:col>
                    <xdr:colOff>390525</xdr:colOff>
                    <xdr:row>15</xdr:row>
                    <xdr:rowOff>0</xdr:rowOff>
                  </from>
                  <to>
                    <xdr:col>2</xdr:col>
                    <xdr:colOff>619125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Check Box 27">
              <controlPr defaultSize="0" autoFill="0" autoLine="0" autoPict="0">
                <anchor moveWithCells="1">
                  <from>
                    <xdr:col>2</xdr:col>
                    <xdr:colOff>390525</xdr:colOff>
                    <xdr:row>16</xdr:row>
                    <xdr:rowOff>0</xdr:rowOff>
                  </from>
                  <to>
                    <xdr:col>2</xdr:col>
                    <xdr:colOff>619125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" name="Check Box 28">
              <controlPr defaultSize="0" autoFill="0" autoLine="0" autoPict="0">
                <anchor moveWithCells="1">
                  <from>
                    <xdr:col>2</xdr:col>
                    <xdr:colOff>390525</xdr:colOff>
                    <xdr:row>17</xdr:row>
                    <xdr:rowOff>0</xdr:rowOff>
                  </from>
                  <to>
                    <xdr:col>2</xdr:col>
                    <xdr:colOff>619125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1" name="Check Box 33">
              <controlPr defaultSize="0" autoFill="0" autoLine="0" autoPict="0">
                <anchor moveWithCells="1">
                  <from>
                    <xdr:col>2</xdr:col>
                    <xdr:colOff>390525</xdr:colOff>
                    <xdr:row>18</xdr:row>
                    <xdr:rowOff>0</xdr:rowOff>
                  </from>
                  <to>
                    <xdr:col>2</xdr:col>
                    <xdr:colOff>619125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2" name="Check Box 34">
              <controlPr defaultSize="0" autoFill="0" autoLine="0" autoPict="0">
                <anchor moveWithCells="1">
                  <from>
                    <xdr:col>2</xdr:col>
                    <xdr:colOff>390525</xdr:colOff>
                    <xdr:row>19</xdr:row>
                    <xdr:rowOff>0</xdr:rowOff>
                  </from>
                  <to>
                    <xdr:col>2</xdr:col>
                    <xdr:colOff>619125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Check Box 35">
              <controlPr defaultSize="0" autoFill="0" autoLine="0" autoPict="0">
                <anchor moveWithCells="1">
                  <from>
                    <xdr:col>2</xdr:col>
                    <xdr:colOff>390525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4" name="Check Box 39">
              <controlPr defaultSize="0" autoFill="0" autoLine="0" autoPict="0">
                <anchor moveWithCells="1">
                  <from>
                    <xdr:col>2</xdr:col>
                    <xdr:colOff>390525</xdr:colOff>
                    <xdr:row>12</xdr:row>
                    <xdr:rowOff>0</xdr:rowOff>
                  </from>
                  <to>
                    <xdr:col>2</xdr:col>
                    <xdr:colOff>619125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5" name="Check Box 40">
              <controlPr defaultSize="0" autoFill="0" autoLine="0" autoPict="0">
                <anchor moveWithCells="1">
                  <from>
                    <xdr:col>2</xdr:col>
                    <xdr:colOff>390525</xdr:colOff>
                    <xdr:row>13</xdr:row>
                    <xdr:rowOff>0</xdr:rowOff>
                  </from>
                  <to>
                    <xdr:col>2</xdr:col>
                    <xdr:colOff>619125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6" name="Check Box 41">
              <controlPr defaultSize="0" autoFill="0" autoLine="0" autoPict="0">
                <anchor moveWithCells="1">
                  <from>
                    <xdr:col>2</xdr:col>
                    <xdr:colOff>390525</xdr:colOff>
                    <xdr:row>14</xdr:row>
                    <xdr:rowOff>0</xdr:rowOff>
                  </from>
                  <to>
                    <xdr:col>2</xdr:col>
                    <xdr:colOff>619125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7" name="Check Box 42">
              <controlPr defaultSize="0" autoFill="0" autoLine="0" autoPict="0">
                <anchor moveWithCells="1">
                  <from>
                    <xdr:col>2</xdr:col>
                    <xdr:colOff>390525</xdr:colOff>
                    <xdr:row>15</xdr:row>
                    <xdr:rowOff>0</xdr:rowOff>
                  </from>
                  <to>
                    <xdr:col>2</xdr:col>
                    <xdr:colOff>619125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8" name="Check Box 43">
              <controlPr defaultSize="0" autoFill="0" autoLine="0" autoPict="0">
                <anchor moveWithCells="1">
                  <from>
                    <xdr:col>2</xdr:col>
                    <xdr:colOff>390525</xdr:colOff>
                    <xdr:row>21</xdr:row>
                    <xdr:rowOff>0</xdr:rowOff>
                  </from>
                  <to>
                    <xdr:col>2</xdr:col>
                    <xdr:colOff>619125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9" name="Check Box 44">
              <controlPr defaultSize="0" autoFill="0" autoLine="0" autoPict="0">
                <anchor moveWithCells="1">
                  <from>
                    <xdr:col>2</xdr:col>
                    <xdr:colOff>390525</xdr:colOff>
                    <xdr:row>22</xdr:row>
                    <xdr:rowOff>0</xdr:rowOff>
                  </from>
                  <to>
                    <xdr:col>2</xdr:col>
                    <xdr:colOff>619125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0" name="Check Box 45">
              <controlPr defaultSize="0" autoFill="0" autoLine="0" autoPict="0">
                <anchor moveWithCells="1">
                  <from>
                    <xdr:col>2</xdr:col>
                    <xdr:colOff>390525</xdr:colOff>
                    <xdr:row>23</xdr:row>
                    <xdr:rowOff>0</xdr:rowOff>
                  </from>
                  <to>
                    <xdr:col>2</xdr:col>
                    <xdr:colOff>619125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1" name="Check Box 46">
              <controlPr defaultSize="0" autoFill="0" autoLine="0" autoPict="0">
                <anchor moveWithCells="1">
                  <from>
                    <xdr:col>2</xdr:col>
                    <xdr:colOff>390525</xdr:colOff>
                    <xdr:row>24</xdr:row>
                    <xdr:rowOff>0</xdr:rowOff>
                  </from>
                  <to>
                    <xdr:col>2</xdr:col>
                    <xdr:colOff>619125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2" name="Check Box 47">
              <controlPr defaultSize="0" autoFill="0" autoLine="0" autoPict="0">
                <anchor moveWithCells="1">
                  <from>
                    <xdr:col>2</xdr:col>
                    <xdr:colOff>390525</xdr:colOff>
                    <xdr:row>25</xdr:row>
                    <xdr:rowOff>0</xdr:rowOff>
                  </from>
                  <to>
                    <xdr:col>2</xdr:col>
                    <xdr:colOff>619125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3" name="Check Box 48">
              <controlPr defaultSize="0" autoFill="0" autoLine="0" autoPict="0">
                <anchor moveWithCells="1">
                  <from>
                    <xdr:col>2</xdr:col>
                    <xdr:colOff>390525</xdr:colOff>
                    <xdr:row>22</xdr:row>
                    <xdr:rowOff>0</xdr:rowOff>
                  </from>
                  <to>
                    <xdr:col>2</xdr:col>
                    <xdr:colOff>619125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4" name="Check Box 49">
              <controlPr defaultSize="0" autoFill="0" autoLine="0" autoPict="0">
                <anchor moveWithCells="1">
                  <from>
                    <xdr:col>2</xdr:col>
                    <xdr:colOff>390525</xdr:colOff>
                    <xdr:row>23</xdr:row>
                    <xdr:rowOff>0</xdr:rowOff>
                  </from>
                  <to>
                    <xdr:col>2</xdr:col>
                    <xdr:colOff>619125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5" name="Check Box 50">
              <controlPr defaultSize="0" autoFill="0" autoLine="0" autoPict="0">
                <anchor moveWithCells="1">
                  <from>
                    <xdr:col>2</xdr:col>
                    <xdr:colOff>390525</xdr:colOff>
                    <xdr:row>24</xdr:row>
                    <xdr:rowOff>0</xdr:rowOff>
                  </from>
                  <to>
                    <xdr:col>2</xdr:col>
                    <xdr:colOff>619125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6" name="Check Box 51">
              <controlPr defaultSize="0" autoFill="0" autoLine="0" autoPict="0">
                <anchor moveWithCells="1">
                  <from>
                    <xdr:col>2</xdr:col>
                    <xdr:colOff>390525</xdr:colOff>
                    <xdr:row>25</xdr:row>
                    <xdr:rowOff>0</xdr:rowOff>
                  </from>
                  <to>
                    <xdr:col>2</xdr:col>
                    <xdr:colOff>619125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7" name="Check Box 52">
              <controlPr defaultSize="0" autoFill="0" autoLine="0" autoPict="0">
                <anchor moveWithCells="1">
                  <from>
                    <xdr:col>2</xdr:col>
                    <xdr:colOff>390525</xdr:colOff>
                    <xdr:row>26</xdr:row>
                    <xdr:rowOff>0</xdr:rowOff>
                  </from>
                  <to>
                    <xdr:col>2</xdr:col>
                    <xdr:colOff>619125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8" name="Check Box 53">
              <controlPr defaultSize="0" autoFill="0" autoLine="0" autoPict="0">
                <anchor moveWithCells="1">
                  <from>
                    <xdr:col>2</xdr:col>
                    <xdr:colOff>390525</xdr:colOff>
                    <xdr:row>27</xdr:row>
                    <xdr:rowOff>0</xdr:rowOff>
                  </from>
                  <to>
                    <xdr:col>2</xdr:col>
                    <xdr:colOff>619125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9" name="Check Box 54">
              <controlPr defaultSize="0" autoFill="0" autoLine="0" autoPict="0">
                <anchor moveWithCells="1">
                  <from>
                    <xdr:col>2</xdr:col>
                    <xdr:colOff>390525</xdr:colOff>
                    <xdr:row>28</xdr:row>
                    <xdr:rowOff>0</xdr:rowOff>
                  </from>
                  <to>
                    <xdr:col>2</xdr:col>
                    <xdr:colOff>619125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0" name="Check Box 55">
              <controlPr defaultSize="0" autoFill="0" autoLine="0" autoPict="0">
                <anchor moveWithCells="1">
                  <from>
                    <xdr:col>2</xdr:col>
                    <xdr:colOff>390525</xdr:colOff>
                    <xdr:row>29</xdr:row>
                    <xdr:rowOff>0</xdr:rowOff>
                  </from>
                  <to>
                    <xdr:col>2</xdr:col>
                    <xdr:colOff>619125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1" name="Check Box 56">
              <controlPr defaultSize="0" autoFill="0" autoLine="0" autoPict="0">
                <anchor moveWithCells="1">
                  <from>
                    <xdr:col>2</xdr:col>
                    <xdr:colOff>390525</xdr:colOff>
                    <xdr:row>26</xdr:row>
                    <xdr:rowOff>0</xdr:rowOff>
                  </from>
                  <to>
                    <xdr:col>2</xdr:col>
                    <xdr:colOff>619125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2" name="Check Box 57">
              <controlPr defaultSize="0" autoFill="0" autoLine="0" autoPict="0">
                <anchor moveWithCells="1">
                  <from>
                    <xdr:col>2</xdr:col>
                    <xdr:colOff>390525</xdr:colOff>
                    <xdr:row>27</xdr:row>
                    <xdr:rowOff>0</xdr:rowOff>
                  </from>
                  <to>
                    <xdr:col>2</xdr:col>
                    <xdr:colOff>619125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3" name="Check Box 58">
              <controlPr defaultSize="0" autoFill="0" autoLine="0" autoPict="0">
                <anchor moveWithCells="1">
                  <from>
                    <xdr:col>2</xdr:col>
                    <xdr:colOff>390525</xdr:colOff>
                    <xdr:row>28</xdr:row>
                    <xdr:rowOff>0</xdr:rowOff>
                  </from>
                  <to>
                    <xdr:col>2</xdr:col>
                    <xdr:colOff>619125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4" name="Check Box 59">
              <controlPr defaultSize="0" autoFill="0" autoLine="0" autoPict="0">
                <anchor moveWithCells="1">
                  <from>
                    <xdr:col>2</xdr:col>
                    <xdr:colOff>390525</xdr:colOff>
                    <xdr:row>29</xdr:row>
                    <xdr:rowOff>0</xdr:rowOff>
                  </from>
                  <to>
                    <xdr:col>2</xdr:col>
                    <xdr:colOff>619125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5" name="Check Box 60">
              <controlPr defaultSize="0" autoFill="0" autoLine="0" autoPict="0">
                <anchor moveWithCells="1">
                  <from>
                    <xdr:col>6</xdr:col>
                    <xdr:colOff>390525</xdr:colOff>
                    <xdr:row>11</xdr:row>
                    <xdr:rowOff>0</xdr:rowOff>
                  </from>
                  <to>
                    <xdr:col>6</xdr:col>
                    <xdr:colOff>619125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6" name="Check Box 61">
              <controlPr defaultSize="0" autoFill="0" autoLine="0" autoPict="0">
                <anchor moveWithCells="1">
                  <from>
                    <xdr:col>6</xdr:col>
                    <xdr:colOff>390525</xdr:colOff>
                    <xdr:row>12</xdr:row>
                    <xdr:rowOff>0</xdr:rowOff>
                  </from>
                  <to>
                    <xdr:col>6</xdr:col>
                    <xdr:colOff>619125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7" name="Check Box 62">
              <controlPr defaultSize="0" autoFill="0" autoLine="0" autoPict="0">
                <anchor moveWithCells="1">
                  <from>
                    <xdr:col>6</xdr:col>
                    <xdr:colOff>390525</xdr:colOff>
                    <xdr:row>13</xdr:row>
                    <xdr:rowOff>0</xdr:rowOff>
                  </from>
                  <to>
                    <xdr:col>6</xdr:col>
                    <xdr:colOff>619125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38" name="Check Box 63">
              <controlPr defaultSize="0" autoFill="0" autoLine="0" autoPict="0">
                <anchor moveWithCells="1">
                  <from>
                    <xdr:col>6</xdr:col>
                    <xdr:colOff>390525</xdr:colOff>
                    <xdr:row>14</xdr:row>
                    <xdr:rowOff>0</xdr:rowOff>
                  </from>
                  <to>
                    <xdr:col>6</xdr:col>
                    <xdr:colOff>619125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39" name="Check Box 64">
              <controlPr defaultSize="0" autoFill="0" autoLine="0" autoPict="0">
                <anchor moveWithCells="1">
                  <from>
                    <xdr:col>6</xdr:col>
                    <xdr:colOff>390525</xdr:colOff>
                    <xdr:row>15</xdr:row>
                    <xdr:rowOff>0</xdr:rowOff>
                  </from>
                  <to>
                    <xdr:col>6</xdr:col>
                    <xdr:colOff>619125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0" name="Check Box 65">
              <controlPr defaultSize="0" autoFill="0" autoLine="0" autoPict="0">
                <anchor moveWithCells="1">
                  <from>
                    <xdr:col>6</xdr:col>
                    <xdr:colOff>390525</xdr:colOff>
                    <xdr:row>16</xdr:row>
                    <xdr:rowOff>0</xdr:rowOff>
                  </from>
                  <to>
                    <xdr:col>6</xdr:col>
                    <xdr:colOff>619125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1" name="Check Box 66">
              <controlPr defaultSize="0" autoFill="0" autoLine="0" autoPict="0">
                <anchor moveWithCells="1">
                  <from>
                    <xdr:col>6</xdr:col>
                    <xdr:colOff>390525</xdr:colOff>
                    <xdr:row>17</xdr:row>
                    <xdr:rowOff>0</xdr:rowOff>
                  </from>
                  <to>
                    <xdr:col>6</xdr:col>
                    <xdr:colOff>619125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2" name="Check Box 67">
              <controlPr defaultSize="0" autoFill="0" autoLine="0" autoPict="0">
                <anchor moveWithCells="1">
                  <from>
                    <xdr:col>6</xdr:col>
                    <xdr:colOff>390525</xdr:colOff>
                    <xdr:row>18</xdr:row>
                    <xdr:rowOff>0</xdr:rowOff>
                  </from>
                  <to>
                    <xdr:col>6</xdr:col>
                    <xdr:colOff>619125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3" name="Check Box 68">
              <controlPr defaultSize="0" autoFill="0" autoLine="0" autoPict="0">
                <anchor moveWithCells="1">
                  <from>
                    <xdr:col>6</xdr:col>
                    <xdr:colOff>390525</xdr:colOff>
                    <xdr:row>19</xdr:row>
                    <xdr:rowOff>0</xdr:rowOff>
                  </from>
                  <to>
                    <xdr:col>6</xdr:col>
                    <xdr:colOff>619125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4" name="Check Box 69">
              <controlPr defaultSize="0" autoFill="0" autoLine="0" autoPict="0">
                <anchor moveWithCells="1">
                  <from>
                    <xdr:col>6</xdr:col>
                    <xdr:colOff>390525</xdr:colOff>
                    <xdr:row>20</xdr:row>
                    <xdr:rowOff>0</xdr:rowOff>
                  </from>
                  <to>
                    <xdr:col>6</xdr:col>
                    <xdr:colOff>619125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45" name="Check Box 70">
              <controlPr defaultSize="0" autoFill="0" autoLine="0" autoPict="0">
                <anchor moveWithCells="1">
                  <from>
                    <xdr:col>6</xdr:col>
                    <xdr:colOff>390525</xdr:colOff>
                    <xdr:row>12</xdr:row>
                    <xdr:rowOff>0</xdr:rowOff>
                  </from>
                  <to>
                    <xdr:col>6</xdr:col>
                    <xdr:colOff>619125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46" name="Check Box 71">
              <controlPr defaultSize="0" autoFill="0" autoLine="0" autoPict="0">
                <anchor moveWithCells="1">
                  <from>
                    <xdr:col>6</xdr:col>
                    <xdr:colOff>390525</xdr:colOff>
                    <xdr:row>13</xdr:row>
                    <xdr:rowOff>0</xdr:rowOff>
                  </from>
                  <to>
                    <xdr:col>6</xdr:col>
                    <xdr:colOff>619125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47" name="Check Box 72">
              <controlPr defaultSize="0" autoFill="0" autoLine="0" autoPict="0">
                <anchor moveWithCells="1">
                  <from>
                    <xdr:col>6</xdr:col>
                    <xdr:colOff>390525</xdr:colOff>
                    <xdr:row>14</xdr:row>
                    <xdr:rowOff>0</xdr:rowOff>
                  </from>
                  <to>
                    <xdr:col>6</xdr:col>
                    <xdr:colOff>619125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48" name="Check Box 73">
              <controlPr defaultSize="0" autoFill="0" autoLine="0" autoPict="0">
                <anchor moveWithCells="1">
                  <from>
                    <xdr:col>6</xdr:col>
                    <xdr:colOff>390525</xdr:colOff>
                    <xdr:row>15</xdr:row>
                    <xdr:rowOff>0</xdr:rowOff>
                  </from>
                  <to>
                    <xdr:col>6</xdr:col>
                    <xdr:colOff>619125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49" name="Check Box 74">
              <controlPr defaultSize="0" autoFill="0" autoLine="0" autoPict="0">
                <anchor moveWithCells="1">
                  <from>
                    <xdr:col>6</xdr:col>
                    <xdr:colOff>390525</xdr:colOff>
                    <xdr:row>21</xdr:row>
                    <xdr:rowOff>0</xdr:rowOff>
                  </from>
                  <to>
                    <xdr:col>6</xdr:col>
                    <xdr:colOff>619125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50" name="Check Box 75">
              <controlPr defaultSize="0" autoFill="0" autoLine="0" autoPict="0">
                <anchor moveWithCells="1">
                  <from>
                    <xdr:col>6</xdr:col>
                    <xdr:colOff>390525</xdr:colOff>
                    <xdr:row>22</xdr:row>
                    <xdr:rowOff>0</xdr:rowOff>
                  </from>
                  <to>
                    <xdr:col>6</xdr:col>
                    <xdr:colOff>619125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51" name="Check Box 76">
              <controlPr defaultSize="0" autoFill="0" autoLine="0" autoPict="0">
                <anchor moveWithCells="1">
                  <from>
                    <xdr:col>6</xdr:col>
                    <xdr:colOff>390525</xdr:colOff>
                    <xdr:row>23</xdr:row>
                    <xdr:rowOff>0</xdr:rowOff>
                  </from>
                  <to>
                    <xdr:col>6</xdr:col>
                    <xdr:colOff>619125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2" name="Check Box 77">
              <controlPr defaultSize="0" autoFill="0" autoLine="0" autoPict="0">
                <anchor moveWithCells="1">
                  <from>
                    <xdr:col>6</xdr:col>
                    <xdr:colOff>390525</xdr:colOff>
                    <xdr:row>24</xdr:row>
                    <xdr:rowOff>0</xdr:rowOff>
                  </from>
                  <to>
                    <xdr:col>6</xdr:col>
                    <xdr:colOff>619125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53" name="Check Box 78">
              <controlPr defaultSize="0" autoFill="0" autoLine="0" autoPict="0">
                <anchor moveWithCells="1">
                  <from>
                    <xdr:col>6</xdr:col>
                    <xdr:colOff>390525</xdr:colOff>
                    <xdr:row>25</xdr:row>
                    <xdr:rowOff>0</xdr:rowOff>
                  </from>
                  <to>
                    <xdr:col>6</xdr:col>
                    <xdr:colOff>619125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4" name="Check Box 79">
              <controlPr defaultSize="0" autoFill="0" autoLine="0" autoPict="0">
                <anchor moveWithCells="1">
                  <from>
                    <xdr:col>6</xdr:col>
                    <xdr:colOff>390525</xdr:colOff>
                    <xdr:row>22</xdr:row>
                    <xdr:rowOff>0</xdr:rowOff>
                  </from>
                  <to>
                    <xdr:col>6</xdr:col>
                    <xdr:colOff>619125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55" name="Check Box 80">
              <controlPr defaultSize="0" autoFill="0" autoLine="0" autoPict="0">
                <anchor moveWithCells="1">
                  <from>
                    <xdr:col>6</xdr:col>
                    <xdr:colOff>390525</xdr:colOff>
                    <xdr:row>23</xdr:row>
                    <xdr:rowOff>0</xdr:rowOff>
                  </from>
                  <to>
                    <xdr:col>6</xdr:col>
                    <xdr:colOff>619125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56" name="Check Box 81">
              <controlPr defaultSize="0" autoFill="0" autoLine="0" autoPict="0">
                <anchor moveWithCells="1">
                  <from>
                    <xdr:col>6</xdr:col>
                    <xdr:colOff>390525</xdr:colOff>
                    <xdr:row>24</xdr:row>
                    <xdr:rowOff>0</xdr:rowOff>
                  </from>
                  <to>
                    <xdr:col>6</xdr:col>
                    <xdr:colOff>619125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57" name="Check Box 82">
              <controlPr defaultSize="0" autoFill="0" autoLine="0" autoPict="0">
                <anchor moveWithCells="1">
                  <from>
                    <xdr:col>6</xdr:col>
                    <xdr:colOff>390525</xdr:colOff>
                    <xdr:row>25</xdr:row>
                    <xdr:rowOff>0</xdr:rowOff>
                  </from>
                  <to>
                    <xdr:col>6</xdr:col>
                    <xdr:colOff>619125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58" name="Check Box 83">
              <controlPr defaultSize="0" autoFill="0" autoLine="0" autoPict="0">
                <anchor moveWithCells="1">
                  <from>
                    <xdr:col>6</xdr:col>
                    <xdr:colOff>390525</xdr:colOff>
                    <xdr:row>26</xdr:row>
                    <xdr:rowOff>0</xdr:rowOff>
                  </from>
                  <to>
                    <xdr:col>6</xdr:col>
                    <xdr:colOff>619125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59" name="Check Box 84">
              <controlPr defaultSize="0" autoFill="0" autoLine="0" autoPict="0">
                <anchor moveWithCells="1">
                  <from>
                    <xdr:col>6</xdr:col>
                    <xdr:colOff>390525</xdr:colOff>
                    <xdr:row>27</xdr:row>
                    <xdr:rowOff>0</xdr:rowOff>
                  </from>
                  <to>
                    <xdr:col>6</xdr:col>
                    <xdr:colOff>619125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0" name="Check Box 85">
              <controlPr defaultSize="0" autoFill="0" autoLine="0" autoPict="0">
                <anchor moveWithCells="1">
                  <from>
                    <xdr:col>6</xdr:col>
                    <xdr:colOff>390525</xdr:colOff>
                    <xdr:row>28</xdr:row>
                    <xdr:rowOff>0</xdr:rowOff>
                  </from>
                  <to>
                    <xdr:col>6</xdr:col>
                    <xdr:colOff>619125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61" name="Check Box 86">
              <controlPr defaultSize="0" autoFill="0" autoLine="0" autoPict="0">
                <anchor moveWithCells="1">
                  <from>
                    <xdr:col>6</xdr:col>
                    <xdr:colOff>390525</xdr:colOff>
                    <xdr:row>29</xdr:row>
                    <xdr:rowOff>0</xdr:rowOff>
                  </from>
                  <to>
                    <xdr:col>6</xdr:col>
                    <xdr:colOff>619125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62" name="Check Box 87">
              <controlPr defaultSize="0" autoFill="0" autoLine="0" autoPict="0">
                <anchor moveWithCells="1">
                  <from>
                    <xdr:col>6</xdr:col>
                    <xdr:colOff>390525</xdr:colOff>
                    <xdr:row>26</xdr:row>
                    <xdr:rowOff>0</xdr:rowOff>
                  </from>
                  <to>
                    <xdr:col>6</xdr:col>
                    <xdr:colOff>619125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63" name="Check Box 88">
              <controlPr defaultSize="0" autoFill="0" autoLine="0" autoPict="0">
                <anchor moveWithCells="1">
                  <from>
                    <xdr:col>6</xdr:col>
                    <xdr:colOff>390525</xdr:colOff>
                    <xdr:row>27</xdr:row>
                    <xdr:rowOff>0</xdr:rowOff>
                  </from>
                  <to>
                    <xdr:col>6</xdr:col>
                    <xdr:colOff>619125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64" name="Check Box 89">
              <controlPr defaultSize="0" autoFill="0" autoLine="0" autoPict="0">
                <anchor moveWithCells="1">
                  <from>
                    <xdr:col>6</xdr:col>
                    <xdr:colOff>390525</xdr:colOff>
                    <xdr:row>28</xdr:row>
                    <xdr:rowOff>0</xdr:rowOff>
                  </from>
                  <to>
                    <xdr:col>6</xdr:col>
                    <xdr:colOff>619125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5" name="Check Box 90">
              <controlPr defaultSize="0" autoFill="0" autoLine="0" autoPict="0">
                <anchor moveWithCells="1">
                  <from>
                    <xdr:col>6</xdr:col>
                    <xdr:colOff>390525</xdr:colOff>
                    <xdr:row>29</xdr:row>
                    <xdr:rowOff>0</xdr:rowOff>
                  </from>
                  <to>
                    <xdr:col>6</xdr:col>
                    <xdr:colOff>619125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66" name="Check Box 91">
              <controlPr defaultSize="0" autoFill="0" autoLine="0" autoPict="0">
                <anchor moveWithCells="1">
                  <from>
                    <xdr:col>2</xdr:col>
                    <xdr:colOff>390525</xdr:colOff>
                    <xdr:row>11</xdr:row>
                    <xdr:rowOff>0</xdr:rowOff>
                  </from>
                  <to>
                    <xdr:col>2</xdr:col>
                    <xdr:colOff>619125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67" name="Check Box 92">
              <controlPr defaultSize="0" autoFill="0" autoLine="0" autoPict="0">
                <anchor moveWithCells="1">
                  <from>
                    <xdr:col>2</xdr:col>
                    <xdr:colOff>390525</xdr:colOff>
                    <xdr:row>12</xdr:row>
                    <xdr:rowOff>0</xdr:rowOff>
                  </from>
                  <to>
                    <xdr:col>2</xdr:col>
                    <xdr:colOff>619125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68" name="Check Box 93">
              <controlPr defaultSize="0" autoFill="0" autoLine="0" autoPict="0">
                <anchor moveWithCells="1">
                  <from>
                    <xdr:col>2</xdr:col>
                    <xdr:colOff>390525</xdr:colOff>
                    <xdr:row>13</xdr:row>
                    <xdr:rowOff>0</xdr:rowOff>
                  </from>
                  <to>
                    <xdr:col>2</xdr:col>
                    <xdr:colOff>619125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69" name="Check Box 94">
              <controlPr defaultSize="0" autoFill="0" autoLine="0" autoPict="0">
                <anchor moveWithCells="1">
                  <from>
                    <xdr:col>2</xdr:col>
                    <xdr:colOff>390525</xdr:colOff>
                    <xdr:row>14</xdr:row>
                    <xdr:rowOff>0</xdr:rowOff>
                  </from>
                  <to>
                    <xdr:col>2</xdr:col>
                    <xdr:colOff>619125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0" name="Check Box 95">
              <controlPr defaultSize="0" autoFill="0" autoLine="0" autoPict="0">
                <anchor moveWithCells="1">
                  <from>
                    <xdr:col>2</xdr:col>
                    <xdr:colOff>390525</xdr:colOff>
                    <xdr:row>12</xdr:row>
                    <xdr:rowOff>0</xdr:rowOff>
                  </from>
                  <to>
                    <xdr:col>2</xdr:col>
                    <xdr:colOff>619125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71" name="Check Box 96">
              <controlPr defaultSize="0" autoFill="0" autoLine="0" autoPict="0">
                <anchor moveWithCells="1">
                  <from>
                    <xdr:col>2</xdr:col>
                    <xdr:colOff>390525</xdr:colOff>
                    <xdr:row>13</xdr:row>
                    <xdr:rowOff>0</xdr:rowOff>
                  </from>
                  <to>
                    <xdr:col>2</xdr:col>
                    <xdr:colOff>619125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72" name="Check Box 97">
              <controlPr defaultSize="0" autoFill="0" autoLine="0" autoPict="0">
                <anchor moveWithCells="1">
                  <from>
                    <xdr:col>2</xdr:col>
                    <xdr:colOff>390525</xdr:colOff>
                    <xdr:row>14</xdr:row>
                    <xdr:rowOff>0</xdr:rowOff>
                  </from>
                  <to>
                    <xdr:col>2</xdr:col>
                    <xdr:colOff>619125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73" name="Check Box 98">
              <controlPr defaultSize="0" autoFill="0" autoLine="0" autoPict="0">
                <anchor moveWithCells="1">
                  <from>
                    <xdr:col>6</xdr:col>
                    <xdr:colOff>390525</xdr:colOff>
                    <xdr:row>11</xdr:row>
                    <xdr:rowOff>0</xdr:rowOff>
                  </from>
                  <to>
                    <xdr:col>6</xdr:col>
                    <xdr:colOff>619125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74" name="Check Box 99">
              <controlPr defaultSize="0" autoFill="0" autoLine="0" autoPict="0">
                <anchor moveWithCells="1">
                  <from>
                    <xdr:col>6</xdr:col>
                    <xdr:colOff>390525</xdr:colOff>
                    <xdr:row>12</xdr:row>
                    <xdr:rowOff>0</xdr:rowOff>
                  </from>
                  <to>
                    <xdr:col>6</xdr:col>
                    <xdr:colOff>619125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75" name="Check Box 100">
              <controlPr defaultSize="0" autoFill="0" autoLine="0" autoPict="0">
                <anchor moveWithCells="1">
                  <from>
                    <xdr:col>6</xdr:col>
                    <xdr:colOff>390525</xdr:colOff>
                    <xdr:row>13</xdr:row>
                    <xdr:rowOff>0</xdr:rowOff>
                  </from>
                  <to>
                    <xdr:col>6</xdr:col>
                    <xdr:colOff>619125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76" name="Check Box 101">
              <controlPr defaultSize="0" autoFill="0" autoLine="0" autoPict="0">
                <anchor moveWithCells="1">
                  <from>
                    <xdr:col>6</xdr:col>
                    <xdr:colOff>390525</xdr:colOff>
                    <xdr:row>14</xdr:row>
                    <xdr:rowOff>0</xdr:rowOff>
                  </from>
                  <to>
                    <xdr:col>6</xdr:col>
                    <xdr:colOff>619125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77" name="Check Box 102">
              <controlPr defaultSize="0" autoFill="0" autoLine="0" autoPict="0">
                <anchor moveWithCells="1">
                  <from>
                    <xdr:col>6</xdr:col>
                    <xdr:colOff>390525</xdr:colOff>
                    <xdr:row>12</xdr:row>
                    <xdr:rowOff>0</xdr:rowOff>
                  </from>
                  <to>
                    <xdr:col>6</xdr:col>
                    <xdr:colOff>619125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78" name="Check Box 103">
              <controlPr defaultSize="0" autoFill="0" autoLine="0" autoPict="0">
                <anchor moveWithCells="1">
                  <from>
                    <xdr:col>6</xdr:col>
                    <xdr:colOff>390525</xdr:colOff>
                    <xdr:row>13</xdr:row>
                    <xdr:rowOff>0</xdr:rowOff>
                  </from>
                  <to>
                    <xdr:col>6</xdr:col>
                    <xdr:colOff>619125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79" name="Check Box 104">
              <controlPr defaultSize="0" autoFill="0" autoLine="0" autoPict="0">
                <anchor moveWithCells="1">
                  <from>
                    <xdr:col>6</xdr:col>
                    <xdr:colOff>390525</xdr:colOff>
                    <xdr:row>14</xdr:row>
                    <xdr:rowOff>0</xdr:rowOff>
                  </from>
                  <to>
                    <xdr:col>6</xdr:col>
                    <xdr:colOff>619125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80" name="Check Box 105">
              <controlPr defaultSize="0" autoFill="0" autoLine="0" autoPict="0">
                <anchor moveWithCells="1">
                  <from>
                    <xdr:col>2</xdr:col>
                    <xdr:colOff>390525</xdr:colOff>
                    <xdr:row>15</xdr:row>
                    <xdr:rowOff>0</xdr:rowOff>
                  </from>
                  <to>
                    <xdr:col>2</xdr:col>
                    <xdr:colOff>619125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81" name="Check Box 106">
              <controlPr defaultSize="0" autoFill="0" autoLine="0" autoPict="0">
                <anchor moveWithCells="1">
                  <from>
                    <xdr:col>2</xdr:col>
                    <xdr:colOff>390525</xdr:colOff>
                    <xdr:row>16</xdr:row>
                    <xdr:rowOff>0</xdr:rowOff>
                  </from>
                  <to>
                    <xdr:col>2</xdr:col>
                    <xdr:colOff>619125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82" name="Check Box 107">
              <controlPr defaultSize="0" autoFill="0" autoLine="0" autoPict="0">
                <anchor moveWithCells="1">
                  <from>
                    <xdr:col>2</xdr:col>
                    <xdr:colOff>390525</xdr:colOff>
                    <xdr:row>15</xdr:row>
                    <xdr:rowOff>0</xdr:rowOff>
                  </from>
                  <to>
                    <xdr:col>2</xdr:col>
                    <xdr:colOff>619125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83" name="Check Box 108">
              <controlPr defaultSize="0" autoFill="0" autoLine="0" autoPict="0">
                <anchor moveWithCells="1">
                  <from>
                    <xdr:col>2</xdr:col>
                    <xdr:colOff>390525</xdr:colOff>
                    <xdr:row>16</xdr:row>
                    <xdr:rowOff>0</xdr:rowOff>
                  </from>
                  <to>
                    <xdr:col>2</xdr:col>
                    <xdr:colOff>619125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84" name="Check Box 109">
              <controlPr defaultSize="0" autoFill="0" autoLine="0" autoPict="0">
                <anchor moveWithCells="1">
                  <from>
                    <xdr:col>2</xdr:col>
                    <xdr:colOff>390525</xdr:colOff>
                    <xdr:row>15</xdr:row>
                    <xdr:rowOff>0</xdr:rowOff>
                  </from>
                  <to>
                    <xdr:col>2</xdr:col>
                    <xdr:colOff>619125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85" name="Check Box 110">
              <controlPr defaultSize="0" autoFill="0" autoLine="0" autoPict="0">
                <anchor moveWithCells="1">
                  <from>
                    <xdr:col>2</xdr:col>
                    <xdr:colOff>390525</xdr:colOff>
                    <xdr:row>15</xdr:row>
                    <xdr:rowOff>0</xdr:rowOff>
                  </from>
                  <to>
                    <xdr:col>2</xdr:col>
                    <xdr:colOff>619125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pageSetUpPr autoPageBreaks="0"/>
  </sheetPr>
  <dimension ref="A1:AC37"/>
  <sheetViews>
    <sheetView showGridLines="0" zoomScale="120" zoomScaleNormal="120" workbookViewId="0">
      <pane ySplit="5" topLeftCell="A9" activePane="bottomLeft" state="frozen"/>
      <selection activeCell="H23" sqref="H23"/>
      <selection pane="bottomLeft" activeCell="A14" sqref="A9:G14"/>
    </sheetView>
  </sheetViews>
  <sheetFormatPr defaultColWidth="9.140625" defaultRowHeight="15" x14ac:dyDescent="0.25"/>
  <cols>
    <col min="1" max="1" width="5.28515625" style="163" customWidth="1"/>
    <col min="2" max="2" width="22" style="115" customWidth="1"/>
    <col min="3" max="3" width="37.42578125" style="115" customWidth="1"/>
    <col min="4" max="4" width="11.42578125" style="115" bestFit="1" customWidth="1"/>
    <col min="5" max="5" width="18.28515625" style="115" bestFit="1" customWidth="1"/>
    <col min="6" max="6" width="6.42578125" style="115" bestFit="1" customWidth="1"/>
    <col min="7" max="7" width="63.28515625" style="115" customWidth="1"/>
    <col min="8" max="8" width="34.28515625" style="115" customWidth="1"/>
    <col min="9" max="10" width="32.28515625" style="115" customWidth="1"/>
    <col min="11" max="16384" width="9.140625" style="115"/>
  </cols>
  <sheetData>
    <row r="1" spans="1:29" s="106" customFormat="1" ht="48" customHeight="1" x14ac:dyDescent="0.25">
      <c r="A1" s="161"/>
      <c r="B1" s="104"/>
      <c r="C1" s="185" t="s">
        <v>63</v>
      </c>
      <c r="D1" s="186"/>
      <c r="E1" s="186"/>
      <c r="F1" s="186"/>
      <c r="G1" s="186"/>
      <c r="H1" s="108"/>
      <c r="I1" s="108"/>
      <c r="J1" s="108"/>
      <c r="K1" s="108"/>
      <c r="L1" s="108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</row>
    <row r="2" spans="1:29" s="106" customFormat="1" ht="21" customHeight="1" x14ac:dyDescent="0.25">
      <c r="A2" s="187" t="str">
        <f>IF(Lookups!C2&lt;&gt;"",(Lookups!C2),"")</f>
        <v/>
      </c>
      <c r="B2" s="188"/>
      <c r="C2" s="186"/>
      <c r="D2" s="186"/>
      <c r="E2" s="186"/>
      <c r="F2" s="186"/>
      <c r="G2" s="186"/>
      <c r="H2" s="108"/>
      <c r="I2" s="108"/>
      <c r="J2" s="108"/>
      <c r="K2" s="108"/>
      <c r="L2" s="108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</row>
    <row r="3" spans="1:29" s="106" customFormat="1" ht="21.75" customHeight="1" x14ac:dyDescent="0.25">
      <c r="A3" s="187" t="str">
        <f>IF(Lookups!D2&lt;&gt;"",(Lookups!D2),"")</f>
        <v/>
      </c>
      <c r="B3" s="188"/>
      <c r="C3" s="186"/>
      <c r="D3" s="186"/>
      <c r="E3" s="186"/>
      <c r="F3" s="186"/>
      <c r="G3" s="186"/>
      <c r="H3" s="108"/>
      <c r="I3" s="108"/>
      <c r="J3" s="108"/>
      <c r="K3" s="108"/>
      <c r="L3" s="108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</row>
    <row r="4" spans="1:29" s="106" customFormat="1" ht="21.75" customHeight="1" x14ac:dyDescent="0.25">
      <c r="A4" s="189" t="s">
        <v>68</v>
      </c>
      <c r="B4" s="190"/>
      <c r="C4" s="186"/>
      <c r="D4" s="186"/>
      <c r="E4" s="186"/>
      <c r="F4" s="186"/>
      <c r="G4" s="186"/>
      <c r="H4" s="109"/>
      <c r="I4" s="109"/>
      <c r="J4" s="109"/>
      <c r="K4" s="109"/>
      <c r="L4" s="109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</row>
    <row r="5" spans="1:29" s="106" customFormat="1" ht="18.75" customHeight="1" x14ac:dyDescent="0.2">
      <c r="A5" s="110" t="s">
        <v>69</v>
      </c>
      <c r="B5" s="191" t="s">
        <v>70</v>
      </c>
      <c r="C5" s="192"/>
      <c r="D5" s="110" t="s">
        <v>65</v>
      </c>
      <c r="E5" s="111" t="s">
        <v>66</v>
      </c>
      <c r="F5" s="110" t="s">
        <v>3</v>
      </c>
      <c r="G5" s="110" t="s">
        <v>67</v>
      </c>
      <c r="H5" s="107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</row>
    <row r="6" spans="1:29" ht="30" customHeight="1" x14ac:dyDescent="0.25">
      <c r="A6" s="112">
        <v>1</v>
      </c>
      <c r="B6" s="183" t="s">
        <v>112</v>
      </c>
      <c r="C6" s="184"/>
      <c r="D6" s="113">
        <v>45786</v>
      </c>
      <c r="E6" s="114" t="s">
        <v>109</v>
      </c>
      <c r="F6" s="114" t="s">
        <v>111</v>
      </c>
      <c r="G6" s="114"/>
    </row>
    <row r="7" spans="1:29" ht="30.75" customHeight="1" x14ac:dyDescent="0.25">
      <c r="A7" s="162">
        <v>2</v>
      </c>
      <c r="B7" s="183" t="s">
        <v>113</v>
      </c>
      <c r="C7" s="184"/>
      <c r="D7" s="113">
        <v>45786</v>
      </c>
      <c r="E7" s="114" t="s">
        <v>108</v>
      </c>
      <c r="F7" s="114" t="s">
        <v>111</v>
      </c>
      <c r="G7" s="165"/>
    </row>
    <row r="8" spans="1:29" ht="31.5" customHeight="1" x14ac:dyDescent="0.25">
      <c r="A8" s="162">
        <v>3</v>
      </c>
      <c r="B8" s="183" t="s">
        <v>114</v>
      </c>
      <c r="C8" s="184"/>
      <c r="D8" s="113">
        <v>45786</v>
      </c>
      <c r="E8" s="114" t="s">
        <v>108</v>
      </c>
      <c r="F8" s="114" t="s">
        <v>111</v>
      </c>
      <c r="G8" s="116"/>
    </row>
    <row r="9" spans="1:29" ht="30.75" customHeight="1" x14ac:dyDescent="0.25">
      <c r="A9" s="162"/>
      <c r="B9" s="183"/>
      <c r="C9" s="184"/>
      <c r="D9" s="113"/>
      <c r="E9" s="114"/>
      <c r="F9" s="114"/>
      <c r="G9" s="116"/>
    </row>
    <row r="10" spans="1:29" ht="30" customHeight="1" x14ac:dyDescent="0.25">
      <c r="A10" s="162"/>
      <c r="B10" s="183"/>
      <c r="C10" s="184"/>
      <c r="D10" s="113"/>
      <c r="E10" s="114"/>
      <c r="F10" s="114"/>
      <c r="G10" s="165"/>
    </row>
    <row r="11" spans="1:29" ht="30.75" customHeight="1" x14ac:dyDescent="0.25">
      <c r="A11" s="162"/>
      <c r="B11" s="183"/>
      <c r="C11" s="184"/>
      <c r="D11" s="113"/>
      <c r="E11" s="114"/>
      <c r="F11" s="114"/>
      <c r="G11" s="165"/>
    </row>
    <row r="12" spans="1:29" x14ac:dyDescent="0.25">
      <c r="A12" s="162"/>
      <c r="B12" s="183"/>
      <c r="C12" s="184"/>
      <c r="D12" s="113"/>
      <c r="E12" s="114"/>
      <c r="F12" s="114"/>
      <c r="G12" s="116"/>
    </row>
    <row r="13" spans="1:29" x14ac:dyDescent="0.25">
      <c r="A13" s="162"/>
      <c r="B13" s="183"/>
      <c r="C13" s="184"/>
      <c r="D13" s="113"/>
      <c r="E13" s="114"/>
      <c r="F13" s="114"/>
      <c r="G13" s="116"/>
    </row>
    <row r="14" spans="1:29" ht="36" customHeight="1" x14ac:dyDescent="0.25">
      <c r="A14" s="162"/>
      <c r="B14" s="183"/>
      <c r="C14" s="184"/>
      <c r="D14" s="113"/>
      <c r="E14" s="116"/>
      <c r="F14" s="114"/>
      <c r="G14" s="165"/>
    </row>
    <row r="15" spans="1:29" x14ac:dyDescent="0.25">
      <c r="A15" s="162"/>
      <c r="B15" s="183"/>
      <c r="C15" s="184"/>
      <c r="D15" s="116"/>
      <c r="E15" s="116"/>
      <c r="F15" s="116"/>
      <c r="G15" s="116"/>
    </row>
    <row r="16" spans="1:29" x14ac:dyDescent="0.25">
      <c r="A16" s="162"/>
      <c r="B16" s="183"/>
      <c r="C16" s="184"/>
      <c r="D16" s="116"/>
      <c r="E16" s="116"/>
      <c r="F16" s="116"/>
      <c r="G16" s="116"/>
    </row>
    <row r="17" spans="1:7" x14ac:dyDescent="0.25">
      <c r="A17" s="162"/>
      <c r="B17" s="183"/>
      <c r="C17" s="184"/>
      <c r="D17" s="116"/>
      <c r="E17" s="116"/>
      <c r="F17" s="116"/>
      <c r="G17" s="116"/>
    </row>
    <row r="18" spans="1:7" x14ac:dyDescent="0.25">
      <c r="A18" s="162"/>
      <c r="B18" s="183"/>
      <c r="C18" s="184"/>
      <c r="D18" s="116"/>
      <c r="E18" s="116"/>
      <c r="F18" s="116"/>
      <c r="G18" s="116"/>
    </row>
    <row r="19" spans="1:7" x14ac:dyDescent="0.25">
      <c r="A19" s="162"/>
      <c r="B19" s="183"/>
      <c r="C19" s="184"/>
      <c r="D19" s="116"/>
      <c r="E19" s="116"/>
      <c r="F19" s="116"/>
      <c r="G19" s="116"/>
    </row>
    <row r="20" spans="1:7" x14ac:dyDescent="0.25">
      <c r="A20" s="162"/>
      <c r="B20" s="183"/>
      <c r="C20" s="184"/>
      <c r="D20" s="116"/>
      <c r="E20" s="116"/>
      <c r="F20" s="116"/>
      <c r="G20" s="116"/>
    </row>
    <row r="21" spans="1:7" x14ac:dyDescent="0.25">
      <c r="A21" s="162"/>
      <c r="B21" s="183"/>
      <c r="C21" s="184"/>
      <c r="D21" s="116"/>
      <c r="E21" s="116"/>
      <c r="F21" s="116"/>
      <c r="G21" s="116"/>
    </row>
    <row r="22" spans="1:7" x14ac:dyDescent="0.25">
      <c r="A22" s="162"/>
      <c r="B22" s="183"/>
      <c r="C22" s="184"/>
      <c r="D22" s="116"/>
      <c r="E22" s="116"/>
      <c r="F22" s="116"/>
      <c r="G22" s="116"/>
    </row>
    <row r="23" spans="1:7" x14ac:dyDescent="0.25">
      <c r="A23" s="162"/>
      <c r="B23" s="183"/>
      <c r="C23" s="184"/>
      <c r="D23" s="116"/>
      <c r="E23" s="116"/>
      <c r="F23" s="116"/>
      <c r="G23" s="116"/>
    </row>
    <row r="24" spans="1:7" x14ac:dyDescent="0.25">
      <c r="A24" s="162"/>
      <c r="B24" s="183"/>
      <c r="C24" s="184"/>
      <c r="D24" s="116"/>
      <c r="E24" s="116"/>
      <c r="F24" s="116"/>
      <c r="G24" s="116"/>
    </row>
    <row r="25" spans="1:7" x14ac:dyDescent="0.25">
      <c r="A25" s="162"/>
      <c r="B25" s="183"/>
      <c r="C25" s="184"/>
      <c r="D25" s="116"/>
      <c r="E25" s="116"/>
      <c r="F25" s="116"/>
      <c r="G25" s="116"/>
    </row>
    <row r="26" spans="1:7" x14ac:dyDescent="0.25">
      <c r="A26" s="162"/>
      <c r="B26" s="183"/>
      <c r="C26" s="184"/>
      <c r="D26" s="116"/>
      <c r="E26" s="116"/>
      <c r="F26" s="116"/>
      <c r="G26" s="116"/>
    </row>
    <row r="27" spans="1:7" x14ac:dyDescent="0.25">
      <c r="A27" s="162"/>
      <c r="B27" s="183"/>
      <c r="C27" s="184"/>
      <c r="D27" s="116"/>
      <c r="E27" s="116"/>
      <c r="F27" s="116"/>
      <c r="G27" s="116"/>
    </row>
    <row r="28" spans="1:7" x14ac:dyDescent="0.25">
      <c r="A28" s="162"/>
      <c r="B28" s="183"/>
      <c r="C28" s="184"/>
      <c r="D28" s="116"/>
      <c r="E28" s="116"/>
      <c r="F28" s="116"/>
      <c r="G28" s="116"/>
    </row>
    <row r="29" spans="1:7" x14ac:dyDescent="0.25">
      <c r="A29" s="162"/>
      <c r="B29" s="183"/>
      <c r="C29" s="184"/>
      <c r="D29" s="116"/>
      <c r="E29" s="116"/>
      <c r="F29" s="116"/>
      <c r="G29" s="116"/>
    </row>
    <row r="30" spans="1:7" x14ac:dyDescent="0.25">
      <c r="A30" s="162"/>
      <c r="B30" s="183"/>
      <c r="C30" s="184"/>
      <c r="D30" s="116"/>
      <c r="E30" s="116"/>
      <c r="F30" s="116"/>
      <c r="G30" s="116"/>
    </row>
    <row r="31" spans="1:7" x14ac:dyDescent="0.25">
      <c r="A31" s="162"/>
      <c r="B31" s="183"/>
      <c r="C31" s="184"/>
      <c r="D31" s="116"/>
      <c r="E31" s="116"/>
      <c r="F31" s="116"/>
      <c r="G31" s="116"/>
    </row>
    <row r="32" spans="1:7" x14ac:dyDescent="0.25">
      <c r="A32" s="162"/>
      <c r="B32" s="183"/>
      <c r="C32" s="184"/>
      <c r="D32" s="116"/>
      <c r="E32" s="116"/>
      <c r="F32" s="116"/>
      <c r="G32" s="116"/>
    </row>
    <row r="33" spans="1:7" x14ac:dyDescent="0.25">
      <c r="A33" s="162"/>
      <c r="B33" s="183"/>
      <c r="C33" s="184"/>
      <c r="D33" s="116"/>
      <c r="E33" s="116"/>
      <c r="F33" s="116"/>
      <c r="G33" s="116"/>
    </row>
    <row r="34" spans="1:7" x14ac:dyDescent="0.25">
      <c r="A34" s="162"/>
      <c r="B34" s="183"/>
      <c r="C34" s="184"/>
      <c r="D34" s="116"/>
      <c r="E34" s="116"/>
      <c r="F34" s="116"/>
      <c r="G34" s="116"/>
    </row>
    <row r="35" spans="1:7" x14ac:dyDescent="0.25">
      <c r="A35" s="162"/>
      <c r="B35" s="183"/>
      <c r="C35" s="184"/>
      <c r="D35" s="116"/>
      <c r="E35" s="116"/>
      <c r="F35" s="116"/>
      <c r="G35" s="116"/>
    </row>
    <row r="36" spans="1:7" x14ac:dyDescent="0.25">
      <c r="A36" s="162"/>
      <c r="B36" s="183"/>
      <c r="C36" s="184"/>
      <c r="D36" s="116"/>
      <c r="E36" s="116"/>
      <c r="F36" s="116"/>
      <c r="G36" s="116"/>
    </row>
    <row r="37" spans="1:7" x14ac:dyDescent="0.25">
      <c r="A37" s="162"/>
      <c r="B37" s="183"/>
      <c r="C37" s="184"/>
      <c r="D37" s="116"/>
      <c r="E37" s="116"/>
      <c r="F37" s="116"/>
      <c r="G37" s="116"/>
    </row>
  </sheetData>
  <mergeCells count="37">
    <mergeCell ref="C1:G4"/>
    <mergeCell ref="A2:B2"/>
    <mergeCell ref="A3:B3"/>
    <mergeCell ref="A4:B4"/>
    <mergeCell ref="B5:C5"/>
    <mergeCell ref="B6:C6"/>
    <mergeCell ref="B17:C17"/>
    <mergeCell ref="B18:C18"/>
    <mergeCell ref="B19:C19"/>
    <mergeCell ref="B20:C20"/>
    <mergeCell ref="B14:C14"/>
    <mergeCell ref="B15:C15"/>
    <mergeCell ref="B16:C16"/>
    <mergeCell ref="B8:C8"/>
    <mergeCell ref="B9:C9"/>
    <mergeCell ref="B10:C10"/>
    <mergeCell ref="B12:C12"/>
    <mergeCell ref="B13:C13"/>
    <mergeCell ref="B7:C7"/>
    <mergeCell ref="B11:C11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7:C37"/>
    <mergeCell ref="B32:C32"/>
    <mergeCell ref="B33:C33"/>
    <mergeCell ref="B34:C34"/>
    <mergeCell ref="B35:C35"/>
    <mergeCell ref="B36:C36"/>
  </mergeCells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&amp;LProblem Status Report Template (RAG) V5.0&amp;C_x000D_&amp;1#&amp;"Arial"&amp;9&amp;K000000 Confidential&amp;RLast Updated: 26/02/2020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C000"/>
    <pageSetUpPr autoPageBreaks="0"/>
  </sheetPr>
  <dimension ref="B11:O29"/>
  <sheetViews>
    <sheetView showGridLines="0" workbookViewId="0">
      <selection activeCell="H29" sqref="H29"/>
    </sheetView>
  </sheetViews>
  <sheetFormatPr defaultRowHeight="12.75" x14ac:dyDescent="0.2"/>
  <cols>
    <col min="3" max="3" width="12.7109375" customWidth="1"/>
    <col min="4" max="4" width="12.140625" bestFit="1" customWidth="1"/>
  </cols>
  <sheetData>
    <row r="11" spans="2:11" x14ac:dyDescent="0.2">
      <c r="B11" s="28" t="s">
        <v>40</v>
      </c>
      <c r="C11" s="29"/>
      <c r="D11" s="29"/>
    </row>
    <row r="12" spans="2:11" x14ac:dyDescent="0.2">
      <c r="B12" s="194" t="s">
        <v>41</v>
      </c>
      <c r="C12" s="194"/>
      <c r="D12" s="194"/>
      <c r="E12" s="194"/>
      <c r="F12" s="194"/>
      <c r="G12" s="194"/>
    </row>
    <row r="14" spans="2:11" x14ac:dyDescent="0.2">
      <c r="B14" s="26" t="s">
        <v>42</v>
      </c>
    </row>
    <row r="15" spans="2:11" x14ac:dyDescent="0.2">
      <c r="B15" s="195" t="s">
        <v>43</v>
      </c>
      <c r="C15" s="195"/>
      <c r="D15" s="195"/>
      <c r="E15" s="195"/>
      <c r="F15" s="195"/>
      <c r="G15" s="195"/>
      <c r="H15" s="195"/>
      <c r="I15" s="195"/>
      <c r="J15" s="195"/>
      <c r="K15" s="195"/>
    </row>
    <row r="16" spans="2:11" x14ac:dyDescent="0.2">
      <c r="B16" s="30"/>
    </row>
    <row r="17" spans="2:15" x14ac:dyDescent="0.2">
      <c r="B17" s="26" t="s">
        <v>44</v>
      </c>
    </row>
    <row r="18" spans="2:15" x14ac:dyDescent="0.2">
      <c r="B18" s="196" t="s">
        <v>105</v>
      </c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</row>
    <row r="19" spans="2:15" x14ac:dyDescent="0.2">
      <c r="B19" s="30"/>
    </row>
    <row r="20" spans="2:15" x14ac:dyDescent="0.2">
      <c r="B20" s="194" t="s">
        <v>92</v>
      </c>
      <c r="C20" s="194"/>
      <c r="D20" s="194"/>
      <c r="E20" s="194"/>
      <c r="F20" s="194"/>
      <c r="G20" s="194"/>
      <c r="H20" s="194"/>
    </row>
    <row r="21" spans="2:15" x14ac:dyDescent="0.2">
      <c r="B21" s="194" t="s">
        <v>93</v>
      </c>
      <c r="C21" s="194"/>
      <c r="D21" s="194"/>
      <c r="E21" s="194"/>
      <c r="F21" s="194"/>
      <c r="G21" s="194"/>
      <c r="H21" s="194"/>
      <c r="I21" s="194"/>
    </row>
    <row r="23" spans="2:15" x14ac:dyDescent="0.2">
      <c r="D23" s="197" t="s">
        <v>91</v>
      </c>
      <c r="E23" s="197"/>
      <c r="F23" s="197"/>
      <c r="G23" s="197"/>
      <c r="H23" s="197"/>
      <c r="I23" s="197"/>
      <c r="J23" s="197"/>
      <c r="K23" s="197"/>
      <c r="L23" s="197"/>
      <c r="M23" s="197"/>
      <c r="N23" s="197"/>
      <c r="O23" s="29"/>
    </row>
    <row r="24" spans="2:15" x14ac:dyDescent="0.2"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29"/>
      <c r="O24" s="29"/>
    </row>
    <row r="26" spans="2:15" x14ac:dyDescent="0.2">
      <c r="B26" s="31"/>
      <c r="H26" s="44"/>
    </row>
    <row r="27" spans="2:15" x14ac:dyDescent="0.2">
      <c r="B27" s="193" t="s">
        <v>83</v>
      </c>
      <c r="C27" s="193"/>
      <c r="D27" s="193"/>
      <c r="E27" s="193"/>
      <c r="F27" s="193"/>
    </row>
    <row r="29" spans="2:15" x14ac:dyDescent="0.2">
      <c r="F29" s="26"/>
    </row>
  </sheetData>
  <mergeCells count="7">
    <mergeCell ref="B27:F27"/>
    <mergeCell ref="B20:H20"/>
    <mergeCell ref="B21:I21"/>
    <mergeCell ref="B15:K15"/>
    <mergeCell ref="B12:G12"/>
    <mergeCell ref="B18:M18"/>
    <mergeCell ref="D23:N23"/>
  </mergeCells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&amp;LProblem Status Report Template (RAG) V5.0&amp;C_x000D_&amp;1#&amp;"Arial"&amp;9&amp;K000000 Confidential&amp;RLast Updated: 26/02/2020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991F3D"/>
    <pageSetUpPr autoPageBreaks="0" fitToPage="1"/>
  </sheetPr>
  <dimension ref="A1:AH1105"/>
  <sheetViews>
    <sheetView showGridLines="0" topLeftCell="A15" zoomScale="120" zoomScaleNormal="120" workbookViewId="0">
      <selection activeCell="C2" sqref="C2:D3"/>
    </sheetView>
  </sheetViews>
  <sheetFormatPr defaultColWidth="9.140625" defaultRowHeight="15" x14ac:dyDescent="0.25"/>
  <cols>
    <col min="1" max="1" width="2.28515625" style="175" customWidth="1"/>
    <col min="2" max="2" width="2.7109375" style="32" customWidth="1"/>
    <col min="3" max="3" width="30.7109375" style="32" customWidth="1"/>
    <col min="4" max="4" width="120.7109375" style="32" customWidth="1"/>
    <col min="5" max="6" width="2.7109375" style="32" customWidth="1"/>
    <col min="7" max="7" width="9.140625" style="32" customWidth="1"/>
    <col min="8" max="33" width="9.140625" style="32"/>
    <col min="34" max="34" width="9.140625" style="34" hidden="1" customWidth="1"/>
    <col min="35" max="16384" width="9.140625" style="32"/>
  </cols>
  <sheetData>
    <row r="1" spans="1:34" x14ac:dyDescent="0.25">
      <c r="AH1" s="33" t="s">
        <v>45</v>
      </c>
    </row>
    <row r="2" spans="1:34" ht="18.75" customHeight="1" x14ac:dyDescent="0.25">
      <c r="C2" s="198" t="str">
        <f>IF(Lookups!$C$2&lt;&gt;"",(Lookups!$C$2&amp;" "&amp;"Problem Summary"&amp;" "&amp;Lookups!$E$2),"")</f>
        <v/>
      </c>
      <c r="D2" s="198"/>
    </row>
    <row r="3" spans="1:34" ht="18.75" customHeight="1" x14ac:dyDescent="0.25">
      <c r="C3" s="198"/>
      <c r="D3" s="198"/>
    </row>
    <row r="5" spans="1:34" ht="9.9499999999999993" customHeight="1" thickBot="1" x14ac:dyDescent="0.3"/>
    <row r="6" spans="1:34" x14ac:dyDescent="0.25">
      <c r="A6" s="175" t="str">
        <f>IF(D6&lt;&gt;"","Comp","Blank")</f>
        <v>Blank</v>
      </c>
      <c r="C6" s="45" t="s">
        <v>84</v>
      </c>
      <c r="D6" s="46" t="str">
        <f>IF('Prob PRB Summary Data'!A2&lt;&gt;"",('Prob PRB Summary Data'!A2),"")</f>
        <v/>
      </c>
    </row>
    <row r="7" spans="1:34" x14ac:dyDescent="0.25">
      <c r="C7" s="47" t="s">
        <v>85</v>
      </c>
      <c r="D7" s="48" t="str">
        <f>IFERROR(VLOOKUP(D6,'Prob PRB Summary Data'!A:AG,8,FALSE),"")</f>
        <v/>
      </c>
    </row>
    <row r="8" spans="1:34" x14ac:dyDescent="0.25">
      <c r="C8" s="49" t="s">
        <v>46</v>
      </c>
      <c r="D8" s="48" t="str">
        <f>IFERROR(VLOOKUP(D6,'Prob PRB Summary Data'!A:AG,5,FALSE),"")</f>
        <v/>
      </c>
    </row>
    <row r="9" spans="1:34" x14ac:dyDescent="0.25">
      <c r="C9" s="49" t="s">
        <v>47</v>
      </c>
      <c r="D9" s="50" t="str">
        <f>IFERROR(VLOOKUP(D6,'Prob PRB Summary Data'!A:AG,9,FALSE),"")</f>
        <v/>
      </c>
    </row>
    <row r="10" spans="1:34" x14ac:dyDescent="0.25">
      <c r="C10" s="49" t="s">
        <v>110</v>
      </c>
      <c r="D10" s="159" t="str">
        <f>IFERROR(VLOOKUP(D6,'Prob PRB Summary Data'!A:AG,32,FALSE),"")</f>
        <v/>
      </c>
    </row>
    <row r="11" spans="1:34" ht="30" x14ac:dyDescent="0.25">
      <c r="C11" s="49" t="s">
        <v>48</v>
      </c>
      <c r="D11" s="48" t="str">
        <f>IFERROR(VLOOKUP(D6,'Prob PRB Summary Data'!A:AG,24,FALSE),"")&amp;CHAR(10)</f>
        <v xml:space="preserve">
</v>
      </c>
    </row>
    <row r="12" spans="1:34" x14ac:dyDescent="0.25">
      <c r="C12" s="49" t="s">
        <v>82</v>
      </c>
      <c r="D12" s="48" t="str">
        <f>IFERROR(VLOOKUP(D6,'Prob PRB Summary Data'!A:AG,31,FALSE),"")</f>
        <v/>
      </c>
    </row>
    <row r="13" spans="1:34" x14ac:dyDescent="0.25">
      <c r="C13" s="49" t="s">
        <v>81</v>
      </c>
      <c r="D13" s="48" t="str">
        <f>IFERROR(VLOOKUP(D6,'Prob PRB Summary Data'!A:AG,16,FALSE),"")</f>
        <v/>
      </c>
    </row>
    <row r="14" spans="1:34" ht="30" x14ac:dyDescent="0.25">
      <c r="C14" s="49" t="s">
        <v>49</v>
      </c>
      <c r="D14" s="48" t="str">
        <f>IFERROR(VLOOKUP(D6,'Prob PRB Summary Data'!A:AG,25,FALSE),"")&amp;CHAR(10)</f>
        <v xml:space="preserve">
</v>
      </c>
    </row>
    <row r="15" spans="1:34" ht="30.75" thickBot="1" x14ac:dyDescent="0.3">
      <c r="C15" s="51" t="s">
        <v>50</v>
      </c>
      <c r="D15" s="52" t="str">
        <f>IFERROR(VLOOKUP(D6,'Prob PRB Summary Data'!A:AG,26,FALSE),"")&amp;CHAR(10)</f>
        <v xml:space="preserve">
</v>
      </c>
    </row>
    <row r="16" spans="1:34" ht="15.75" thickBot="1" x14ac:dyDescent="0.3">
      <c r="C16" s="53"/>
      <c r="D16" s="54"/>
    </row>
    <row r="17" spans="1:4" x14ac:dyDescent="0.25">
      <c r="A17" s="175" t="str">
        <f>IF(D17&lt;&gt;"","Comp","Blank")</f>
        <v>Blank</v>
      </c>
      <c r="C17" s="45" t="s">
        <v>84</v>
      </c>
      <c r="D17" s="46" t="str">
        <f>IF('Prob PRB Summary Data'!A3&lt;&gt;"",('Prob PRB Summary Data'!A3),"")</f>
        <v/>
      </c>
    </row>
    <row r="18" spans="1:4" x14ac:dyDescent="0.25">
      <c r="C18" s="47" t="s">
        <v>85</v>
      </c>
      <c r="D18" s="48" t="str">
        <f>IFERROR(VLOOKUP(D17,'Prob PRB Summary Data'!A:AG,8,FALSE),"")</f>
        <v/>
      </c>
    </row>
    <row r="19" spans="1:4" x14ac:dyDescent="0.25">
      <c r="C19" s="49" t="s">
        <v>46</v>
      </c>
      <c r="D19" s="48" t="str">
        <f>IFERROR(VLOOKUP(D17,'Prob PRB Summary Data'!A:AG,5,FALSE),"")</f>
        <v/>
      </c>
    </row>
    <row r="20" spans="1:4" x14ac:dyDescent="0.25">
      <c r="C20" s="49" t="s">
        <v>47</v>
      </c>
      <c r="D20" s="50" t="str">
        <f>IFERROR(VLOOKUP(D17,'Prob PRB Summary Data'!A:AG,9,FALSE),"")</f>
        <v/>
      </c>
    </row>
    <row r="21" spans="1:4" x14ac:dyDescent="0.25">
      <c r="C21" s="49" t="s">
        <v>110</v>
      </c>
      <c r="D21" s="159" t="str">
        <f>IFERROR(VLOOKUP(D17,'Prob PRB Summary Data'!A:AG,32,FALSE),"")</f>
        <v/>
      </c>
    </row>
    <row r="22" spans="1:4" ht="30" x14ac:dyDescent="0.25">
      <c r="C22" s="49" t="s">
        <v>48</v>
      </c>
      <c r="D22" s="48" t="str">
        <f>IFERROR(VLOOKUP(D17,'Prob PRB Summary Data'!A:AG,24,FALSE),"")&amp;CHAR(10)</f>
        <v xml:space="preserve">
</v>
      </c>
    </row>
    <row r="23" spans="1:4" x14ac:dyDescent="0.25">
      <c r="C23" s="49" t="s">
        <v>82</v>
      </c>
      <c r="D23" s="48" t="str">
        <f>IFERROR(VLOOKUP(D17,'Prob PRB Summary Data'!A:AG,31,FALSE),"")</f>
        <v/>
      </c>
    </row>
    <row r="24" spans="1:4" x14ac:dyDescent="0.25">
      <c r="C24" s="49" t="s">
        <v>81</v>
      </c>
      <c r="D24" s="48" t="str">
        <f>IFERROR(VLOOKUP(D17,'Prob PRB Summary Data'!A:AG,16,FALSE),"")</f>
        <v/>
      </c>
    </row>
    <row r="25" spans="1:4" ht="30" x14ac:dyDescent="0.25">
      <c r="C25" s="49" t="s">
        <v>49</v>
      </c>
      <c r="D25" s="48" t="str">
        <f>IFERROR(VLOOKUP(D17,'Prob PRB Summary Data'!A:AG,25,FALSE),"")&amp;CHAR(10)</f>
        <v xml:space="preserve">
</v>
      </c>
    </row>
    <row r="26" spans="1:4" ht="30.75" thickBot="1" x14ac:dyDescent="0.3">
      <c r="C26" s="51" t="s">
        <v>50</v>
      </c>
      <c r="D26" s="52" t="str">
        <f>IFERROR(VLOOKUP(D17,'Prob PRB Summary Data'!A:AG,26,FALSE),"")&amp;CHAR(10)</f>
        <v xml:space="preserve">
</v>
      </c>
    </row>
    <row r="27" spans="1:4" ht="15.75" thickBot="1" x14ac:dyDescent="0.3">
      <c r="C27" s="53"/>
      <c r="D27" s="54"/>
    </row>
    <row r="28" spans="1:4" x14ac:dyDescent="0.25">
      <c r="A28" s="175" t="str">
        <f>IF(D28&lt;&gt;"","Comp","Blank")</f>
        <v>Blank</v>
      </c>
      <c r="C28" s="45" t="s">
        <v>84</v>
      </c>
      <c r="D28" s="46" t="str">
        <f>IF('Prob PRB Summary Data'!A4&lt;&gt;"",('Prob PRB Summary Data'!A4),"")</f>
        <v/>
      </c>
    </row>
    <row r="29" spans="1:4" x14ac:dyDescent="0.25">
      <c r="C29" s="47" t="s">
        <v>85</v>
      </c>
      <c r="D29" s="48" t="str">
        <f>IFERROR(VLOOKUP(D28,'Prob PRB Summary Data'!A:AG,8,FALSE),"")</f>
        <v/>
      </c>
    </row>
    <row r="30" spans="1:4" x14ac:dyDescent="0.25">
      <c r="C30" s="49" t="s">
        <v>46</v>
      </c>
      <c r="D30" s="48" t="str">
        <f>IFERROR(VLOOKUP(D28,'Prob PRB Summary Data'!A:AG,5,FALSE),"")</f>
        <v/>
      </c>
    </row>
    <row r="31" spans="1:4" x14ac:dyDescent="0.25">
      <c r="C31" s="49" t="s">
        <v>47</v>
      </c>
      <c r="D31" s="50" t="str">
        <f>IFERROR(VLOOKUP(D28,'Prob PRB Summary Data'!A:AG,9,FALSE),"")</f>
        <v/>
      </c>
    </row>
    <row r="32" spans="1:4" x14ac:dyDescent="0.25">
      <c r="C32" s="49" t="s">
        <v>110</v>
      </c>
      <c r="D32" s="159" t="str">
        <f>IFERROR(VLOOKUP(D28,'Prob PRB Summary Data'!A:AG,32,FALSE),"")</f>
        <v/>
      </c>
    </row>
    <row r="33" spans="1:4" ht="30" x14ac:dyDescent="0.25">
      <c r="C33" s="49" t="s">
        <v>48</v>
      </c>
      <c r="D33" s="48" t="str">
        <f>IFERROR(VLOOKUP(D28,'Prob PRB Summary Data'!A:AG,24,FALSE),"")&amp;CHAR(10)</f>
        <v xml:space="preserve">
</v>
      </c>
    </row>
    <row r="34" spans="1:4" x14ac:dyDescent="0.25">
      <c r="C34" s="49" t="s">
        <v>82</v>
      </c>
      <c r="D34" s="48" t="str">
        <f>IFERROR(VLOOKUP(D28,'Prob PRB Summary Data'!A:AG,31,FALSE),"")</f>
        <v/>
      </c>
    </row>
    <row r="35" spans="1:4" x14ac:dyDescent="0.25">
      <c r="C35" s="49" t="s">
        <v>81</v>
      </c>
      <c r="D35" s="48" t="str">
        <f>IFERROR(VLOOKUP(D28,'Prob PRB Summary Data'!A:AG,16,FALSE),"")</f>
        <v/>
      </c>
    </row>
    <row r="36" spans="1:4" ht="30" x14ac:dyDescent="0.25">
      <c r="C36" s="49" t="s">
        <v>49</v>
      </c>
      <c r="D36" s="48" t="str">
        <f>IFERROR(VLOOKUP(D28,'Prob PRB Summary Data'!A:AG,25,FALSE),"")&amp;CHAR(10)</f>
        <v xml:space="preserve">
</v>
      </c>
    </row>
    <row r="37" spans="1:4" ht="30.75" thickBot="1" x14ac:dyDescent="0.3">
      <c r="C37" s="51" t="s">
        <v>50</v>
      </c>
      <c r="D37" s="52" t="str">
        <f>IFERROR(VLOOKUP(D28,'Prob PRB Summary Data'!A:AG,26,FALSE),"")&amp;CHAR(10)</f>
        <v xml:space="preserve">
</v>
      </c>
    </row>
    <row r="38" spans="1:4" ht="15.75" thickBot="1" x14ac:dyDescent="0.3">
      <c r="C38" s="53"/>
      <c r="D38" s="54"/>
    </row>
    <row r="39" spans="1:4" x14ac:dyDescent="0.25">
      <c r="A39" s="175" t="str">
        <f>IF(D39&lt;&gt;"","Comp","Blank")</f>
        <v>Blank</v>
      </c>
      <c r="C39" s="45" t="s">
        <v>84</v>
      </c>
      <c r="D39" s="46" t="str">
        <f>IF('Prob PRB Summary Data'!A5&lt;&gt;"",('Prob PRB Summary Data'!A5),"")</f>
        <v/>
      </c>
    </row>
    <row r="40" spans="1:4" x14ac:dyDescent="0.25">
      <c r="C40" s="47" t="s">
        <v>85</v>
      </c>
      <c r="D40" s="48" t="str">
        <f>IFERROR(VLOOKUP(D39,'Prob PRB Summary Data'!A:AG,8,FALSE),"")</f>
        <v/>
      </c>
    </row>
    <row r="41" spans="1:4" x14ac:dyDescent="0.25">
      <c r="C41" s="49" t="s">
        <v>46</v>
      </c>
      <c r="D41" s="48" t="str">
        <f>IFERROR(VLOOKUP(D39,'Prob PRB Summary Data'!A:AG,5,FALSE),"")</f>
        <v/>
      </c>
    </row>
    <row r="42" spans="1:4" x14ac:dyDescent="0.25">
      <c r="C42" s="49" t="s">
        <v>47</v>
      </c>
      <c r="D42" s="50" t="str">
        <f>IFERROR(VLOOKUP(D39,'Prob PRB Summary Data'!A:AG,9,FALSE),"")</f>
        <v/>
      </c>
    </row>
    <row r="43" spans="1:4" x14ac:dyDescent="0.25">
      <c r="C43" s="49" t="s">
        <v>110</v>
      </c>
      <c r="D43" s="159" t="str">
        <f>IFERROR(VLOOKUP(D39,'Prob PRB Summary Data'!A:AG,32,FALSE),"")</f>
        <v/>
      </c>
    </row>
    <row r="44" spans="1:4" ht="30" x14ac:dyDescent="0.25">
      <c r="C44" s="49" t="s">
        <v>48</v>
      </c>
      <c r="D44" s="48" t="str">
        <f>IFERROR(VLOOKUP(D39,'Prob PRB Summary Data'!A:AG,24,FALSE),"")&amp;CHAR(10)</f>
        <v xml:space="preserve">
</v>
      </c>
    </row>
    <row r="45" spans="1:4" x14ac:dyDescent="0.25">
      <c r="C45" s="49" t="s">
        <v>82</v>
      </c>
      <c r="D45" s="48" t="str">
        <f>IFERROR(VLOOKUP(D39,'Prob PRB Summary Data'!A:AG,31,FALSE),"")</f>
        <v/>
      </c>
    </row>
    <row r="46" spans="1:4" x14ac:dyDescent="0.25">
      <c r="C46" s="49" t="s">
        <v>81</v>
      </c>
      <c r="D46" s="48" t="str">
        <f>IFERROR(VLOOKUP(D39,'Prob PRB Summary Data'!A:AG,16,FALSE),"")</f>
        <v/>
      </c>
    </row>
    <row r="47" spans="1:4" ht="30" x14ac:dyDescent="0.25">
      <c r="C47" s="49" t="s">
        <v>49</v>
      </c>
      <c r="D47" s="48" t="str">
        <f>IFERROR(VLOOKUP(D39,'Prob PRB Summary Data'!A:AG,25,FALSE),"")&amp;CHAR(10)</f>
        <v xml:space="preserve">
</v>
      </c>
    </row>
    <row r="48" spans="1:4" ht="30.75" thickBot="1" x14ac:dyDescent="0.3">
      <c r="C48" s="51" t="s">
        <v>50</v>
      </c>
      <c r="D48" s="52" t="str">
        <f>IFERROR(VLOOKUP(D39,'Prob PRB Summary Data'!A:AG,26,FALSE),"")&amp;CHAR(10)</f>
        <v xml:space="preserve">
</v>
      </c>
    </row>
    <row r="49" spans="1:4" ht="15.75" thickBot="1" x14ac:dyDescent="0.3">
      <c r="C49" s="53"/>
      <c r="D49" s="54"/>
    </row>
    <row r="50" spans="1:4" x14ac:dyDescent="0.25">
      <c r="A50" s="175" t="str">
        <f>IF(D50&lt;&gt;"","Comp","Blank")</f>
        <v>Blank</v>
      </c>
      <c r="C50" s="45" t="s">
        <v>84</v>
      </c>
      <c r="D50" s="46" t="str">
        <f>IF('Prob PRB Summary Data'!A6&lt;&gt;"",('Prob PRB Summary Data'!A6),"")</f>
        <v/>
      </c>
    </row>
    <row r="51" spans="1:4" x14ac:dyDescent="0.25">
      <c r="C51" s="47" t="s">
        <v>85</v>
      </c>
      <c r="D51" s="48" t="str">
        <f>IFERROR(VLOOKUP(D50,'Prob PRB Summary Data'!A:AG,8,FALSE),"")</f>
        <v/>
      </c>
    </row>
    <row r="52" spans="1:4" x14ac:dyDescent="0.25">
      <c r="C52" s="49" t="s">
        <v>46</v>
      </c>
      <c r="D52" s="48" t="str">
        <f>IFERROR(VLOOKUP(D50,'Prob PRB Summary Data'!A:AG,5,FALSE),"")</f>
        <v/>
      </c>
    </row>
    <row r="53" spans="1:4" x14ac:dyDescent="0.25">
      <c r="C53" s="49" t="s">
        <v>47</v>
      </c>
      <c r="D53" s="50" t="str">
        <f>IFERROR(VLOOKUP(D50,'Prob PRB Summary Data'!A:AG,9,FALSE),"")</f>
        <v/>
      </c>
    </row>
    <row r="54" spans="1:4" x14ac:dyDescent="0.25">
      <c r="C54" s="49" t="s">
        <v>110</v>
      </c>
      <c r="D54" s="159" t="str">
        <f>IFERROR(VLOOKUP(D50,'Prob PRB Summary Data'!A:AG,32,FALSE),"")</f>
        <v/>
      </c>
    </row>
    <row r="55" spans="1:4" ht="30" x14ac:dyDescent="0.25">
      <c r="C55" s="49" t="s">
        <v>48</v>
      </c>
      <c r="D55" s="48" t="str">
        <f>IFERROR(VLOOKUP(D50,'Prob PRB Summary Data'!A:AG,24,FALSE),"")&amp;CHAR(10)</f>
        <v xml:space="preserve">
</v>
      </c>
    </row>
    <row r="56" spans="1:4" x14ac:dyDescent="0.25">
      <c r="C56" s="49" t="s">
        <v>82</v>
      </c>
      <c r="D56" s="48" t="str">
        <f>IFERROR(VLOOKUP(D50,'Prob PRB Summary Data'!A:AG,31,FALSE),"")</f>
        <v/>
      </c>
    </row>
    <row r="57" spans="1:4" x14ac:dyDescent="0.25">
      <c r="C57" s="49" t="s">
        <v>81</v>
      </c>
      <c r="D57" s="48" t="str">
        <f>IFERROR(VLOOKUP(D50,'Prob PRB Summary Data'!A:AG,16,FALSE),"")</f>
        <v/>
      </c>
    </row>
    <row r="58" spans="1:4" ht="30" x14ac:dyDescent="0.25">
      <c r="C58" s="49" t="s">
        <v>49</v>
      </c>
      <c r="D58" s="48" t="str">
        <f>IFERROR(VLOOKUP(D50,'Prob PRB Summary Data'!A:AG,25,FALSE),"")&amp;CHAR(10)</f>
        <v xml:space="preserve">
</v>
      </c>
    </row>
    <row r="59" spans="1:4" ht="30.75" thickBot="1" x14ac:dyDescent="0.3">
      <c r="C59" s="51" t="s">
        <v>50</v>
      </c>
      <c r="D59" s="52" t="str">
        <f>IFERROR(VLOOKUP(D50,'Prob PRB Summary Data'!A:AG,26,FALSE),"")&amp;CHAR(10)</f>
        <v xml:space="preserve">
</v>
      </c>
    </row>
    <row r="60" spans="1:4" ht="15.75" thickBot="1" x14ac:dyDescent="0.3">
      <c r="C60" s="53"/>
      <c r="D60" s="54"/>
    </row>
    <row r="61" spans="1:4" x14ac:dyDescent="0.25">
      <c r="A61" s="175" t="str">
        <f>IF(D61&lt;&gt;"","Comp","Blank")</f>
        <v>Blank</v>
      </c>
      <c r="C61" s="45" t="s">
        <v>84</v>
      </c>
      <c r="D61" s="55" t="str">
        <f>IF('Prob PRB Summary Data'!A7&lt;&gt;"",('Prob PRB Summary Data'!A7),"")</f>
        <v/>
      </c>
    </row>
    <row r="62" spans="1:4" x14ac:dyDescent="0.25">
      <c r="C62" s="47" t="s">
        <v>85</v>
      </c>
      <c r="D62" s="48" t="str">
        <f>IFERROR(VLOOKUP(D61,'Prob PRB Summary Data'!A:AG,8,FALSE),"")</f>
        <v/>
      </c>
    </row>
    <row r="63" spans="1:4" x14ac:dyDescent="0.25">
      <c r="C63" s="49" t="s">
        <v>46</v>
      </c>
      <c r="D63" s="56" t="str">
        <f>IFERROR(VLOOKUP(D61,'Prob PRB Summary Data'!A:AG,5,FALSE),"")</f>
        <v/>
      </c>
    </row>
    <row r="64" spans="1:4" x14ac:dyDescent="0.25">
      <c r="C64" s="49" t="s">
        <v>47</v>
      </c>
      <c r="D64" s="57" t="str">
        <f>IFERROR(VLOOKUP(D61,'Prob PRB Summary Data'!A:AG,9,FALSE),"")</f>
        <v/>
      </c>
    </row>
    <row r="65" spans="1:4" x14ac:dyDescent="0.25">
      <c r="C65" s="49" t="s">
        <v>110</v>
      </c>
      <c r="D65" s="159" t="str">
        <f>IFERROR(VLOOKUP(D61,'Prob PRB Summary Data'!A:AG,32,FALSE),"")</f>
        <v/>
      </c>
    </row>
    <row r="66" spans="1:4" ht="30" x14ac:dyDescent="0.25">
      <c r="C66" s="58" t="s">
        <v>48</v>
      </c>
      <c r="D66" s="59" t="str">
        <f>IFERROR(VLOOKUP(D61,'Prob PRB Summary Data'!A:AG,24,FALSE),"")&amp;CHAR(10)</f>
        <v xml:space="preserve">
</v>
      </c>
    </row>
    <row r="67" spans="1:4" x14ac:dyDescent="0.25">
      <c r="C67" s="49" t="s">
        <v>82</v>
      </c>
      <c r="D67" s="56" t="str">
        <f>IFERROR(VLOOKUP(D61,'Prob PRB Summary Data'!A:AG,31,FALSE),"")</f>
        <v/>
      </c>
    </row>
    <row r="68" spans="1:4" x14ac:dyDescent="0.25">
      <c r="C68" s="49" t="s">
        <v>81</v>
      </c>
      <c r="D68" s="56" t="str">
        <f>IFERROR(VLOOKUP(D61,'Prob PRB Summary Data'!A:AG,16,FALSE),"")</f>
        <v/>
      </c>
    </row>
    <row r="69" spans="1:4" ht="30" x14ac:dyDescent="0.25">
      <c r="C69" s="58" t="s">
        <v>49</v>
      </c>
      <c r="D69" s="59" t="str">
        <f>IFERROR(VLOOKUP(D61,'Prob PRB Summary Data'!A:AG,25,FALSE),"")&amp;CHAR(10)</f>
        <v xml:space="preserve">
</v>
      </c>
    </row>
    <row r="70" spans="1:4" ht="30.75" thickBot="1" x14ac:dyDescent="0.3">
      <c r="C70" s="51" t="s">
        <v>50</v>
      </c>
      <c r="D70" s="52" t="str">
        <f>IFERROR(VLOOKUP(D61,'Prob PRB Summary Data'!A:AG,26,FALSE),"")&amp;CHAR(10)</f>
        <v xml:space="preserve">
</v>
      </c>
    </row>
    <row r="71" spans="1:4" ht="15.75" thickBot="1" x14ac:dyDescent="0.3">
      <c r="C71" s="53"/>
      <c r="D71" s="54"/>
    </row>
    <row r="72" spans="1:4" x14ac:dyDescent="0.25">
      <c r="A72" s="175" t="str">
        <f>IF(D72&lt;&gt;"","Comp","Blank")</f>
        <v>Blank</v>
      </c>
      <c r="C72" s="45" t="s">
        <v>84</v>
      </c>
      <c r="D72" s="55" t="str">
        <f>IF('Prob PRB Summary Data'!A8&lt;&gt;"",('Prob PRB Summary Data'!A8),"")</f>
        <v/>
      </c>
    </row>
    <row r="73" spans="1:4" x14ac:dyDescent="0.25">
      <c r="C73" s="47" t="s">
        <v>85</v>
      </c>
      <c r="D73" s="48" t="str">
        <f>IFERROR(VLOOKUP(D72,'Prob PRB Summary Data'!A:AG,8,FALSE),"")</f>
        <v/>
      </c>
    </row>
    <row r="74" spans="1:4" x14ac:dyDescent="0.25">
      <c r="C74" s="49" t="s">
        <v>46</v>
      </c>
      <c r="D74" s="56" t="str">
        <f>IFERROR(VLOOKUP(D72,'Prob PRB Summary Data'!A:AG,5,FALSE),"")</f>
        <v/>
      </c>
    </row>
    <row r="75" spans="1:4" x14ac:dyDescent="0.25">
      <c r="C75" s="49" t="s">
        <v>47</v>
      </c>
      <c r="D75" s="57" t="str">
        <f>IFERROR(VLOOKUP(D72,'Prob PRB Summary Data'!A:AG,9,FALSE),"")</f>
        <v/>
      </c>
    </row>
    <row r="76" spans="1:4" x14ac:dyDescent="0.25">
      <c r="C76" s="49" t="s">
        <v>110</v>
      </c>
      <c r="D76" s="159" t="str">
        <f>IFERROR(VLOOKUP(D72,'Prob PRB Summary Data'!A:AG,32,FALSE),"")</f>
        <v/>
      </c>
    </row>
    <row r="77" spans="1:4" ht="30" x14ac:dyDescent="0.25">
      <c r="C77" s="58" t="s">
        <v>48</v>
      </c>
      <c r="D77" s="59" t="str">
        <f>IFERROR(VLOOKUP(D72,'Prob PRB Summary Data'!A:AG,24,FALSE),"")&amp;CHAR(10)</f>
        <v xml:space="preserve">
</v>
      </c>
    </row>
    <row r="78" spans="1:4" x14ac:dyDescent="0.25">
      <c r="C78" s="49" t="s">
        <v>82</v>
      </c>
      <c r="D78" s="56" t="str">
        <f>IFERROR(VLOOKUP(D72,'Prob PRB Summary Data'!A:AG,31,FALSE),"")</f>
        <v/>
      </c>
    </row>
    <row r="79" spans="1:4" x14ac:dyDescent="0.25">
      <c r="C79" s="49" t="s">
        <v>81</v>
      </c>
      <c r="D79" s="56" t="str">
        <f>IFERROR(VLOOKUP(D72,'Prob PRB Summary Data'!A:AG,16,FALSE),"")</f>
        <v/>
      </c>
    </row>
    <row r="80" spans="1:4" ht="30" x14ac:dyDescent="0.25">
      <c r="C80" s="58" t="s">
        <v>49</v>
      </c>
      <c r="D80" s="59" t="str">
        <f>IFERROR(VLOOKUP(D72,'Prob PRB Summary Data'!A:AG,25,FALSE),"")&amp;CHAR(10)</f>
        <v xml:space="preserve">
</v>
      </c>
    </row>
    <row r="81" spans="1:4" ht="30.75" thickBot="1" x14ac:dyDescent="0.3">
      <c r="C81" s="51" t="s">
        <v>50</v>
      </c>
      <c r="D81" s="52" t="str">
        <f>IFERROR(VLOOKUP(D72,'Prob PRB Summary Data'!A:AG,26,FALSE),"")&amp;CHAR(10)</f>
        <v xml:space="preserve">
</v>
      </c>
    </row>
    <row r="82" spans="1:4" ht="15.75" thickBot="1" x14ac:dyDescent="0.3">
      <c r="C82" s="53"/>
      <c r="D82" s="54"/>
    </row>
    <row r="83" spans="1:4" x14ac:dyDescent="0.25">
      <c r="A83" s="175" t="str">
        <f>IF(D83&lt;&gt;"","Comp","Blank")</f>
        <v>Blank</v>
      </c>
      <c r="C83" s="45" t="s">
        <v>84</v>
      </c>
      <c r="D83" s="55" t="str">
        <f>IF('Prob PRB Summary Data'!A9&lt;&gt;"",('Prob PRB Summary Data'!A9),"")</f>
        <v/>
      </c>
    </row>
    <row r="84" spans="1:4" x14ac:dyDescent="0.25">
      <c r="C84" s="47" t="s">
        <v>85</v>
      </c>
      <c r="D84" s="48" t="str">
        <f>IFERROR(VLOOKUP(D83,'Prob PRB Summary Data'!A:AG,8,FALSE),"")</f>
        <v/>
      </c>
    </row>
    <row r="85" spans="1:4" x14ac:dyDescent="0.25">
      <c r="C85" s="49" t="s">
        <v>46</v>
      </c>
      <c r="D85" s="56" t="str">
        <f>IFERROR(VLOOKUP(D83,'Prob PRB Summary Data'!A:AG,5,FALSE),"")</f>
        <v/>
      </c>
    </row>
    <row r="86" spans="1:4" x14ac:dyDescent="0.25">
      <c r="C86" s="49" t="s">
        <v>47</v>
      </c>
      <c r="D86" s="57" t="str">
        <f>IFERROR(VLOOKUP(D83,'Prob PRB Summary Data'!A:AG,9,FALSE),"")</f>
        <v/>
      </c>
    </row>
    <row r="87" spans="1:4" x14ac:dyDescent="0.25">
      <c r="C87" s="49" t="s">
        <v>110</v>
      </c>
      <c r="D87" s="159" t="str">
        <f>IFERROR(VLOOKUP(D83,'Prob PRB Summary Data'!A:AG,32,FALSE),"")</f>
        <v/>
      </c>
    </row>
    <row r="88" spans="1:4" ht="30" x14ac:dyDescent="0.25">
      <c r="C88" s="58" t="s">
        <v>48</v>
      </c>
      <c r="D88" s="59" t="str">
        <f>IFERROR(VLOOKUP(D83,'Prob PRB Summary Data'!A:AG,24,FALSE),"")&amp;CHAR(10)</f>
        <v xml:space="preserve">
</v>
      </c>
    </row>
    <row r="89" spans="1:4" x14ac:dyDescent="0.25">
      <c r="C89" s="49" t="s">
        <v>82</v>
      </c>
      <c r="D89" s="56" t="str">
        <f>IFERROR(VLOOKUP(D83,'Prob PRB Summary Data'!A:AG,31,FALSE),"")</f>
        <v/>
      </c>
    </row>
    <row r="90" spans="1:4" x14ac:dyDescent="0.25">
      <c r="C90" s="49" t="s">
        <v>81</v>
      </c>
      <c r="D90" s="56" t="str">
        <f>IFERROR(VLOOKUP(D83,'Prob PRB Summary Data'!A:AG,16,FALSE),"")</f>
        <v/>
      </c>
    </row>
    <row r="91" spans="1:4" ht="30" x14ac:dyDescent="0.25">
      <c r="C91" s="58" t="s">
        <v>49</v>
      </c>
      <c r="D91" s="59" t="str">
        <f>IFERROR(VLOOKUP(D83,'Prob PRB Summary Data'!A:AG,25,FALSE),"")&amp;CHAR(10)</f>
        <v xml:space="preserve">
</v>
      </c>
    </row>
    <row r="92" spans="1:4" ht="30.75" thickBot="1" x14ac:dyDescent="0.3">
      <c r="C92" s="51" t="s">
        <v>50</v>
      </c>
      <c r="D92" s="52" t="str">
        <f>IFERROR(VLOOKUP(D83,'Prob PRB Summary Data'!A:AG,26,FALSE),"")&amp;CHAR(10)</f>
        <v xml:space="preserve">
</v>
      </c>
    </row>
    <row r="93" spans="1:4" ht="15.75" thickBot="1" x14ac:dyDescent="0.3">
      <c r="C93" s="53"/>
      <c r="D93" s="54"/>
    </row>
    <row r="94" spans="1:4" x14ac:dyDescent="0.25">
      <c r="A94" s="175" t="str">
        <f>IF(D94&lt;&gt;"","Comp","Blank")</f>
        <v>Blank</v>
      </c>
      <c r="C94" s="45" t="s">
        <v>84</v>
      </c>
      <c r="D94" s="55" t="str">
        <f>IF('Prob PRB Summary Data'!A10&lt;&gt;"",('Prob PRB Summary Data'!A10),"")</f>
        <v/>
      </c>
    </row>
    <row r="95" spans="1:4" x14ac:dyDescent="0.25">
      <c r="C95" s="47" t="s">
        <v>85</v>
      </c>
      <c r="D95" s="48" t="str">
        <f>IFERROR(VLOOKUP(D94,'Prob PRB Summary Data'!A:AG,8,FALSE),"")</f>
        <v/>
      </c>
    </row>
    <row r="96" spans="1:4" x14ac:dyDescent="0.25">
      <c r="C96" s="49" t="s">
        <v>46</v>
      </c>
      <c r="D96" s="56" t="str">
        <f>IFERROR(VLOOKUP(D94,'Prob PRB Summary Data'!A:AG,5,FALSE),"")</f>
        <v/>
      </c>
    </row>
    <row r="97" spans="1:4" x14ac:dyDescent="0.25">
      <c r="C97" s="49" t="s">
        <v>47</v>
      </c>
      <c r="D97" s="57" t="str">
        <f>IFERROR(VLOOKUP(D94,'Prob PRB Summary Data'!A:AG,9,FALSE),"")</f>
        <v/>
      </c>
    </row>
    <row r="98" spans="1:4" x14ac:dyDescent="0.25">
      <c r="C98" s="49" t="s">
        <v>110</v>
      </c>
      <c r="D98" s="159" t="str">
        <f>IFERROR(VLOOKUP(D94,'Prob PRB Summary Data'!A:AG,32,FALSE),"")</f>
        <v/>
      </c>
    </row>
    <row r="99" spans="1:4" ht="30" x14ac:dyDescent="0.25">
      <c r="C99" s="58" t="s">
        <v>48</v>
      </c>
      <c r="D99" s="59" t="str">
        <f>IFERROR(VLOOKUP(D94,'Prob PRB Summary Data'!A:AG,24,FALSE),"")&amp;CHAR(10)</f>
        <v xml:space="preserve">
</v>
      </c>
    </row>
    <row r="100" spans="1:4" x14ac:dyDescent="0.25">
      <c r="C100" s="49" t="s">
        <v>82</v>
      </c>
      <c r="D100" s="56" t="str">
        <f>IFERROR(VLOOKUP(D94,'Prob PRB Summary Data'!A:AG,31,FALSE),"")</f>
        <v/>
      </c>
    </row>
    <row r="101" spans="1:4" x14ac:dyDescent="0.25">
      <c r="C101" s="49" t="s">
        <v>81</v>
      </c>
      <c r="D101" s="56" t="str">
        <f>IFERROR(VLOOKUP(D94,'Prob PRB Summary Data'!A:AG,16,FALSE),"")</f>
        <v/>
      </c>
    </row>
    <row r="102" spans="1:4" ht="30" x14ac:dyDescent="0.25">
      <c r="C102" s="58" t="s">
        <v>49</v>
      </c>
      <c r="D102" s="59" t="str">
        <f>IFERROR(VLOOKUP(D94,'Prob PRB Summary Data'!A:AG,25,FALSE),"")&amp;CHAR(10)</f>
        <v xml:space="preserve">
</v>
      </c>
    </row>
    <row r="103" spans="1:4" ht="30.75" thickBot="1" x14ac:dyDescent="0.3">
      <c r="C103" s="51" t="s">
        <v>50</v>
      </c>
      <c r="D103" s="52" t="str">
        <f>IFERROR(VLOOKUP(D94,'Prob PRB Summary Data'!A:AG,26,FALSE),"")&amp;CHAR(10)</f>
        <v xml:space="preserve">
</v>
      </c>
    </row>
    <row r="104" spans="1:4" ht="15.75" thickBot="1" x14ac:dyDescent="0.3">
      <c r="C104" s="53"/>
      <c r="D104" s="54"/>
    </row>
    <row r="105" spans="1:4" x14ac:dyDescent="0.25">
      <c r="A105" s="175" t="str">
        <f>IF(D105&lt;&gt;"","Comp","Blank")</f>
        <v>Blank</v>
      </c>
      <c r="C105" s="45" t="s">
        <v>84</v>
      </c>
      <c r="D105" s="55" t="str">
        <f>IF('Prob PRB Summary Data'!A11&lt;&gt;"",('Prob PRB Summary Data'!A11),"")</f>
        <v/>
      </c>
    </row>
    <row r="106" spans="1:4" x14ac:dyDescent="0.25">
      <c r="C106" s="47" t="s">
        <v>85</v>
      </c>
      <c r="D106" s="48" t="str">
        <f>IFERROR(VLOOKUP(D105,'Prob PRB Summary Data'!A:AG,8,FALSE),"")</f>
        <v/>
      </c>
    </row>
    <row r="107" spans="1:4" x14ac:dyDescent="0.25">
      <c r="C107" s="49" t="s">
        <v>46</v>
      </c>
      <c r="D107" s="56" t="str">
        <f>IFERROR(VLOOKUP(D105,'Prob PRB Summary Data'!A:AG,5,FALSE),"")</f>
        <v/>
      </c>
    </row>
    <row r="108" spans="1:4" x14ac:dyDescent="0.25">
      <c r="C108" s="49" t="s">
        <v>47</v>
      </c>
      <c r="D108" s="57" t="str">
        <f>IFERROR(VLOOKUP(D105,'Prob PRB Summary Data'!A:AG,9,FALSE),"")</f>
        <v/>
      </c>
    </row>
    <row r="109" spans="1:4" x14ac:dyDescent="0.25">
      <c r="C109" s="49" t="s">
        <v>110</v>
      </c>
      <c r="D109" s="159" t="str">
        <f>IFERROR(VLOOKUP(D105,'Prob PRB Summary Data'!A:AG,32,FALSE),"")</f>
        <v/>
      </c>
    </row>
    <row r="110" spans="1:4" ht="30" x14ac:dyDescent="0.25">
      <c r="C110" s="58" t="s">
        <v>48</v>
      </c>
      <c r="D110" s="59" t="str">
        <f>IFERROR(VLOOKUP(D105,'Prob PRB Summary Data'!A:AG,24,FALSE),"")&amp;CHAR(10)</f>
        <v xml:space="preserve">
</v>
      </c>
    </row>
    <row r="111" spans="1:4" x14ac:dyDescent="0.25">
      <c r="C111" s="49" t="s">
        <v>82</v>
      </c>
      <c r="D111" s="56" t="str">
        <f>IFERROR(VLOOKUP(D105,'Prob PRB Summary Data'!A:AG,31,FALSE),"")</f>
        <v/>
      </c>
    </row>
    <row r="112" spans="1:4" x14ac:dyDescent="0.25">
      <c r="C112" s="49" t="s">
        <v>81</v>
      </c>
      <c r="D112" s="56" t="str">
        <f>IFERROR(VLOOKUP(D105,'Prob PRB Summary Data'!A:AG,16,FALSE),"")</f>
        <v/>
      </c>
    </row>
    <row r="113" spans="1:4" ht="30" x14ac:dyDescent="0.25">
      <c r="C113" s="58" t="s">
        <v>49</v>
      </c>
      <c r="D113" s="59" t="str">
        <f>IFERROR(VLOOKUP(D105,'Prob PRB Summary Data'!A:AG,25,FALSE),"")&amp;CHAR(10)</f>
        <v xml:space="preserve">
</v>
      </c>
    </row>
    <row r="114" spans="1:4" ht="30.75" thickBot="1" x14ac:dyDescent="0.3">
      <c r="C114" s="51" t="s">
        <v>50</v>
      </c>
      <c r="D114" s="52" t="str">
        <f>IFERROR(VLOOKUP(D105,'Prob PRB Summary Data'!A:AG,26,FALSE),"")&amp;CHAR(10)</f>
        <v xml:space="preserve">
</v>
      </c>
    </row>
    <row r="115" spans="1:4" ht="15.75" thickBot="1" x14ac:dyDescent="0.3">
      <c r="C115" s="60"/>
      <c r="D115" s="61"/>
    </row>
    <row r="116" spans="1:4" x14ac:dyDescent="0.25">
      <c r="A116" s="175" t="str">
        <f>IF(D116&lt;&gt;"","Comp","Blank")</f>
        <v>Blank</v>
      </c>
      <c r="C116" s="45" t="s">
        <v>84</v>
      </c>
      <c r="D116" s="55" t="str">
        <f>IF('Prob PRB Summary Data'!A12&lt;&gt;"",('Prob PRB Summary Data'!A12),"")</f>
        <v/>
      </c>
    </row>
    <row r="117" spans="1:4" x14ac:dyDescent="0.25">
      <c r="C117" s="47" t="s">
        <v>85</v>
      </c>
      <c r="D117" s="48" t="str">
        <f>IFERROR(VLOOKUP(D116,'Prob PRB Summary Data'!A:AG,8,FALSE),"")</f>
        <v/>
      </c>
    </row>
    <row r="118" spans="1:4" x14ac:dyDescent="0.25">
      <c r="C118" s="49" t="s">
        <v>46</v>
      </c>
      <c r="D118" s="56" t="str">
        <f>IFERROR(VLOOKUP(D116,'Prob PRB Summary Data'!A:AG,5,FALSE),"")</f>
        <v/>
      </c>
    </row>
    <row r="119" spans="1:4" x14ac:dyDescent="0.25">
      <c r="C119" s="49" t="s">
        <v>47</v>
      </c>
      <c r="D119" s="57" t="str">
        <f>IFERROR(VLOOKUP(D116,'Prob PRB Summary Data'!A:AG,9,FALSE),"")</f>
        <v/>
      </c>
    </row>
    <row r="120" spans="1:4" x14ac:dyDescent="0.25">
      <c r="C120" s="49" t="s">
        <v>110</v>
      </c>
      <c r="D120" s="159" t="str">
        <f>IFERROR(VLOOKUP(D116,'Prob PRB Summary Data'!A:AG,32,FALSE),"")</f>
        <v/>
      </c>
    </row>
    <row r="121" spans="1:4" ht="30" x14ac:dyDescent="0.25">
      <c r="C121" s="58" t="s">
        <v>48</v>
      </c>
      <c r="D121" s="59" t="str">
        <f>IFERROR(VLOOKUP(D116,'Prob PRB Summary Data'!A:AG,24,FALSE),"")&amp;CHAR(10)</f>
        <v xml:space="preserve">
</v>
      </c>
    </row>
    <row r="122" spans="1:4" x14ac:dyDescent="0.25">
      <c r="C122" s="49" t="s">
        <v>82</v>
      </c>
      <c r="D122" s="56" t="str">
        <f>IFERROR(VLOOKUP(D116,'Prob PRB Summary Data'!A:AG,31,FALSE),"")</f>
        <v/>
      </c>
    </row>
    <row r="123" spans="1:4" x14ac:dyDescent="0.25">
      <c r="C123" s="49" t="s">
        <v>81</v>
      </c>
      <c r="D123" s="56" t="str">
        <f>IFERROR(VLOOKUP(D116,'Prob PRB Summary Data'!A:AG,16,FALSE),"")</f>
        <v/>
      </c>
    </row>
    <row r="124" spans="1:4" ht="30" x14ac:dyDescent="0.25">
      <c r="C124" s="58" t="s">
        <v>49</v>
      </c>
      <c r="D124" s="59" t="str">
        <f>IFERROR(VLOOKUP(D116,'Prob PRB Summary Data'!A:AG,25,FALSE),"")&amp;CHAR(10)</f>
        <v xml:space="preserve">
</v>
      </c>
    </row>
    <row r="125" spans="1:4" ht="30.75" thickBot="1" x14ac:dyDescent="0.3">
      <c r="C125" s="51" t="s">
        <v>50</v>
      </c>
      <c r="D125" s="52" t="str">
        <f>IFERROR(VLOOKUP(D116,'Prob PRB Summary Data'!A:AG,26,FALSE),"")&amp;CHAR(10)</f>
        <v xml:space="preserve">
</v>
      </c>
    </row>
    <row r="126" spans="1:4" ht="15.75" thickBot="1" x14ac:dyDescent="0.3">
      <c r="C126" s="60"/>
      <c r="D126" s="61"/>
    </row>
    <row r="127" spans="1:4" x14ac:dyDescent="0.25">
      <c r="A127" s="175" t="str">
        <f>IF(D127&lt;&gt;"","Comp","Blank")</f>
        <v>Blank</v>
      </c>
      <c r="C127" s="45" t="s">
        <v>84</v>
      </c>
      <c r="D127" s="55" t="str">
        <f>IF('Prob PRB Summary Data'!A13&lt;&gt;"",('Prob PRB Summary Data'!A13),"")</f>
        <v/>
      </c>
    </row>
    <row r="128" spans="1:4" x14ac:dyDescent="0.25">
      <c r="C128" s="47" t="s">
        <v>85</v>
      </c>
      <c r="D128" s="48" t="str">
        <f>IFERROR(VLOOKUP(D127,'Prob PRB Summary Data'!A:AG,8,FALSE),"")</f>
        <v/>
      </c>
    </row>
    <row r="129" spans="1:4" x14ac:dyDescent="0.25">
      <c r="C129" s="49" t="s">
        <v>46</v>
      </c>
      <c r="D129" s="56" t="str">
        <f>IFERROR(VLOOKUP(D127,'Prob PRB Summary Data'!A:AG,5,FALSE),"")</f>
        <v/>
      </c>
    </row>
    <row r="130" spans="1:4" x14ac:dyDescent="0.25">
      <c r="C130" s="49" t="s">
        <v>47</v>
      </c>
      <c r="D130" s="57" t="str">
        <f>IFERROR(VLOOKUP(D127,'Prob PRB Summary Data'!A:AG,9,FALSE),"")</f>
        <v/>
      </c>
    </row>
    <row r="131" spans="1:4" x14ac:dyDescent="0.25">
      <c r="C131" s="49" t="s">
        <v>110</v>
      </c>
      <c r="D131" s="159" t="str">
        <f>IFERROR(VLOOKUP(D127,'Prob PRB Summary Data'!A:AG,32,FALSE),"")</f>
        <v/>
      </c>
    </row>
    <row r="132" spans="1:4" ht="30" x14ac:dyDescent="0.25">
      <c r="C132" s="58" t="s">
        <v>48</v>
      </c>
      <c r="D132" s="59" t="str">
        <f>IFERROR(VLOOKUP(D127,'Prob PRB Summary Data'!A:AG,24,FALSE),"")&amp;CHAR(10)</f>
        <v xml:space="preserve">
</v>
      </c>
    </row>
    <row r="133" spans="1:4" x14ac:dyDescent="0.25">
      <c r="C133" s="49" t="s">
        <v>82</v>
      </c>
      <c r="D133" s="56" t="str">
        <f>IFERROR(VLOOKUP(D127,'Prob PRB Summary Data'!A:AG,31,FALSE),"")</f>
        <v/>
      </c>
    </row>
    <row r="134" spans="1:4" x14ac:dyDescent="0.25">
      <c r="C134" s="49" t="s">
        <v>81</v>
      </c>
      <c r="D134" s="56" t="str">
        <f>IFERROR(VLOOKUP(D127,'Prob PRB Summary Data'!A:AG,16,FALSE),"")</f>
        <v/>
      </c>
    </row>
    <row r="135" spans="1:4" ht="30" x14ac:dyDescent="0.25">
      <c r="C135" s="58" t="s">
        <v>49</v>
      </c>
      <c r="D135" s="59" t="str">
        <f>IFERROR(VLOOKUP(D127,'Prob PRB Summary Data'!A:AG,25,FALSE),"")&amp;CHAR(10)</f>
        <v xml:space="preserve">
</v>
      </c>
    </row>
    <row r="136" spans="1:4" ht="30.75" thickBot="1" x14ac:dyDescent="0.3">
      <c r="C136" s="51" t="s">
        <v>50</v>
      </c>
      <c r="D136" s="52" t="str">
        <f>IFERROR(VLOOKUP(D127,'Prob PRB Summary Data'!A:AG,26,FALSE),"")&amp;CHAR(10)</f>
        <v xml:space="preserve">
</v>
      </c>
    </row>
    <row r="137" spans="1:4" ht="15.75" thickBot="1" x14ac:dyDescent="0.3">
      <c r="C137" s="60"/>
      <c r="D137" s="61"/>
    </row>
    <row r="138" spans="1:4" x14ac:dyDescent="0.25">
      <c r="A138" s="175" t="str">
        <f>IF(D138&lt;&gt;"","Comp","Blank")</f>
        <v>Blank</v>
      </c>
      <c r="C138" s="45" t="s">
        <v>84</v>
      </c>
      <c r="D138" s="55" t="str">
        <f>IF('Prob PRB Summary Data'!A14&lt;&gt;"",('Prob PRB Summary Data'!A14),"")</f>
        <v/>
      </c>
    </row>
    <row r="139" spans="1:4" x14ac:dyDescent="0.25">
      <c r="C139" s="47" t="s">
        <v>85</v>
      </c>
      <c r="D139" s="48" t="str">
        <f>IFERROR(VLOOKUP(D138,'Prob PRB Summary Data'!A:AG,8,FALSE),"")</f>
        <v/>
      </c>
    </row>
    <row r="140" spans="1:4" x14ac:dyDescent="0.25">
      <c r="C140" s="49" t="s">
        <v>46</v>
      </c>
      <c r="D140" s="56" t="str">
        <f>IFERROR(VLOOKUP(D138,'Prob PRB Summary Data'!A:AG,5,FALSE),"")</f>
        <v/>
      </c>
    </row>
    <row r="141" spans="1:4" x14ac:dyDescent="0.25">
      <c r="C141" s="49" t="s">
        <v>47</v>
      </c>
      <c r="D141" s="57" t="str">
        <f>IFERROR(VLOOKUP(D138,'Prob PRB Summary Data'!A:AG,9,FALSE),"")</f>
        <v/>
      </c>
    </row>
    <row r="142" spans="1:4" x14ac:dyDescent="0.25">
      <c r="C142" s="49" t="s">
        <v>110</v>
      </c>
      <c r="D142" s="159" t="str">
        <f>IFERROR(VLOOKUP(D138,'Prob PRB Summary Data'!A:AG,32,FALSE),"")</f>
        <v/>
      </c>
    </row>
    <row r="143" spans="1:4" ht="30" x14ac:dyDescent="0.25">
      <c r="C143" s="58" t="s">
        <v>48</v>
      </c>
      <c r="D143" s="59" t="str">
        <f>IFERROR(VLOOKUP(D138,'Prob PRB Summary Data'!A:AG,24,FALSE),"")&amp;CHAR(10)</f>
        <v xml:space="preserve">
</v>
      </c>
    </row>
    <row r="144" spans="1:4" x14ac:dyDescent="0.25">
      <c r="C144" s="49" t="s">
        <v>82</v>
      </c>
      <c r="D144" s="56" t="str">
        <f>IFERROR(VLOOKUP(D138,'Prob PRB Summary Data'!A:AG,31,FALSE),"")</f>
        <v/>
      </c>
    </row>
    <row r="145" spans="1:4" x14ac:dyDescent="0.25">
      <c r="C145" s="49" t="s">
        <v>81</v>
      </c>
      <c r="D145" s="56" t="str">
        <f>IFERROR(VLOOKUP(D138,'Prob PRB Summary Data'!A:AG,16,FALSE),"")</f>
        <v/>
      </c>
    </row>
    <row r="146" spans="1:4" ht="30" x14ac:dyDescent="0.25">
      <c r="C146" s="58" t="s">
        <v>49</v>
      </c>
      <c r="D146" s="59" t="str">
        <f>IFERROR(VLOOKUP(D138,'Prob PRB Summary Data'!A:AG,25,FALSE),"")&amp;CHAR(10)</f>
        <v xml:space="preserve">
</v>
      </c>
    </row>
    <row r="147" spans="1:4" ht="30.75" thickBot="1" x14ac:dyDescent="0.3">
      <c r="C147" s="51" t="s">
        <v>50</v>
      </c>
      <c r="D147" s="52" t="str">
        <f>IFERROR(VLOOKUP(D138,'Prob PRB Summary Data'!A:AG,26,FALSE),"")&amp;CHAR(10)</f>
        <v xml:space="preserve">
</v>
      </c>
    </row>
    <row r="148" spans="1:4" ht="15.75" thickBot="1" x14ac:dyDescent="0.3">
      <c r="C148" s="60"/>
      <c r="D148" s="61"/>
    </row>
    <row r="149" spans="1:4" x14ac:dyDescent="0.25">
      <c r="A149" s="175" t="str">
        <f>IF(D149&lt;&gt;"","Comp","Blank")</f>
        <v>Blank</v>
      </c>
      <c r="C149" s="45" t="s">
        <v>84</v>
      </c>
      <c r="D149" s="55" t="str">
        <f>IF('Prob PRB Summary Data'!A15&lt;&gt;"",('Prob PRB Summary Data'!A15),"")</f>
        <v/>
      </c>
    </row>
    <row r="150" spans="1:4" x14ac:dyDescent="0.25">
      <c r="C150" s="47" t="s">
        <v>85</v>
      </c>
      <c r="D150" s="48" t="str">
        <f>IFERROR(VLOOKUP(D149,'Prob PRB Summary Data'!A:AG,8,FALSE),"")</f>
        <v/>
      </c>
    </row>
    <row r="151" spans="1:4" x14ac:dyDescent="0.25">
      <c r="C151" s="49" t="s">
        <v>46</v>
      </c>
      <c r="D151" s="56" t="str">
        <f>IFERROR(VLOOKUP(D149,'Prob PRB Summary Data'!A:AG,5,FALSE),"")</f>
        <v/>
      </c>
    </row>
    <row r="152" spans="1:4" x14ac:dyDescent="0.25">
      <c r="C152" s="49" t="s">
        <v>47</v>
      </c>
      <c r="D152" s="57" t="str">
        <f>IFERROR(VLOOKUP(D149,'Prob PRB Summary Data'!A:AG,9,FALSE),"")</f>
        <v/>
      </c>
    </row>
    <row r="153" spans="1:4" x14ac:dyDescent="0.25">
      <c r="C153" s="49" t="s">
        <v>110</v>
      </c>
      <c r="D153" s="159" t="str">
        <f>IFERROR(VLOOKUP(D149,'Prob PRB Summary Data'!A:AG,32,FALSE),"")</f>
        <v/>
      </c>
    </row>
    <row r="154" spans="1:4" ht="30" x14ac:dyDescent="0.25">
      <c r="C154" s="58" t="s">
        <v>48</v>
      </c>
      <c r="D154" s="59" t="str">
        <f>IFERROR(VLOOKUP(D149,'Prob PRB Summary Data'!A:AG,24,FALSE),"")&amp;CHAR(10)</f>
        <v xml:space="preserve">
</v>
      </c>
    </row>
    <row r="155" spans="1:4" x14ac:dyDescent="0.25">
      <c r="C155" s="49" t="s">
        <v>82</v>
      </c>
      <c r="D155" s="56" t="str">
        <f>IFERROR(VLOOKUP(D149,'Prob PRB Summary Data'!A:AG,31,FALSE),"")</f>
        <v/>
      </c>
    </row>
    <row r="156" spans="1:4" x14ac:dyDescent="0.25">
      <c r="C156" s="49" t="s">
        <v>81</v>
      </c>
      <c r="D156" s="56" t="str">
        <f>IFERROR(VLOOKUP(D149,'Prob PRB Summary Data'!A:AG,16,FALSE),"")</f>
        <v/>
      </c>
    </row>
    <row r="157" spans="1:4" ht="30" x14ac:dyDescent="0.25">
      <c r="C157" s="58" t="s">
        <v>49</v>
      </c>
      <c r="D157" s="59" t="str">
        <f>IFERROR(VLOOKUP(D149,'Prob PRB Summary Data'!A:AG,25,FALSE),"")&amp;CHAR(10)</f>
        <v xml:space="preserve">
</v>
      </c>
    </row>
    <row r="158" spans="1:4" ht="30.75" thickBot="1" x14ac:dyDescent="0.3">
      <c r="C158" s="51" t="s">
        <v>50</v>
      </c>
      <c r="D158" s="52" t="str">
        <f>IFERROR(VLOOKUP(D149,'Prob PRB Summary Data'!A:AG,26,FALSE),"")&amp;CHAR(10)</f>
        <v xml:space="preserve">
</v>
      </c>
    </row>
    <row r="159" spans="1:4" ht="15.75" thickBot="1" x14ac:dyDescent="0.3">
      <c r="C159" s="62"/>
      <c r="D159" s="63"/>
    </row>
    <row r="160" spans="1:4" x14ac:dyDescent="0.25">
      <c r="A160" s="175" t="str">
        <f>IF(D160&lt;&gt;"","Comp","Blank")</f>
        <v>Blank</v>
      </c>
      <c r="C160" s="45" t="s">
        <v>84</v>
      </c>
      <c r="D160" s="55" t="str">
        <f>IF('Prob PRB Summary Data'!A16&lt;&gt;"",('Prob PRB Summary Data'!A16),"")</f>
        <v/>
      </c>
    </row>
    <row r="161" spans="1:4" x14ac:dyDescent="0.25">
      <c r="C161" s="47" t="s">
        <v>85</v>
      </c>
      <c r="D161" s="48" t="str">
        <f>IFERROR(VLOOKUP(D160,'Prob PRB Summary Data'!A:AG,8,FALSE),"")</f>
        <v/>
      </c>
    </row>
    <row r="162" spans="1:4" x14ac:dyDescent="0.25">
      <c r="C162" s="49" t="s">
        <v>46</v>
      </c>
      <c r="D162" s="56" t="str">
        <f>IFERROR(VLOOKUP(D160,'Prob PRB Summary Data'!A:AG,5,FALSE),"")</f>
        <v/>
      </c>
    </row>
    <row r="163" spans="1:4" x14ac:dyDescent="0.25">
      <c r="C163" s="49" t="s">
        <v>47</v>
      </c>
      <c r="D163" s="57" t="str">
        <f>IFERROR(VLOOKUP(D160,'Prob PRB Summary Data'!A:AG,9,FALSE),"")</f>
        <v/>
      </c>
    </row>
    <row r="164" spans="1:4" x14ac:dyDescent="0.25">
      <c r="C164" s="49" t="s">
        <v>110</v>
      </c>
      <c r="D164" s="159" t="str">
        <f>IFERROR(VLOOKUP(D160,'Prob PRB Summary Data'!A:AG,32,FALSE),"")</f>
        <v/>
      </c>
    </row>
    <row r="165" spans="1:4" ht="30" x14ac:dyDescent="0.25">
      <c r="C165" s="49" t="s">
        <v>48</v>
      </c>
      <c r="D165" s="56" t="str">
        <f>IFERROR(VLOOKUP(D160,'Prob PRB Summary Data'!A:AG,24,FALSE),"")&amp;CHAR(10)</f>
        <v xml:space="preserve">
</v>
      </c>
    </row>
    <row r="166" spans="1:4" x14ac:dyDescent="0.25">
      <c r="C166" s="49" t="s">
        <v>82</v>
      </c>
      <c r="D166" s="56" t="str">
        <f>IFERROR(VLOOKUP(D160,'Prob PRB Summary Data'!A:AG,31,FALSE),"")</f>
        <v/>
      </c>
    </row>
    <row r="167" spans="1:4" x14ac:dyDescent="0.25">
      <c r="C167" s="49" t="s">
        <v>81</v>
      </c>
      <c r="D167" s="56" t="str">
        <f>IFERROR(VLOOKUP(D160,'Prob PRB Summary Data'!A:AG,16,FALSE),"")</f>
        <v/>
      </c>
    </row>
    <row r="168" spans="1:4" ht="30" x14ac:dyDescent="0.25">
      <c r="C168" s="49" t="s">
        <v>49</v>
      </c>
      <c r="D168" s="56" t="str">
        <f>IFERROR(VLOOKUP(D160,'Prob PRB Summary Data'!A:AG,25,FALSE),"")&amp;CHAR(10)</f>
        <v xml:space="preserve">
</v>
      </c>
    </row>
    <row r="169" spans="1:4" ht="30.75" thickBot="1" x14ac:dyDescent="0.3">
      <c r="C169" s="51" t="s">
        <v>50</v>
      </c>
      <c r="D169" s="52" t="str">
        <f>IFERROR(VLOOKUP(D160,'Prob PRB Summary Data'!A:AG,26,FALSE),"")&amp;CHAR(10)</f>
        <v xml:space="preserve">
</v>
      </c>
    </row>
    <row r="170" spans="1:4" ht="15.75" thickBot="1" x14ac:dyDescent="0.3">
      <c r="C170" s="53"/>
      <c r="D170" s="54"/>
    </row>
    <row r="171" spans="1:4" x14ac:dyDescent="0.25">
      <c r="A171" s="175" t="str">
        <f>IF(D171&lt;&gt;"","Comp","Blank")</f>
        <v>Blank</v>
      </c>
      <c r="C171" s="45" t="s">
        <v>84</v>
      </c>
      <c r="D171" s="55" t="str">
        <f>IF('Prob PRB Summary Data'!A17&lt;&gt;"",('Prob PRB Summary Data'!A17),"")</f>
        <v/>
      </c>
    </row>
    <row r="172" spans="1:4" x14ac:dyDescent="0.25">
      <c r="C172" s="47" t="s">
        <v>85</v>
      </c>
      <c r="D172" s="48" t="str">
        <f>IFERROR(VLOOKUP(D171,'Prob PRB Summary Data'!A:AG,8,FALSE),"")</f>
        <v/>
      </c>
    </row>
    <row r="173" spans="1:4" x14ac:dyDescent="0.25">
      <c r="C173" s="49" t="s">
        <v>46</v>
      </c>
      <c r="D173" s="56" t="str">
        <f>IFERROR(VLOOKUP(D171,'Prob PRB Summary Data'!A:AG,5,FALSE),"")</f>
        <v/>
      </c>
    </row>
    <row r="174" spans="1:4" x14ac:dyDescent="0.25">
      <c r="C174" s="49" t="s">
        <v>47</v>
      </c>
      <c r="D174" s="57" t="str">
        <f>IFERROR(VLOOKUP(D171,'Prob PRB Summary Data'!A:AG,9,FALSE),"")</f>
        <v/>
      </c>
    </row>
    <row r="175" spans="1:4" x14ac:dyDescent="0.25">
      <c r="C175" s="49" t="s">
        <v>110</v>
      </c>
      <c r="D175" s="159" t="str">
        <f>IFERROR(VLOOKUP(D171,'Prob PRB Summary Data'!A:AG,32,FALSE),"")</f>
        <v/>
      </c>
    </row>
    <row r="176" spans="1:4" ht="30" x14ac:dyDescent="0.25">
      <c r="C176" s="49" t="s">
        <v>48</v>
      </c>
      <c r="D176" s="56" t="str">
        <f>IFERROR(VLOOKUP(D171,'Prob PRB Summary Data'!A:AG,24,FALSE),"")&amp;CHAR(10)</f>
        <v xml:space="preserve">
</v>
      </c>
    </row>
    <row r="177" spans="1:4" x14ac:dyDescent="0.25">
      <c r="C177" s="49" t="s">
        <v>82</v>
      </c>
      <c r="D177" s="56" t="str">
        <f>IFERROR(VLOOKUP(D171,'Prob PRB Summary Data'!A:AG,31,FALSE),"")</f>
        <v/>
      </c>
    </row>
    <row r="178" spans="1:4" x14ac:dyDescent="0.25">
      <c r="C178" s="49" t="s">
        <v>81</v>
      </c>
      <c r="D178" s="56" t="str">
        <f>IFERROR(VLOOKUP(D171,'Prob PRB Summary Data'!A:AG,16,FALSE),"")</f>
        <v/>
      </c>
    </row>
    <row r="179" spans="1:4" ht="30" x14ac:dyDescent="0.25">
      <c r="C179" s="49" t="s">
        <v>49</v>
      </c>
      <c r="D179" s="56" t="str">
        <f>IFERROR(VLOOKUP(D171,'Prob PRB Summary Data'!A:AG,25,FALSE),"")&amp;CHAR(10)</f>
        <v xml:space="preserve">
</v>
      </c>
    </row>
    <row r="180" spans="1:4" ht="30.75" thickBot="1" x14ac:dyDescent="0.3">
      <c r="C180" s="51" t="s">
        <v>50</v>
      </c>
      <c r="D180" s="52" t="str">
        <f>IFERROR(VLOOKUP(D171,'Prob PRB Summary Data'!A:AG,26,FALSE),"")&amp;CHAR(10)</f>
        <v xml:space="preserve">
</v>
      </c>
    </row>
    <row r="181" spans="1:4" ht="15.75" thickBot="1" x14ac:dyDescent="0.3">
      <c r="C181" s="53"/>
      <c r="D181" s="54"/>
    </row>
    <row r="182" spans="1:4" x14ac:dyDescent="0.25">
      <c r="A182" s="175" t="str">
        <f>IF(D182&lt;&gt;"","Comp","Blank")</f>
        <v>Blank</v>
      </c>
      <c r="C182" s="45" t="s">
        <v>84</v>
      </c>
      <c r="D182" s="55" t="str">
        <f>IF('Prob PRB Summary Data'!A18&lt;&gt;"",('Prob PRB Summary Data'!A18),"")</f>
        <v/>
      </c>
    </row>
    <row r="183" spans="1:4" x14ac:dyDescent="0.25">
      <c r="C183" s="47" t="s">
        <v>85</v>
      </c>
      <c r="D183" s="48" t="str">
        <f>IFERROR(VLOOKUP(D182,'Prob PRB Summary Data'!A:AG,8,FALSE),"")</f>
        <v/>
      </c>
    </row>
    <row r="184" spans="1:4" x14ac:dyDescent="0.25">
      <c r="C184" s="49" t="s">
        <v>46</v>
      </c>
      <c r="D184" s="56" t="str">
        <f>IFERROR(VLOOKUP(D182,'Prob PRB Summary Data'!A:AG,5,FALSE),"")</f>
        <v/>
      </c>
    </row>
    <row r="185" spans="1:4" x14ac:dyDescent="0.25">
      <c r="C185" s="49" t="s">
        <v>47</v>
      </c>
      <c r="D185" s="57" t="str">
        <f>IFERROR(VLOOKUP(D182,'Prob PRB Summary Data'!A:AG,9,FALSE),"")</f>
        <v/>
      </c>
    </row>
    <row r="186" spans="1:4" x14ac:dyDescent="0.25">
      <c r="C186" s="49" t="s">
        <v>110</v>
      </c>
      <c r="D186" s="159" t="str">
        <f>IFERROR(VLOOKUP(D182,'Prob PRB Summary Data'!A:AG,32,FALSE),"")</f>
        <v/>
      </c>
    </row>
    <row r="187" spans="1:4" ht="30" x14ac:dyDescent="0.25">
      <c r="C187" s="49" t="s">
        <v>48</v>
      </c>
      <c r="D187" s="56" t="str">
        <f>IFERROR(VLOOKUP(D182,'Prob PRB Summary Data'!A:AG,24,FALSE),"")&amp;CHAR(10)</f>
        <v xml:space="preserve">
</v>
      </c>
    </row>
    <row r="188" spans="1:4" x14ac:dyDescent="0.25">
      <c r="C188" s="49" t="s">
        <v>82</v>
      </c>
      <c r="D188" s="56" t="str">
        <f>IFERROR(VLOOKUP(D182,'Prob PRB Summary Data'!A:AG,31,FALSE),"")</f>
        <v/>
      </c>
    </row>
    <row r="189" spans="1:4" x14ac:dyDescent="0.25">
      <c r="C189" s="49" t="s">
        <v>81</v>
      </c>
      <c r="D189" s="56" t="str">
        <f>IFERROR(VLOOKUP(D182,'Prob PRB Summary Data'!A:AG,16,FALSE),"")</f>
        <v/>
      </c>
    </row>
    <row r="190" spans="1:4" ht="30" x14ac:dyDescent="0.25">
      <c r="C190" s="49" t="s">
        <v>49</v>
      </c>
      <c r="D190" s="56" t="str">
        <f>IFERROR(VLOOKUP(D182,'Prob PRB Summary Data'!A:AG,25,FALSE),"")&amp;CHAR(10)</f>
        <v xml:space="preserve">
</v>
      </c>
    </row>
    <row r="191" spans="1:4" ht="30.75" thickBot="1" x14ac:dyDescent="0.3">
      <c r="C191" s="51" t="s">
        <v>50</v>
      </c>
      <c r="D191" s="52" t="str">
        <f>IFERROR(VLOOKUP(D182,'Prob PRB Summary Data'!A:AG,26,FALSE),"")&amp;CHAR(10)</f>
        <v xml:space="preserve">
</v>
      </c>
    </row>
    <row r="192" spans="1:4" ht="15.75" thickBot="1" x14ac:dyDescent="0.3">
      <c r="C192" s="53"/>
      <c r="D192" s="54"/>
    </row>
    <row r="193" spans="1:4" x14ac:dyDescent="0.25">
      <c r="A193" s="175" t="str">
        <f>IF(D193&lt;&gt;"","Comp","Blank")</f>
        <v>Blank</v>
      </c>
      <c r="C193" s="45" t="s">
        <v>84</v>
      </c>
      <c r="D193" s="55" t="str">
        <f>IF('Prob PRB Summary Data'!A19&lt;&gt;"",('Prob PRB Summary Data'!A19),"")</f>
        <v/>
      </c>
    </row>
    <row r="194" spans="1:4" x14ac:dyDescent="0.25">
      <c r="C194" s="47" t="s">
        <v>85</v>
      </c>
      <c r="D194" s="48" t="str">
        <f>IFERROR(VLOOKUP(D193,'Prob PRB Summary Data'!A:AG,8,FALSE),"")</f>
        <v/>
      </c>
    </row>
    <row r="195" spans="1:4" x14ac:dyDescent="0.25">
      <c r="C195" s="49" t="s">
        <v>46</v>
      </c>
      <c r="D195" s="56" t="str">
        <f>IFERROR(VLOOKUP(D193,'Prob PRB Summary Data'!A:AG,5,FALSE),"")</f>
        <v/>
      </c>
    </row>
    <row r="196" spans="1:4" x14ac:dyDescent="0.25">
      <c r="C196" s="49" t="s">
        <v>47</v>
      </c>
      <c r="D196" s="57" t="str">
        <f>IFERROR(VLOOKUP(D193,'Prob PRB Summary Data'!A:AG,9,FALSE),"")</f>
        <v/>
      </c>
    </row>
    <row r="197" spans="1:4" x14ac:dyDescent="0.25">
      <c r="C197" s="49" t="s">
        <v>110</v>
      </c>
      <c r="D197" s="159" t="str">
        <f>IFERROR(VLOOKUP(D193,'Prob PRB Summary Data'!A:AG,32,FALSE),"")</f>
        <v/>
      </c>
    </row>
    <row r="198" spans="1:4" ht="30" x14ac:dyDescent="0.25">
      <c r="C198" s="49" t="s">
        <v>48</v>
      </c>
      <c r="D198" s="56" t="str">
        <f>IFERROR(VLOOKUP(D193,'Prob PRB Summary Data'!A:AG,24,FALSE),"")&amp;CHAR(10)</f>
        <v xml:space="preserve">
</v>
      </c>
    </row>
    <row r="199" spans="1:4" x14ac:dyDescent="0.25">
      <c r="C199" s="49" t="s">
        <v>82</v>
      </c>
      <c r="D199" s="56" t="str">
        <f>IFERROR(VLOOKUP(D193,'Prob PRB Summary Data'!A:AG,31,FALSE),"")</f>
        <v/>
      </c>
    </row>
    <row r="200" spans="1:4" x14ac:dyDescent="0.25">
      <c r="C200" s="49" t="s">
        <v>81</v>
      </c>
      <c r="D200" s="56" t="str">
        <f>IFERROR(VLOOKUP(D193,'Prob PRB Summary Data'!A:AG,16,FALSE),"")</f>
        <v/>
      </c>
    </row>
    <row r="201" spans="1:4" ht="30" x14ac:dyDescent="0.25">
      <c r="C201" s="49" t="s">
        <v>49</v>
      </c>
      <c r="D201" s="56" t="str">
        <f>IFERROR(VLOOKUP(D193,'Prob PRB Summary Data'!A:AG,25,FALSE),"")&amp;CHAR(10)</f>
        <v xml:space="preserve">
</v>
      </c>
    </row>
    <row r="202" spans="1:4" ht="30.75" thickBot="1" x14ac:dyDescent="0.3">
      <c r="C202" s="51" t="s">
        <v>50</v>
      </c>
      <c r="D202" s="52" t="str">
        <f>IFERROR(VLOOKUP(D193,'Prob PRB Summary Data'!A:AG,26,FALSE),"")&amp;CHAR(10)</f>
        <v xml:space="preserve">
</v>
      </c>
    </row>
    <row r="203" spans="1:4" ht="15.75" thickBot="1" x14ac:dyDescent="0.3">
      <c r="C203" s="53"/>
      <c r="D203" s="54"/>
    </row>
    <row r="204" spans="1:4" x14ac:dyDescent="0.25">
      <c r="A204" s="175" t="str">
        <f>IF(D204&lt;&gt;"","Comp","Blank")</f>
        <v>Blank</v>
      </c>
      <c r="C204" s="45" t="s">
        <v>84</v>
      </c>
      <c r="D204" s="55" t="str">
        <f>IF('Prob PRB Summary Data'!A20&lt;&gt;"",('Prob PRB Summary Data'!A20),"")</f>
        <v/>
      </c>
    </row>
    <row r="205" spans="1:4" x14ac:dyDescent="0.25">
      <c r="C205" s="47" t="s">
        <v>85</v>
      </c>
      <c r="D205" s="48" t="str">
        <f>IFERROR(VLOOKUP(D204,'Prob PRB Summary Data'!A:AG,8,FALSE),"")</f>
        <v/>
      </c>
    </row>
    <row r="206" spans="1:4" x14ac:dyDescent="0.25">
      <c r="C206" s="49" t="s">
        <v>46</v>
      </c>
      <c r="D206" s="56" t="str">
        <f>IFERROR(VLOOKUP(D204,'Prob PRB Summary Data'!A:AG,5,FALSE),"")</f>
        <v/>
      </c>
    </row>
    <row r="207" spans="1:4" x14ac:dyDescent="0.25">
      <c r="C207" s="49" t="s">
        <v>47</v>
      </c>
      <c r="D207" s="57" t="str">
        <f>IFERROR(VLOOKUP(D204,'Prob PRB Summary Data'!A:AG,9,FALSE),"")</f>
        <v/>
      </c>
    </row>
    <row r="208" spans="1:4" x14ac:dyDescent="0.25">
      <c r="C208" s="49" t="s">
        <v>110</v>
      </c>
      <c r="D208" s="159" t="str">
        <f>IFERROR(VLOOKUP(D204,'Prob PRB Summary Data'!A:AG,32,FALSE),"")</f>
        <v/>
      </c>
    </row>
    <row r="209" spans="1:4" ht="30" x14ac:dyDescent="0.25">
      <c r="C209" s="49" t="s">
        <v>48</v>
      </c>
      <c r="D209" s="56" t="str">
        <f>IFERROR(VLOOKUP(D204,'Prob PRB Summary Data'!A:AG,24,FALSE),"")&amp;CHAR(10)</f>
        <v xml:space="preserve">
</v>
      </c>
    </row>
    <row r="210" spans="1:4" x14ac:dyDescent="0.25">
      <c r="C210" s="49" t="s">
        <v>82</v>
      </c>
      <c r="D210" s="56" t="str">
        <f>IFERROR(VLOOKUP(D204,'Prob PRB Summary Data'!A:AG,31,FALSE),"")</f>
        <v/>
      </c>
    </row>
    <row r="211" spans="1:4" x14ac:dyDescent="0.25">
      <c r="C211" s="49" t="s">
        <v>81</v>
      </c>
      <c r="D211" s="56" t="str">
        <f>IFERROR(VLOOKUP(D204,'Prob PRB Summary Data'!A:AG,16,FALSE),"")</f>
        <v/>
      </c>
    </row>
    <row r="212" spans="1:4" ht="30" x14ac:dyDescent="0.25">
      <c r="C212" s="49" t="s">
        <v>49</v>
      </c>
      <c r="D212" s="56" t="str">
        <f>IFERROR(VLOOKUP(D204,'Prob PRB Summary Data'!A:AG,25,FALSE),"")&amp;CHAR(10)</f>
        <v xml:space="preserve">
</v>
      </c>
    </row>
    <row r="213" spans="1:4" ht="30.75" thickBot="1" x14ac:dyDescent="0.3">
      <c r="C213" s="51" t="s">
        <v>50</v>
      </c>
      <c r="D213" s="52" t="str">
        <f>IFERROR(VLOOKUP(D204,'Prob PRB Summary Data'!A:AG,26,FALSE),"")&amp;CHAR(10)</f>
        <v xml:space="preserve">
</v>
      </c>
    </row>
    <row r="214" spans="1:4" ht="15.75" thickBot="1" x14ac:dyDescent="0.3">
      <c r="C214" s="53"/>
      <c r="D214" s="54"/>
    </row>
    <row r="215" spans="1:4" x14ac:dyDescent="0.25">
      <c r="A215" s="175" t="str">
        <f>IF(D215&lt;&gt;"","Comp","Blank")</f>
        <v>Blank</v>
      </c>
      <c r="C215" s="45" t="s">
        <v>84</v>
      </c>
      <c r="D215" s="55" t="str">
        <f>IF('Prob PRB Summary Data'!A21&lt;&gt;"",('Prob PRB Summary Data'!A21),"")</f>
        <v/>
      </c>
    </row>
    <row r="216" spans="1:4" x14ac:dyDescent="0.25">
      <c r="C216" s="47" t="s">
        <v>85</v>
      </c>
      <c r="D216" s="48" t="str">
        <f>IFERROR(VLOOKUP(D215,'Prob PRB Summary Data'!A:AG,8,FALSE),"")</f>
        <v/>
      </c>
    </row>
    <row r="217" spans="1:4" x14ac:dyDescent="0.25">
      <c r="C217" s="49" t="s">
        <v>46</v>
      </c>
      <c r="D217" s="56" t="str">
        <f>IFERROR(VLOOKUP(D215,'Prob PRB Summary Data'!A:AG,5,FALSE),"")</f>
        <v/>
      </c>
    </row>
    <row r="218" spans="1:4" x14ac:dyDescent="0.25">
      <c r="C218" s="49" t="s">
        <v>47</v>
      </c>
      <c r="D218" s="57" t="str">
        <f>IFERROR(VLOOKUP(D215,'Prob PRB Summary Data'!A:AG,9,FALSE),"")</f>
        <v/>
      </c>
    </row>
    <row r="219" spans="1:4" x14ac:dyDescent="0.25">
      <c r="C219" s="49" t="s">
        <v>110</v>
      </c>
      <c r="D219" s="159" t="str">
        <f>IFERROR(VLOOKUP(D215,'Prob PRB Summary Data'!A:AG,32,FALSE),"")</f>
        <v/>
      </c>
    </row>
    <row r="220" spans="1:4" ht="30" x14ac:dyDescent="0.25">
      <c r="C220" s="49" t="s">
        <v>48</v>
      </c>
      <c r="D220" s="56" t="str">
        <f>IFERROR(VLOOKUP(D215,'Prob PRB Summary Data'!A:AG,24,FALSE),"")&amp;CHAR(10)</f>
        <v xml:space="preserve">
</v>
      </c>
    </row>
    <row r="221" spans="1:4" x14ac:dyDescent="0.25">
      <c r="C221" s="49" t="s">
        <v>82</v>
      </c>
      <c r="D221" s="56" t="str">
        <f>IFERROR(VLOOKUP(D215,'Prob PRB Summary Data'!A:AG,31,FALSE),"")</f>
        <v/>
      </c>
    </row>
    <row r="222" spans="1:4" x14ac:dyDescent="0.25">
      <c r="C222" s="49" t="s">
        <v>81</v>
      </c>
      <c r="D222" s="56" t="str">
        <f>IFERROR(VLOOKUP(D215,'Prob PRB Summary Data'!A:AG,16,FALSE),"")</f>
        <v/>
      </c>
    </row>
    <row r="223" spans="1:4" ht="30" x14ac:dyDescent="0.25">
      <c r="C223" s="49" t="s">
        <v>49</v>
      </c>
      <c r="D223" s="56" t="str">
        <f>IFERROR(VLOOKUP(D215,'Prob PRB Summary Data'!A:AG,25,FALSE),"")&amp;CHAR(10)</f>
        <v xml:space="preserve">
</v>
      </c>
    </row>
    <row r="224" spans="1:4" ht="30.75" thickBot="1" x14ac:dyDescent="0.3">
      <c r="C224" s="51" t="s">
        <v>50</v>
      </c>
      <c r="D224" s="52" t="str">
        <f>IFERROR(VLOOKUP(D215,'Prob PRB Summary Data'!A:AG,26,FALSE),"")&amp;CHAR(10)</f>
        <v xml:space="preserve">
</v>
      </c>
    </row>
    <row r="225" spans="1:4" ht="15.75" thickBot="1" x14ac:dyDescent="0.3">
      <c r="C225" s="53"/>
      <c r="D225" s="54"/>
    </row>
    <row r="226" spans="1:4" x14ac:dyDescent="0.25">
      <c r="A226" s="175" t="str">
        <f>IF(D226&lt;&gt;"","Comp","Blank")</f>
        <v>Blank</v>
      </c>
      <c r="C226" s="45" t="s">
        <v>84</v>
      </c>
      <c r="D226" s="55" t="str">
        <f>IF('Prob PRB Summary Data'!A22&lt;&gt;"",('Prob PRB Summary Data'!A22),"")</f>
        <v/>
      </c>
    </row>
    <row r="227" spans="1:4" x14ac:dyDescent="0.25">
      <c r="C227" s="47" t="s">
        <v>85</v>
      </c>
      <c r="D227" s="48" t="str">
        <f>IFERROR(VLOOKUP(D226,'Prob PRB Summary Data'!A:AG,8,FALSE),"")</f>
        <v/>
      </c>
    </row>
    <row r="228" spans="1:4" x14ac:dyDescent="0.25">
      <c r="C228" s="49" t="s">
        <v>46</v>
      </c>
      <c r="D228" s="56" t="str">
        <f>IFERROR(VLOOKUP(D226,'Prob PRB Summary Data'!A:AG,5,FALSE),"")</f>
        <v/>
      </c>
    </row>
    <row r="229" spans="1:4" x14ac:dyDescent="0.25">
      <c r="C229" s="49" t="s">
        <v>47</v>
      </c>
      <c r="D229" s="57" t="str">
        <f>IFERROR(VLOOKUP(D226,'Prob PRB Summary Data'!A:AG,9,FALSE),"")</f>
        <v/>
      </c>
    </row>
    <row r="230" spans="1:4" x14ac:dyDescent="0.25">
      <c r="C230" s="49" t="s">
        <v>110</v>
      </c>
      <c r="D230" s="159" t="str">
        <f>IFERROR(VLOOKUP(D226,'Prob PRB Summary Data'!A:AG,32,FALSE),"")</f>
        <v/>
      </c>
    </row>
    <row r="231" spans="1:4" ht="30" x14ac:dyDescent="0.25">
      <c r="C231" s="49" t="s">
        <v>48</v>
      </c>
      <c r="D231" s="56" t="str">
        <f>IFERROR(VLOOKUP(D226,'Prob PRB Summary Data'!A:AG,24,FALSE),"")&amp;CHAR(10)</f>
        <v xml:space="preserve">
</v>
      </c>
    </row>
    <row r="232" spans="1:4" x14ac:dyDescent="0.25">
      <c r="C232" s="49" t="s">
        <v>82</v>
      </c>
      <c r="D232" s="56" t="str">
        <f>IFERROR(VLOOKUP(D226,'Prob PRB Summary Data'!A:AG,31,FALSE),"")</f>
        <v/>
      </c>
    </row>
    <row r="233" spans="1:4" x14ac:dyDescent="0.25">
      <c r="C233" s="49" t="s">
        <v>81</v>
      </c>
      <c r="D233" s="56" t="str">
        <f>IFERROR(VLOOKUP(D226,'Prob PRB Summary Data'!A:AG,16,FALSE),"")</f>
        <v/>
      </c>
    </row>
    <row r="234" spans="1:4" ht="30" x14ac:dyDescent="0.25">
      <c r="C234" s="49" t="s">
        <v>49</v>
      </c>
      <c r="D234" s="56" t="str">
        <f>IFERROR(VLOOKUP(D226,'Prob PRB Summary Data'!A:AG,25,FALSE),"")&amp;CHAR(10)</f>
        <v xml:space="preserve">
</v>
      </c>
    </row>
    <row r="235" spans="1:4" ht="30.75" thickBot="1" x14ac:dyDescent="0.3">
      <c r="C235" s="51" t="s">
        <v>50</v>
      </c>
      <c r="D235" s="52" t="str">
        <f>IFERROR(VLOOKUP(D226,'Prob PRB Summary Data'!A:AG,26,FALSE),"")&amp;CHAR(10)</f>
        <v xml:space="preserve">
</v>
      </c>
    </row>
    <row r="236" spans="1:4" ht="15.75" thickBot="1" x14ac:dyDescent="0.3">
      <c r="C236" s="53"/>
      <c r="D236" s="54"/>
    </row>
    <row r="237" spans="1:4" x14ac:dyDescent="0.25">
      <c r="A237" s="175" t="str">
        <f>IF(D237&lt;&gt;"","Comp","Blank")</f>
        <v>Blank</v>
      </c>
      <c r="C237" s="45" t="s">
        <v>84</v>
      </c>
      <c r="D237" s="55" t="str">
        <f>IF('Prob PRB Summary Data'!A23&lt;&gt;"",('Prob PRB Summary Data'!A23),"")</f>
        <v/>
      </c>
    </row>
    <row r="238" spans="1:4" x14ac:dyDescent="0.25">
      <c r="C238" s="47" t="s">
        <v>85</v>
      </c>
      <c r="D238" s="48" t="str">
        <f>IFERROR(VLOOKUP(D237,'Prob PRB Summary Data'!A:AG,8,FALSE),"")</f>
        <v/>
      </c>
    </row>
    <row r="239" spans="1:4" x14ac:dyDescent="0.25">
      <c r="C239" s="49" t="s">
        <v>46</v>
      </c>
      <c r="D239" s="56" t="str">
        <f>IFERROR(VLOOKUP(D237,'Prob PRB Summary Data'!A:AG,5,FALSE),"")</f>
        <v/>
      </c>
    </row>
    <row r="240" spans="1:4" x14ac:dyDescent="0.25">
      <c r="C240" s="49" t="s">
        <v>47</v>
      </c>
      <c r="D240" s="57" t="str">
        <f>IFERROR(VLOOKUP(D237,'Prob PRB Summary Data'!A:AG,9,FALSE),"")</f>
        <v/>
      </c>
    </row>
    <row r="241" spans="1:4" x14ac:dyDescent="0.25">
      <c r="C241" s="49" t="s">
        <v>110</v>
      </c>
      <c r="D241" s="159" t="str">
        <f>IFERROR(VLOOKUP(D237,'Prob PRB Summary Data'!A:AG,32,FALSE),"")</f>
        <v/>
      </c>
    </row>
    <row r="242" spans="1:4" ht="30" x14ac:dyDescent="0.25">
      <c r="C242" s="49" t="s">
        <v>48</v>
      </c>
      <c r="D242" s="56" t="str">
        <f>IFERROR(VLOOKUP(D237,'Prob PRB Summary Data'!A:AG,24,FALSE),"")&amp;CHAR(10)</f>
        <v xml:space="preserve">
</v>
      </c>
    </row>
    <row r="243" spans="1:4" x14ac:dyDescent="0.25">
      <c r="C243" s="49" t="s">
        <v>82</v>
      </c>
      <c r="D243" s="56" t="str">
        <f>IFERROR(VLOOKUP(D237,'Prob PRB Summary Data'!A:AG,31,FALSE),"")</f>
        <v/>
      </c>
    </row>
    <row r="244" spans="1:4" x14ac:dyDescent="0.25">
      <c r="C244" s="49" t="s">
        <v>81</v>
      </c>
      <c r="D244" s="56" t="str">
        <f>IFERROR(VLOOKUP(D237,'Prob PRB Summary Data'!A:AG,16,FALSE),"")</f>
        <v/>
      </c>
    </row>
    <row r="245" spans="1:4" ht="30" x14ac:dyDescent="0.25">
      <c r="C245" s="49" t="s">
        <v>49</v>
      </c>
      <c r="D245" s="56" t="str">
        <f>IFERROR(VLOOKUP(D237,'Prob PRB Summary Data'!A:AG,25,FALSE),"")&amp;CHAR(10)</f>
        <v xml:space="preserve">
</v>
      </c>
    </row>
    <row r="246" spans="1:4" ht="30.75" thickBot="1" x14ac:dyDescent="0.3">
      <c r="C246" s="51" t="s">
        <v>50</v>
      </c>
      <c r="D246" s="52" t="str">
        <f>IFERROR(VLOOKUP(D237,'Prob PRB Summary Data'!A:AG,26,FALSE),"")&amp;CHAR(10)</f>
        <v xml:space="preserve">
</v>
      </c>
    </row>
    <row r="247" spans="1:4" ht="15.75" thickBot="1" x14ac:dyDescent="0.3">
      <c r="C247" s="53"/>
      <c r="D247" s="54"/>
    </row>
    <row r="248" spans="1:4" x14ac:dyDescent="0.25">
      <c r="A248" s="175" t="str">
        <f>IF(D248&lt;&gt;"","Comp","Blank")</f>
        <v>Blank</v>
      </c>
      <c r="C248" s="45" t="s">
        <v>84</v>
      </c>
      <c r="D248" s="55" t="str">
        <f>IF('Prob PRB Summary Data'!A24&lt;&gt;"",('Prob PRB Summary Data'!A24),"")</f>
        <v/>
      </c>
    </row>
    <row r="249" spans="1:4" x14ac:dyDescent="0.25">
      <c r="C249" s="47" t="s">
        <v>85</v>
      </c>
      <c r="D249" s="48" t="str">
        <f>IFERROR(VLOOKUP(D248,'Prob PRB Summary Data'!A:AG,8,FALSE),"")</f>
        <v/>
      </c>
    </row>
    <row r="250" spans="1:4" x14ac:dyDescent="0.25">
      <c r="C250" s="49" t="s">
        <v>46</v>
      </c>
      <c r="D250" s="56" t="str">
        <f>IFERROR(VLOOKUP(D248,'Prob PRB Summary Data'!A:AG,5,FALSE),"")</f>
        <v/>
      </c>
    </row>
    <row r="251" spans="1:4" x14ac:dyDescent="0.25">
      <c r="C251" s="49" t="s">
        <v>47</v>
      </c>
      <c r="D251" s="57" t="str">
        <f>IFERROR(VLOOKUP(D248,'Prob PRB Summary Data'!A:AG,9,FALSE),"")</f>
        <v/>
      </c>
    </row>
    <row r="252" spans="1:4" x14ac:dyDescent="0.25">
      <c r="C252" s="49" t="s">
        <v>110</v>
      </c>
      <c r="D252" s="159" t="str">
        <f>IFERROR(VLOOKUP(D248,'Prob PRB Summary Data'!A:AG,32,FALSE),"")</f>
        <v/>
      </c>
    </row>
    <row r="253" spans="1:4" ht="30" x14ac:dyDescent="0.25">
      <c r="C253" s="49" t="s">
        <v>48</v>
      </c>
      <c r="D253" s="56" t="str">
        <f>IFERROR(VLOOKUP(D248,'Prob PRB Summary Data'!A:AG,24,FALSE),"")&amp;CHAR(10)</f>
        <v xml:space="preserve">
</v>
      </c>
    </row>
    <row r="254" spans="1:4" x14ac:dyDescent="0.25">
      <c r="C254" s="49" t="s">
        <v>82</v>
      </c>
      <c r="D254" s="56" t="str">
        <f>IFERROR(VLOOKUP(D248,'Prob PRB Summary Data'!A:AG,31,FALSE),"")</f>
        <v/>
      </c>
    </row>
    <row r="255" spans="1:4" x14ac:dyDescent="0.25">
      <c r="C255" s="49" t="s">
        <v>81</v>
      </c>
      <c r="D255" s="56" t="str">
        <f>IFERROR(VLOOKUP(D248,'Prob PRB Summary Data'!A:AG,16,FALSE),"")</f>
        <v/>
      </c>
    </row>
    <row r="256" spans="1:4" ht="30" x14ac:dyDescent="0.25">
      <c r="C256" s="49" t="s">
        <v>49</v>
      </c>
      <c r="D256" s="56" t="str">
        <f>IFERROR(VLOOKUP(D248,'Prob PRB Summary Data'!A:AG,25,FALSE),"")&amp;CHAR(10)</f>
        <v xml:space="preserve">
</v>
      </c>
    </row>
    <row r="257" spans="1:4" ht="30.75" thickBot="1" x14ac:dyDescent="0.3">
      <c r="C257" s="51" t="s">
        <v>50</v>
      </c>
      <c r="D257" s="52" t="str">
        <f>IFERROR(VLOOKUP(D248,'Prob PRB Summary Data'!A:AG,26,FALSE),"")&amp;CHAR(10)</f>
        <v xml:space="preserve">
</v>
      </c>
    </row>
    <row r="258" spans="1:4" ht="15.75" thickBot="1" x14ac:dyDescent="0.3">
      <c r="C258" s="53"/>
      <c r="D258" s="54"/>
    </row>
    <row r="259" spans="1:4" x14ac:dyDescent="0.25">
      <c r="A259" s="175" t="str">
        <f>IF(D259&lt;&gt;"","Comp","Blank")</f>
        <v>Blank</v>
      </c>
      <c r="C259" s="45" t="s">
        <v>84</v>
      </c>
      <c r="D259" s="55" t="str">
        <f>IF('Prob PRB Summary Data'!A25&lt;&gt;"",('Prob PRB Summary Data'!A25),"")</f>
        <v/>
      </c>
    </row>
    <row r="260" spans="1:4" x14ac:dyDescent="0.25">
      <c r="C260" s="47" t="s">
        <v>85</v>
      </c>
      <c r="D260" s="48" t="str">
        <f>IFERROR(VLOOKUP(D259,'Prob PRB Summary Data'!A:AG,8,FALSE),"")</f>
        <v/>
      </c>
    </row>
    <row r="261" spans="1:4" x14ac:dyDescent="0.25">
      <c r="C261" s="49" t="s">
        <v>46</v>
      </c>
      <c r="D261" s="56" t="str">
        <f>IFERROR(VLOOKUP(D259,'Prob PRB Summary Data'!A:AG,5,FALSE),"")</f>
        <v/>
      </c>
    </row>
    <row r="262" spans="1:4" x14ac:dyDescent="0.25">
      <c r="C262" s="49" t="s">
        <v>47</v>
      </c>
      <c r="D262" s="57" t="str">
        <f>IFERROR(VLOOKUP(D259,'Prob PRB Summary Data'!A:AG,9,FALSE),"")</f>
        <v/>
      </c>
    </row>
    <row r="263" spans="1:4" x14ac:dyDescent="0.25">
      <c r="C263" s="49" t="s">
        <v>110</v>
      </c>
      <c r="D263" s="159" t="str">
        <f>IFERROR(VLOOKUP(D259,'Prob PRB Summary Data'!A:AG,32,FALSE),"")</f>
        <v/>
      </c>
    </row>
    <row r="264" spans="1:4" ht="30" x14ac:dyDescent="0.25">
      <c r="C264" s="49" t="s">
        <v>48</v>
      </c>
      <c r="D264" s="56" t="str">
        <f>IFERROR(VLOOKUP(D259,'Prob PRB Summary Data'!A:AG,24,FALSE),"")&amp;CHAR(10)</f>
        <v xml:space="preserve">
</v>
      </c>
    </row>
    <row r="265" spans="1:4" x14ac:dyDescent="0.25">
      <c r="C265" s="49" t="s">
        <v>82</v>
      </c>
      <c r="D265" s="56" t="str">
        <f>IFERROR(VLOOKUP(D259,'Prob PRB Summary Data'!A:AG,31,FALSE),"")</f>
        <v/>
      </c>
    </row>
    <row r="266" spans="1:4" x14ac:dyDescent="0.25">
      <c r="C266" s="49" t="s">
        <v>81</v>
      </c>
      <c r="D266" s="56" t="str">
        <f>IFERROR(VLOOKUP(D259,'Prob PRB Summary Data'!A:AG,16,FALSE),"")</f>
        <v/>
      </c>
    </row>
    <row r="267" spans="1:4" ht="30" x14ac:dyDescent="0.25">
      <c r="C267" s="49" t="s">
        <v>49</v>
      </c>
      <c r="D267" s="56" t="str">
        <f>IFERROR(VLOOKUP(D259,'Prob PRB Summary Data'!A:AG,25,FALSE),"")&amp;CHAR(10)</f>
        <v xml:space="preserve">
</v>
      </c>
    </row>
    <row r="268" spans="1:4" ht="30.75" thickBot="1" x14ac:dyDescent="0.3">
      <c r="C268" s="51" t="s">
        <v>50</v>
      </c>
      <c r="D268" s="52" t="str">
        <f>IFERROR(VLOOKUP(D259,'Prob PRB Summary Data'!A:AG,26,FALSE),"")&amp;CHAR(10)</f>
        <v xml:space="preserve">
</v>
      </c>
    </row>
    <row r="269" spans="1:4" ht="15.75" thickBot="1" x14ac:dyDescent="0.3">
      <c r="C269" s="53"/>
      <c r="D269" s="54"/>
    </row>
    <row r="270" spans="1:4" x14ac:dyDescent="0.25">
      <c r="A270" s="175" t="str">
        <f>IF(D270&lt;&gt;"","Comp","Blank")</f>
        <v>Blank</v>
      </c>
      <c r="C270" s="45" t="s">
        <v>84</v>
      </c>
      <c r="D270" s="55" t="str">
        <f>IF('Prob PRB Summary Data'!A26&lt;&gt;"",('Prob PRB Summary Data'!A26),"")</f>
        <v/>
      </c>
    </row>
    <row r="271" spans="1:4" x14ac:dyDescent="0.25">
      <c r="C271" s="47" t="s">
        <v>85</v>
      </c>
      <c r="D271" s="48" t="str">
        <f>IFERROR(VLOOKUP(D270,'Prob PRB Summary Data'!A:AG,8,FALSE),"")</f>
        <v/>
      </c>
    </row>
    <row r="272" spans="1:4" x14ac:dyDescent="0.25">
      <c r="C272" s="49" t="s">
        <v>46</v>
      </c>
      <c r="D272" s="56" t="str">
        <f>IFERROR(VLOOKUP(D270,'Prob PRB Summary Data'!A:AG,5,FALSE),"")</f>
        <v/>
      </c>
    </row>
    <row r="273" spans="1:4" x14ac:dyDescent="0.25">
      <c r="C273" s="49" t="s">
        <v>47</v>
      </c>
      <c r="D273" s="57" t="str">
        <f>IFERROR(VLOOKUP(D270,'Prob PRB Summary Data'!A:AG,9,FALSE),"")</f>
        <v/>
      </c>
    </row>
    <row r="274" spans="1:4" x14ac:dyDescent="0.25">
      <c r="C274" s="49" t="s">
        <v>110</v>
      </c>
      <c r="D274" s="159" t="str">
        <f>IFERROR(VLOOKUP(D270,'Prob PRB Summary Data'!A:AG,32,FALSE),"")</f>
        <v/>
      </c>
    </row>
    <row r="275" spans="1:4" ht="30" x14ac:dyDescent="0.25">
      <c r="C275" s="49" t="s">
        <v>48</v>
      </c>
      <c r="D275" s="56" t="str">
        <f>IFERROR(VLOOKUP(D270,'Prob PRB Summary Data'!A:AG,24,FALSE),"")&amp;CHAR(10)</f>
        <v xml:space="preserve">
</v>
      </c>
    </row>
    <row r="276" spans="1:4" x14ac:dyDescent="0.25">
      <c r="C276" s="49" t="s">
        <v>82</v>
      </c>
      <c r="D276" s="56" t="str">
        <f>IFERROR(VLOOKUP(D270,'Prob PRB Summary Data'!A:AG,31,FALSE),"")</f>
        <v/>
      </c>
    </row>
    <row r="277" spans="1:4" x14ac:dyDescent="0.25">
      <c r="C277" s="49" t="s">
        <v>81</v>
      </c>
      <c r="D277" s="56" t="str">
        <f>IFERROR(VLOOKUP(D270,'Prob PRB Summary Data'!A:AG,16,FALSE),"")</f>
        <v/>
      </c>
    </row>
    <row r="278" spans="1:4" ht="30" x14ac:dyDescent="0.25">
      <c r="C278" s="49" t="s">
        <v>49</v>
      </c>
      <c r="D278" s="56" t="str">
        <f>IFERROR(VLOOKUP(D270,'Prob PRB Summary Data'!A:AG,25,FALSE),"")&amp;CHAR(10)</f>
        <v xml:space="preserve">
</v>
      </c>
    </row>
    <row r="279" spans="1:4" ht="30.75" thickBot="1" x14ac:dyDescent="0.3">
      <c r="C279" s="51" t="s">
        <v>50</v>
      </c>
      <c r="D279" s="52" t="str">
        <f>IFERROR(VLOOKUP(D270,'Prob PRB Summary Data'!A:AG,26,FALSE),"")&amp;CHAR(10)</f>
        <v xml:space="preserve">
</v>
      </c>
    </row>
    <row r="280" spans="1:4" ht="15.75" thickBot="1" x14ac:dyDescent="0.3">
      <c r="C280" s="53"/>
      <c r="D280" s="54"/>
    </row>
    <row r="281" spans="1:4" x14ac:dyDescent="0.25">
      <c r="A281" s="175" t="str">
        <f>IF(D281&lt;&gt;"","Comp","Blank")</f>
        <v>Blank</v>
      </c>
      <c r="C281" s="45" t="s">
        <v>84</v>
      </c>
      <c r="D281" s="55" t="str">
        <f>IF('Prob PRB Summary Data'!A27&lt;&gt;"",('Prob PRB Summary Data'!A27),"")</f>
        <v/>
      </c>
    </row>
    <row r="282" spans="1:4" x14ac:dyDescent="0.25">
      <c r="C282" s="47" t="s">
        <v>85</v>
      </c>
      <c r="D282" s="48" t="str">
        <f>IFERROR(VLOOKUP(D281,'Prob PRB Summary Data'!A:AG,8,FALSE),"")</f>
        <v/>
      </c>
    </row>
    <row r="283" spans="1:4" x14ac:dyDescent="0.25">
      <c r="C283" s="49" t="s">
        <v>46</v>
      </c>
      <c r="D283" s="56" t="str">
        <f>IFERROR(VLOOKUP(D281,'Prob PRB Summary Data'!A:AG,5,FALSE),"")</f>
        <v/>
      </c>
    </row>
    <row r="284" spans="1:4" x14ac:dyDescent="0.25">
      <c r="C284" s="49" t="s">
        <v>47</v>
      </c>
      <c r="D284" s="57" t="str">
        <f>IFERROR(VLOOKUP(D281,'Prob PRB Summary Data'!A:AG,9,FALSE),"")</f>
        <v/>
      </c>
    </row>
    <row r="285" spans="1:4" x14ac:dyDescent="0.25">
      <c r="C285" s="49" t="s">
        <v>110</v>
      </c>
      <c r="D285" s="159" t="str">
        <f>IFERROR(VLOOKUP(D281,'Prob PRB Summary Data'!A:AG,32,FALSE),"")</f>
        <v/>
      </c>
    </row>
    <row r="286" spans="1:4" ht="30" x14ac:dyDescent="0.25">
      <c r="C286" s="49" t="s">
        <v>48</v>
      </c>
      <c r="D286" s="56" t="str">
        <f>IFERROR(VLOOKUP(D281,'Prob PRB Summary Data'!A:AG,24,FALSE),"")&amp;CHAR(10)</f>
        <v xml:space="preserve">
</v>
      </c>
    </row>
    <row r="287" spans="1:4" x14ac:dyDescent="0.25">
      <c r="C287" s="49" t="s">
        <v>82</v>
      </c>
      <c r="D287" s="56" t="str">
        <f>IFERROR(VLOOKUP(D281,'Prob PRB Summary Data'!A:AG,31,FALSE),"")</f>
        <v/>
      </c>
    </row>
    <row r="288" spans="1:4" x14ac:dyDescent="0.25">
      <c r="C288" s="49" t="s">
        <v>81</v>
      </c>
      <c r="D288" s="56" t="str">
        <f>IFERROR(VLOOKUP(D281,'Prob PRB Summary Data'!A:AG,16,FALSE),"")</f>
        <v/>
      </c>
    </row>
    <row r="289" spans="1:4" ht="30" x14ac:dyDescent="0.25">
      <c r="C289" s="49" t="s">
        <v>49</v>
      </c>
      <c r="D289" s="56" t="str">
        <f>IFERROR(VLOOKUP(D281,'Prob PRB Summary Data'!A:AG,25,FALSE),"")&amp;CHAR(10)</f>
        <v xml:space="preserve">
</v>
      </c>
    </row>
    <row r="290" spans="1:4" ht="30.75" thickBot="1" x14ac:dyDescent="0.3">
      <c r="C290" s="51" t="s">
        <v>50</v>
      </c>
      <c r="D290" s="52" t="str">
        <f>IFERROR(VLOOKUP(D281,'Prob PRB Summary Data'!A:AG,26,FALSE),"")&amp;CHAR(10)</f>
        <v xml:space="preserve">
</v>
      </c>
    </row>
    <row r="291" spans="1:4" ht="15.75" thickBot="1" x14ac:dyDescent="0.3">
      <c r="C291" s="53"/>
      <c r="D291" s="54"/>
    </row>
    <row r="292" spans="1:4" x14ac:dyDescent="0.25">
      <c r="A292" s="175" t="str">
        <f>IF(D292&lt;&gt;"","Comp","Blank")</f>
        <v>Blank</v>
      </c>
      <c r="C292" s="45" t="s">
        <v>84</v>
      </c>
      <c r="D292" s="55" t="str">
        <f>IF('Prob PRB Summary Data'!A28&lt;&gt;"",('Prob PRB Summary Data'!A28),"")</f>
        <v/>
      </c>
    </row>
    <row r="293" spans="1:4" x14ac:dyDescent="0.25">
      <c r="C293" s="47" t="s">
        <v>85</v>
      </c>
      <c r="D293" s="48" t="str">
        <f>IFERROR(VLOOKUP(D292,'Prob PRB Summary Data'!A:AG,8,FALSE),"")</f>
        <v/>
      </c>
    </row>
    <row r="294" spans="1:4" x14ac:dyDescent="0.25">
      <c r="C294" s="49" t="s">
        <v>46</v>
      </c>
      <c r="D294" s="56" t="str">
        <f>IFERROR(VLOOKUP(D292,'Prob PRB Summary Data'!A:AG,5,FALSE),"")</f>
        <v/>
      </c>
    </row>
    <row r="295" spans="1:4" x14ac:dyDescent="0.25">
      <c r="C295" s="49" t="s">
        <v>47</v>
      </c>
      <c r="D295" s="57" t="str">
        <f>IFERROR(VLOOKUP(D292,'Prob PRB Summary Data'!A:AG,9,FALSE),"")</f>
        <v/>
      </c>
    </row>
    <row r="296" spans="1:4" x14ac:dyDescent="0.25">
      <c r="C296" s="49" t="s">
        <v>110</v>
      </c>
      <c r="D296" s="159" t="str">
        <f>IFERROR(VLOOKUP(D292,'Prob PRB Summary Data'!A:AG,32,FALSE),"")</f>
        <v/>
      </c>
    </row>
    <row r="297" spans="1:4" ht="30" x14ac:dyDescent="0.25">
      <c r="C297" s="49" t="s">
        <v>48</v>
      </c>
      <c r="D297" s="56" t="str">
        <f>IFERROR(VLOOKUP(D292,'Prob PRB Summary Data'!A:AG,24,FALSE),"")&amp;CHAR(10)</f>
        <v xml:space="preserve">
</v>
      </c>
    </row>
    <row r="298" spans="1:4" x14ac:dyDescent="0.25">
      <c r="C298" s="49" t="s">
        <v>82</v>
      </c>
      <c r="D298" s="56" t="str">
        <f>IFERROR(VLOOKUP(D292,'Prob PRB Summary Data'!A:AG,31,FALSE),"")</f>
        <v/>
      </c>
    </row>
    <row r="299" spans="1:4" x14ac:dyDescent="0.25">
      <c r="C299" s="49" t="s">
        <v>81</v>
      </c>
      <c r="D299" s="56" t="str">
        <f>IFERROR(VLOOKUP(D292,'Prob PRB Summary Data'!A:AG,16,FALSE),"")</f>
        <v/>
      </c>
    </row>
    <row r="300" spans="1:4" ht="30" x14ac:dyDescent="0.25">
      <c r="C300" s="49" t="s">
        <v>49</v>
      </c>
      <c r="D300" s="56" t="str">
        <f>IFERROR(VLOOKUP(D292,'Prob PRB Summary Data'!A:AG,25,FALSE),"")&amp;CHAR(10)</f>
        <v xml:space="preserve">
</v>
      </c>
    </row>
    <row r="301" spans="1:4" ht="30.75" thickBot="1" x14ac:dyDescent="0.3">
      <c r="C301" s="51" t="s">
        <v>50</v>
      </c>
      <c r="D301" s="52" t="str">
        <f>IFERROR(VLOOKUP(D292,'Prob PRB Summary Data'!A:AG,26,FALSE),"")&amp;CHAR(10)</f>
        <v xml:space="preserve">
</v>
      </c>
    </row>
    <row r="302" spans="1:4" ht="15.75" thickBot="1" x14ac:dyDescent="0.3">
      <c r="C302" s="53"/>
      <c r="D302" s="54"/>
    </row>
    <row r="303" spans="1:4" x14ac:dyDescent="0.25">
      <c r="A303" s="175" t="str">
        <f>IF(D303&lt;&gt;"","Comp","Blank")</f>
        <v>Blank</v>
      </c>
      <c r="C303" s="45" t="s">
        <v>84</v>
      </c>
      <c r="D303" s="55" t="str">
        <f>IF('Prob PRB Summary Data'!A29&lt;&gt;"",('Prob PRB Summary Data'!A29),"")</f>
        <v/>
      </c>
    </row>
    <row r="304" spans="1:4" x14ac:dyDescent="0.25">
      <c r="C304" s="47" t="s">
        <v>85</v>
      </c>
      <c r="D304" s="48" t="str">
        <f>IFERROR(VLOOKUP(D303,'Prob PRB Summary Data'!A:AG,8,FALSE),"")</f>
        <v/>
      </c>
    </row>
    <row r="305" spans="1:4" x14ac:dyDescent="0.25">
      <c r="C305" s="49" t="s">
        <v>46</v>
      </c>
      <c r="D305" s="56" t="str">
        <f>IFERROR(VLOOKUP(D303,'Prob PRB Summary Data'!A:AG,5,FALSE),"")</f>
        <v/>
      </c>
    </row>
    <row r="306" spans="1:4" x14ac:dyDescent="0.25">
      <c r="C306" s="49" t="s">
        <v>47</v>
      </c>
      <c r="D306" s="57" t="str">
        <f>IFERROR(VLOOKUP(D303,'Prob PRB Summary Data'!A:AG,9,FALSE),"")</f>
        <v/>
      </c>
    </row>
    <row r="307" spans="1:4" x14ac:dyDescent="0.25">
      <c r="C307" s="49" t="s">
        <v>110</v>
      </c>
      <c r="D307" s="159" t="str">
        <f>IFERROR(VLOOKUP(D303,'Prob PRB Summary Data'!A:AG,32,FALSE),"")</f>
        <v/>
      </c>
    </row>
    <row r="308" spans="1:4" ht="30" x14ac:dyDescent="0.25">
      <c r="C308" s="49" t="s">
        <v>48</v>
      </c>
      <c r="D308" s="56" t="str">
        <f>IFERROR(VLOOKUP(D303,'Prob PRB Summary Data'!A:AG,24,FALSE),"")&amp;CHAR(10)</f>
        <v xml:space="preserve">
</v>
      </c>
    </row>
    <row r="309" spans="1:4" x14ac:dyDescent="0.25">
      <c r="C309" s="49" t="s">
        <v>82</v>
      </c>
      <c r="D309" s="56" t="str">
        <f>IFERROR(VLOOKUP(D303,'Prob PRB Summary Data'!A:AG,31,FALSE),"")</f>
        <v/>
      </c>
    </row>
    <row r="310" spans="1:4" x14ac:dyDescent="0.25">
      <c r="C310" s="49" t="s">
        <v>81</v>
      </c>
      <c r="D310" s="56" t="str">
        <f>IFERROR(VLOOKUP(D303,'Prob PRB Summary Data'!A:AG,16,FALSE),"")</f>
        <v/>
      </c>
    </row>
    <row r="311" spans="1:4" ht="30" x14ac:dyDescent="0.25">
      <c r="C311" s="49" t="s">
        <v>49</v>
      </c>
      <c r="D311" s="56" t="str">
        <f>IFERROR(VLOOKUP(D303,'Prob PRB Summary Data'!A:AG,25,FALSE),"")&amp;CHAR(10)</f>
        <v xml:space="preserve">
</v>
      </c>
    </row>
    <row r="312" spans="1:4" ht="30.75" thickBot="1" x14ac:dyDescent="0.3">
      <c r="C312" s="51" t="s">
        <v>50</v>
      </c>
      <c r="D312" s="52" t="str">
        <f>IFERROR(VLOOKUP(D303,'Prob PRB Summary Data'!A:AG,26,FALSE),"")&amp;CHAR(10)</f>
        <v xml:space="preserve">
</v>
      </c>
    </row>
    <row r="313" spans="1:4" ht="15.75" thickBot="1" x14ac:dyDescent="0.3">
      <c r="C313" s="53"/>
      <c r="D313" s="54"/>
    </row>
    <row r="314" spans="1:4" x14ac:dyDescent="0.25">
      <c r="A314" s="175" t="str">
        <f>IF(D314&lt;&gt;"","Comp","Blank")</f>
        <v>Blank</v>
      </c>
      <c r="C314" s="45" t="s">
        <v>84</v>
      </c>
      <c r="D314" s="55" t="str">
        <f>IF('Prob PRB Summary Data'!A30&lt;&gt;"",('Prob PRB Summary Data'!A30),"")</f>
        <v/>
      </c>
    </row>
    <row r="315" spans="1:4" x14ac:dyDescent="0.25">
      <c r="C315" s="47" t="s">
        <v>85</v>
      </c>
      <c r="D315" s="48" t="str">
        <f>IFERROR(VLOOKUP(D314,'Prob PRB Summary Data'!A:AG,8,FALSE),"")</f>
        <v/>
      </c>
    </row>
    <row r="316" spans="1:4" x14ac:dyDescent="0.25">
      <c r="C316" s="49" t="s">
        <v>46</v>
      </c>
      <c r="D316" s="56" t="str">
        <f>IFERROR(VLOOKUP(D314,'Prob PRB Summary Data'!A:AG,5,FALSE),"")</f>
        <v/>
      </c>
    </row>
    <row r="317" spans="1:4" x14ac:dyDescent="0.25">
      <c r="C317" s="49" t="s">
        <v>47</v>
      </c>
      <c r="D317" s="57" t="str">
        <f>IFERROR(VLOOKUP(D314,'Prob PRB Summary Data'!A:AG,9,FALSE),"")</f>
        <v/>
      </c>
    </row>
    <row r="318" spans="1:4" x14ac:dyDescent="0.25">
      <c r="C318" s="49" t="s">
        <v>110</v>
      </c>
      <c r="D318" s="159" t="str">
        <f>IFERROR(VLOOKUP(D314,'Prob PRB Summary Data'!A:AG,32,FALSE),"")</f>
        <v/>
      </c>
    </row>
    <row r="319" spans="1:4" ht="30" x14ac:dyDescent="0.25">
      <c r="C319" s="49" t="s">
        <v>48</v>
      </c>
      <c r="D319" s="56" t="str">
        <f>IFERROR(VLOOKUP(D314,'Prob PRB Summary Data'!A:AG,24,FALSE),"")&amp;CHAR(10)</f>
        <v xml:space="preserve">
</v>
      </c>
    </row>
    <row r="320" spans="1:4" x14ac:dyDescent="0.25">
      <c r="C320" s="49" t="s">
        <v>82</v>
      </c>
      <c r="D320" s="56" t="str">
        <f>IFERROR(VLOOKUP(D314,'Prob PRB Summary Data'!A:AG,31,FALSE),"")</f>
        <v/>
      </c>
    </row>
    <row r="321" spans="1:4" x14ac:dyDescent="0.25">
      <c r="C321" s="49" t="s">
        <v>81</v>
      </c>
      <c r="D321" s="56" t="str">
        <f>IFERROR(VLOOKUP(D314,'Prob PRB Summary Data'!A:AG,16,FALSE),"")</f>
        <v/>
      </c>
    </row>
    <row r="322" spans="1:4" ht="30" x14ac:dyDescent="0.25">
      <c r="C322" s="49" t="s">
        <v>49</v>
      </c>
      <c r="D322" s="56" t="str">
        <f>IFERROR(VLOOKUP(D314,'Prob PRB Summary Data'!A:AG,25,FALSE),"")&amp;CHAR(10)</f>
        <v xml:space="preserve">
</v>
      </c>
    </row>
    <row r="323" spans="1:4" ht="30.75" thickBot="1" x14ac:dyDescent="0.3">
      <c r="C323" s="51" t="s">
        <v>50</v>
      </c>
      <c r="D323" s="52" t="str">
        <f>IFERROR(VLOOKUP(D314,'Prob PRB Summary Data'!A:AG,26,FALSE),"")&amp;CHAR(10)</f>
        <v xml:space="preserve">
</v>
      </c>
    </row>
    <row r="324" spans="1:4" ht="15.75" thickBot="1" x14ac:dyDescent="0.3">
      <c r="C324" s="53"/>
      <c r="D324" s="54"/>
    </row>
    <row r="325" spans="1:4" x14ac:dyDescent="0.25">
      <c r="A325" s="175" t="str">
        <f>IF(D325&lt;&gt;"","Comp","Blank")</f>
        <v>Blank</v>
      </c>
      <c r="C325" s="45" t="s">
        <v>84</v>
      </c>
      <c r="D325" s="55" t="str">
        <f>IF('Prob PRB Summary Data'!A31&lt;&gt;"",('Prob PRB Summary Data'!A31),"")</f>
        <v/>
      </c>
    </row>
    <row r="326" spans="1:4" x14ac:dyDescent="0.25">
      <c r="C326" s="47" t="s">
        <v>85</v>
      </c>
      <c r="D326" s="48" t="str">
        <f>IFERROR(VLOOKUP(D325,'Prob PRB Summary Data'!A:AG,8,FALSE),"")</f>
        <v/>
      </c>
    </row>
    <row r="327" spans="1:4" x14ac:dyDescent="0.25">
      <c r="C327" s="49" t="s">
        <v>46</v>
      </c>
      <c r="D327" s="56" t="str">
        <f>IFERROR(VLOOKUP(D325,'Prob PRB Summary Data'!A:AG,5,FALSE),"")</f>
        <v/>
      </c>
    </row>
    <row r="328" spans="1:4" x14ac:dyDescent="0.25">
      <c r="C328" s="49" t="s">
        <v>47</v>
      </c>
      <c r="D328" s="57" t="str">
        <f>IFERROR(VLOOKUP(D325,'Prob PRB Summary Data'!A:AG,9,FALSE),"")</f>
        <v/>
      </c>
    </row>
    <row r="329" spans="1:4" x14ac:dyDescent="0.25">
      <c r="C329" s="49" t="s">
        <v>110</v>
      </c>
      <c r="D329" s="159" t="str">
        <f>IFERROR(VLOOKUP(D325,'Prob PRB Summary Data'!A:AG,32,FALSE),"")</f>
        <v/>
      </c>
    </row>
    <row r="330" spans="1:4" ht="30" x14ac:dyDescent="0.25">
      <c r="C330" s="49" t="s">
        <v>48</v>
      </c>
      <c r="D330" s="56" t="str">
        <f>IFERROR(VLOOKUP(D325,'Prob PRB Summary Data'!A:AG,24,FALSE),"")&amp;CHAR(10)</f>
        <v xml:space="preserve">
</v>
      </c>
    </row>
    <row r="331" spans="1:4" x14ac:dyDescent="0.25">
      <c r="C331" s="49" t="s">
        <v>82</v>
      </c>
      <c r="D331" s="56" t="str">
        <f>IFERROR(VLOOKUP(D325,'Prob PRB Summary Data'!A:AG,31,FALSE),"")</f>
        <v/>
      </c>
    </row>
    <row r="332" spans="1:4" x14ac:dyDescent="0.25">
      <c r="C332" s="49" t="s">
        <v>81</v>
      </c>
      <c r="D332" s="56" t="str">
        <f>IFERROR(VLOOKUP(D325,'Prob PRB Summary Data'!A:AG,16,FALSE),"")</f>
        <v/>
      </c>
    </row>
    <row r="333" spans="1:4" ht="30" x14ac:dyDescent="0.25">
      <c r="C333" s="49" t="s">
        <v>49</v>
      </c>
      <c r="D333" s="56" t="str">
        <f>IFERROR(VLOOKUP(D325,'Prob PRB Summary Data'!A:AG,25,FALSE),"")&amp;CHAR(10)</f>
        <v xml:space="preserve">
</v>
      </c>
    </row>
    <row r="334" spans="1:4" ht="30.75" thickBot="1" x14ac:dyDescent="0.3">
      <c r="C334" s="51" t="s">
        <v>50</v>
      </c>
      <c r="D334" s="52" t="str">
        <f>IFERROR(VLOOKUP(D325,'Prob PRB Summary Data'!A:AG,26,FALSE),"")&amp;CHAR(10)</f>
        <v xml:space="preserve">
</v>
      </c>
    </row>
    <row r="335" spans="1:4" ht="15.75" thickBot="1" x14ac:dyDescent="0.3">
      <c r="C335" s="53"/>
      <c r="D335" s="54"/>
    </row>
    <row r="336" spans="1:4" x14ac:dyDescent="0.25">
      <c r="A336" s="175" t="str">
        <f>IF(D336&lt;&gt;"","Comp","Blank")</f>
        <v>Blank</v>
      </c>
      <c r="C336" s="45" t="s">
        <v>84</v>
      </c>
      <c r="D336" s="55" t="str">
        <f>IF('Prob PRB Summary Data'!A32&lt;&gt;"",('Prob PRB Summary Data'!A32),"")</f>
        <v/>
      </c>
    </row>
    <row r="337" spans="1:4" x14ac:dyDescent="0.25">
      <c r="C337" s="47" t="s">
        <v>85</v>
      </c>
      <c r="D337" s="48" t="str">
        <f>IFERROR(VLOOKUP(D336,'Prob PRB Summary Data'!A:AG,8,FALSE),"")</f>
        <v/>
      </c>
    </row>
    <row r="338" spans="1:4" x14ac:dyDescent="0.25">
      <c r="C338" s="49" t="s">
        <v>46</v>
      </c>
      <c r="D338" s="56" t="str">
        <f>IFERROR(VLOOKUP(D336,'Prob PRB Summary Data'!A:AG,5,FALSE),"")</f>
        <v/>
      </c>
    </row>
    <row r="339" spans="1:4" x14ac:dyDescent="0.25">
      <c r="C339" s="49" t="s">
        <v>47</v>
      </c>
      <c r="D339" s="57" t="str">
        <f>IFERROR(VLOOKUP(D336,'Prob PRB Summary Data'!A:AG,9,FALSE),"")</f>
        <v/>
      </c>
    </row>
    <row r="340" spans="1:4" x14ac:dyDescent="0.25">
      <c r="C340" s="49" t="s">
        <v>110</v>
      </c>
      <c r="D340" s="159" t="str">
        <f>IFERROR(VLOOKUP(D336,'Prob PRB Summary Data'!A:AG,32,FALSE),"")</f>
        <v/>
      </c>
    </row>
    <row r="341" spans="1:4" ht="30" x14ac:dyDescent="0.25">
      <c r="C341" s="49" t="s">
        <v>48</v>
      </c>
      <c r="D341" s="56" t="str">
        <f>IFERROR(VLOOKUP(D336,'Prob PRB Summary Data'!A:AG,24,FALSE),"")&amp;CHAR(10)</f>
        <v xml:space="preserve">
</v>
      </c>
    </row>
    <row r="342" spans="1:4" x14ac:dyDescent="0.25">
      <c r="C342" s="49" t="s">
        <v>82</v>
      </c>
      <c r="D342" s="56" t="str">
        <f>IFERROR(VLOOKUP(D336,'Prob PRB Summary Data'!A:AG,31,FALSE),"")</f>
        <v/>
      </c>
    </row>
    <row r="343" spans="1:4" x14ac:dyDescent="0.25">
      <c r="C343" s="49" t="s">
        <v>81</v>
      </c>
      <c r="D343" s="56" t="str">
        <f>IFERROR(VLOOKUP(D336,'Prob PRB Summary Data'!A:AG,16,FALSE),"")</f>
        <v/>
      </c>
    </row>
    <row r="344" spans="1:4" ht="30" x14ac:dyDescent="0.25">
      <c r="C344" s="49" t="s">
        <v>49</v>
      </c>
      <c r="D344" s="56" t="str">
        <f>IFERROR(VLOOKUP(D336,'Prob PRB Summary Data'!A:AG,25,FALSE),"")&amp;CHAR(10)</f>
        <v xml:space="preserve">
</v>
      </c>
    </row>
    <row r="345" spans="1:4" ht="30.75" thickBot="1" x14ac:dyDescent="0.3">
      <c r="C345" s="51" t="s">
        <v>50</v>
      </c>
      <c r="D345" s="52" t="str">
        <f>IFERROR(VLOOKUP(D336,'Prob PRB Summary Data'!A:AG,26,FALSE),"")&amp;CHAR(10)</f>
        <v xml:space="preserve">
</v>
      </c>
    </row>
    <row r="346" spans="1:4" ht="15.75" thickBot="1" x14ac:dyDescent="0.3">
      <c r="C346" s="53"/>
      <c r="D346" s="54"/>
    </row>
    <row r="347" spans="1:4" x14ac:dyDescent="0.25">
      <c r="A347" s="175" t="str">
        <f>IF(D347&lt;&gt;"","Comp","Blank")</f>
        <v>Blank</v>
      </c>
      <c r="C347" s="45" t="s">
        <v>84</v>
      </c>
      <c r="D347" s="55" t="str">
        <f>IF('Prob PRB Summary Data'!A33&lt;&gt;"",('Prob PRB Summary Data'!A33),"")</f>
        <v/>
      </c>
    </row>
    <row r="348" spans="1:4" x14ac:dyDescent="0.25">
      <c r="C348" s="47" t="s">
        <v>85</v>
      </c>
      <c r="D348" s="48" t="str">
        <f>IFERROR(VLOOKUP(D347,'Prob PRB Summary Data'!A:AG,8,FALSE),"")</f>
        <v/>
      </c>
    </row>
    <row r="349" spans="1:4" x14ac:dyDescent="0.25">
      <c r="C349" s="49" t="s">
        <v>46</v>
      </c>
      <c r="D349" s="56" t="str">
        <f>IFERROR(VLOOKUP(D347,'Prob PRB Summary Data'!A:AG,5,FALSE),"")</f>
        <v/>
      </c>
    </row>
    <row r="350" spans="1:4" x14ac:dyDescent="0.25">
      <c r="C350" s="49" t="s">
        <v>47</v>
      </c>
      <c r="D350" s="57" t="str">
        <f>IFERROR(VLOOKUP(D347,'Prob PRB Summary Data'!A:AG,9,FALSE),"")</f>
        <v/>
      </c>
    </row>
    <row r="351" spans="1:4" x14ac:dyDescent="0.25">
      <c r="C351" s="49" t="s">
        <v>110</v>
      </c>
      <c r="D351" s="159" t="str">
        <f>IFERROR(VLOOKUP(D347,'Prob PRB Summary Data'!A:AG,32,FALSE),"")</f>
        <v/>
      </c>
    </row>
    <row r="352" spans="1:4" ht="30" x14ac:dyDescent="0.25">
      <c r="C352" s="49" t="s">
        <v>48</v>
      </c>
      <c r="D352" s="56" t="str">
        <f>IFERROR(VLOOKUP(D347,'Prob PRB Summary Data'!A:AG,24,FALSE),"")&amp;CHAR(10)</f>
        <v xml:space="preserve">
</v>
      </c>
    </row>
    <row r="353" spans="1:4" x14ac:dyDescent="0.25">
      <c r="C353" s="49" t="s">
        <v>82</v>
      </c>
      <c r="D353" s="56" t="str">
        <f>IFERROR(VLOOKUP(D347,'Prob PRB Summary Data'!A:AG,31,FALSE),"")</f>
        <v/>
      </c>
    </row>
    <row r="354" spans="1:4" x14ac:dyDescent="0.25">
      <c r="C354" s="49" t="s">
        <v>81</v>
      </c>
      <c r="D354" s="56" t="str">
        <f>IFERROR(VLOOKUP(D347,'Prob PRB Summary Data'!A:AG,16,FALSE),"")</f>
        <v/>
      </c>
    </row>
    <row r="355" spans="1:4" ht="30" x14ac:dyDescent="0.25">
      <c r="C355" s="49" t="s">
        <v>49</v>
      </c>
      <c r="D355" s="56" t="str">
        <f>IFERROR(VLOOKUP(D347,'Prob PRB Summary Data'!A:AG,25,FALSE),"")&amp;CHAR(10)</f>
        <v xml:space="preserve">
</v>
      </c>
    </row>
    <row r="356" spans="1:4" ht="30.75" thickBot="1" x14ac:dyDescent="0.3">
      <c r="C356" s="51" t="s">
        <v>50</v>
      </c>
      <c r="D356" s="52" t="str">
        <f>IFERROR(VLOOKUP(D347,'Prob PRB Summary Data'!A:AG,26,FALSE),"")&amp;CHAR(10)</f>
        <v xml:space="preserve">
</v>
      </c>
    </row>
    <row r="357" spans="1:4" ht="15.75" thickBot="1" x14ac:dyDescent="0.3">
      <c r="C357" s="53"/>
      <c r="D357" s="54"/>
    </row>
    <row r="358" spans="1:4" x14ac:dyDescent="0.25">
      <c r="A358" s="175" t="str">
        <f>IF(D358&lt;&gt;"","Comp","Blank")</f>
        <v>Blank</v>
      </c>
      <c r="C358" s="45" t="s">
        <v>84</v>
      </c>
      <c r="D358" s="55" t="str">
        <f>IF('Prob PRB Summary Data'!A34&lt;&gt;"",('Prob PRB Summary Data'!A34),"")</f>
        <v/>
      </c>
    </row>
    <row r="359" spans="1:4" x14ac:dyDescent="0.25">
      <c r="C359" s="47" t="s">
        <v>85</v>
      </c>
      <c r="D359" s="48" t="str">
        <f>IFERROR(VLOOKUP(D358,'Prob PRB Summary Data'!A:AG,8,FALSE),"")</f>
        <v/>
      </c>
    </row>
    <row r="360" spans="1:4" x14ac:dyDescent="0.25">
      <c r="C360" s="49" t="s">
        <v>46</v>
      </c>
      <c r="D360" s="56" t="str">
        <f>IFERROR(VLOOKUP(D358,'Prob PRB Summary Data'!A:AG,5,FALSE),"")</f>
        <v/>
      </c>
    </row>
    <row r="361" spans="1:4" x14ac:dyDescent="0.25">
      <c r="C361" s="49" t="s">
        <v>47</v>
      </c>
      <c r="D361" s="57" t="str">
        <f>IFERROR(VLOOKUP(D358,'Prob PRB Summary Data'!A:AG,9,FALSE),"")</f>
        <v/>
      </c>
    </row>
    <row r="362" spans="1:4" x14ac:dyDescent="0.25">
      <c r="C362" s="49" t="s">
        <v>110</v>
      </c>
      <c r="D362" s="159" t="str">
        <f>IFERROR(VLOOKUP(D358,'Prob PRB Summary Data'!A:AG,32,FALSE),"")</f>
        <v/>
      </c>
    </row>
    <row r="363" spans="1:4" ht="30" x14ac:dyDescent="0.25">
      <c r="C363" s="49" t="s">
        <v>48</v>
      </c>
      <c r="D363" s="56" t="str">
        <f>IFERROR(VLOOKUP(D358,'Prob PRB Summary Data'!A:AG,24,FALSE),"")&amp;CHAR(10)</f>
        <v xml:space="preserve">
</v>
      </c>
    </row>
    <row r="364" spans="1:4" x14ac:dyDescent="0.25">
      <c r="C364" s="49" t="s">
        <v>82</v>
      </c>
      <c r="D364" s="56" t="str">
        <f>IFERROR(VLOOKUP(D358,'Prob PRB Summary Data'!A:AG,31,FALSE),"")</f>
        <v/>
      </c>
    </row>
    <row r="365" spans="1:4" x14ac:dyDescent="0.25">
      <c r="C365" s="49" t="s">
        <v>81</v>
      </c>
      <c r="D365" s="56" t="str">
        <f>IFERROR(VLOOKUP(D358,'Prob PRB Summary Data'!A:AG,16,FALSE),"")</f>
        <v/>
      </c>
    </row>
    <row r="366" spans="1:4" ht="30" x14ac:dyDescent="0.25">
      <c r="C366" s="49" t="s">
        <v>49</v>
      </c>
      <c r="D366" s="56" t="str">
        <f>IFERROR(VLOOKUP(D358,'Prob PRB Summary Data'!A:AG,25,FALSE),"")&amp;CHAR(10)</f>
        <v xml:space="preserve">
</v>
      </c>
    </row>
    <row r="367" spans="1:4" ht="30.75" thickBot="1" x14ac:dyDescent="0.3">
      <c r="C367" s="51" t="s">
        <v>50</v>
      </c>
      <c r="D367" s="52" t="str">
        <f>IFERROR(VLOOKUP(D358,'Prob PRB Summary Data'!A:AG,26,FALSE),"")&amp;CHAR(10)</f>
        <v xml:space="preserve">
</v>
      </c>
    </row>
    <row r="368" spans="1:4" ht="15.75" thickBot="1" x14ac:dyDescent="0.3">
      <c r="C368" s="53"/>
      <c r="D368" s="54"/>
    </row>
    <row r="369" spans="1:4" x14ac:dyDescent="0.25">
      <c r="A369" s="175" t="str">
        <f>IF(D369&lt;&gt;"","Comp","Blank")</f>
        <v>Blank</v>
      </c>
      <c r="C369" s="45" t="s">
        <v>84</v>
      </c>
      <c r="D369" s="55" t="str">
        <f>IF('Prob PRB Summary Data'!A35&lt;&gt;"",('Prob PRB Summary Data'!A35),"")</f>
        <v/>
      </c>
    </row>
    <row r="370" spans="1:4" x14ac:dyDescent="0.25">
      <c r="C370" s="47" t="s">
        <v>85</v>
      </c>
      <c r="D370" s="48" t="str">
        <f>IFERROR(VLOOKUP(D369,'Prob PRB Summary Data'!A:AG,8,FALSE),"")</f>
        <v/>
      </c>
    </row>
    <row r="371" spans="1:4" x14ac:dyDescent="0.25">
      <c r="C371" s="49" t="s">
        <v>46</v>
      </c>
      <c r="D371" s="56" t="str">
        <f>IFERROR(VLOOKUP(D369,'Prob PRB Summary Data'!A:AG,5,FALSE),"")</f>
        <v/>
      </c>
    </row>
    <row r="372" spans="1:4" x14ac:dyDescent="0.25">
      <c r="C372" s="49" t="s">
        <v>47</v>
      </c>
      <c r="D372" s="57" t="str">
        <f>IFERROR(VLOOKUP(D369,'Prob PRB Summary Data'!A:AG,9,FALSE),"")</f>
        <v/>
      </c>
    </row>
    <row r="373" spans="1:4" x14ac:dyDescent="0.25">
      <c r="C373" s="49" t="s">
        <v>110</v>
      </c>
      <c r="D373" s="159" t="str">
        <f>IFERROR(VLOOKUP(D369,'Prob PRB Summary Data'!A:AG,32,FALSE),"")</f>
        <v/>
      </c>
    </row>
    <row r="374" spans="1:4" ht="30" x14ac:dyDescent="0.25">
      <c r="C374" s="49" t="s">
        <v>48</v>
      </c>
      <c r="D374" s="56" t="str">
        <f>IFERROR(VLOOKUP(D369,'Prob PRB Summary Data'!A:AG,24,FALSE),"")&amp;CHAR(10)</f>
        <v xml:space="preserve">
</v>
      </c>
    </row>
    <row r="375" spans="1:4" x14ac:dyDescent="0.25">
      <c r="C375" s="49" t="s">
        <v>82</v>
      </c>
      <c r="D375" s="56" t="str">
        <f>IFERROR(VLOOKUP(D369,'Prob PRB Summary Data'!A:AG,31,FALSE),"")</f>
        <v/>
      </c>
    </row>
    <row r="376" spans="1:4" x14ac:dyDescent="0.25">
      <c r="C376" s="49" t="s">
        <v>81</v>
      </c>
      <c r="D376" s="56" t="str">
        <f>IFERROR(VLOOKUP(D369,'Prob PRB Summary Data'!A:AG,16,FALSE),"")</f>
        <v/>
      </c>
    </row>
    <row r="377" spans="1:4" ht="30" x14ac:dyDescent="0.25">
      <c r="C377" s="49" t="s">
        <v>49</v>
      </c>
      <c r="D377" s="56" t="str">
        <f>IFERROR(VLOOKUP(D369,'Prob PRB Summary Data'!A:AG,25,FALSE),"")&amp;CHAR(10)</f>
        <v xml:space="preserve">
</v>
      </c>
    </row>
    <row r="378" spans="1:4" ht="30.75" thickBot="1" x14ac:dyDescent="0.3">
      <c r="C378" s="51" t="s">
        <v>50</v>
      </c>
      <c r="D378" s="52" t="str">
        <f>IFERROR(VLOOKUP(D369,'Prob PRB Summary Data'!A:AG,26,FALSE),"")&amp;CHAR(10)</f>
        <v xml:space="preserve">
</v>
      </c>
    </row>
    <row r="379" spans="1:4" ht="15.75" thickBot="1" x14ac:dyDescent="0.3">
      <c r="C379" s="53"/>
      <c r="D379" s="54"/>
    </row>
    <row r="380" spans="1:4" x14ac:dyDescent="0.25">
      <c r="A380" s="175" t="str">
        <f>IF(D380&lt;&gt;"","Comp","Blank")</f>
        <v>Blank</v>
      </c>
      <c r="C380" s="45" t="s">
        <v>84</v>
      </c>
      <c r="D380" s="55" t="str">
        <f>IF('Prob PRB Summary Data'!A36&lt;&gt;"",('Prob PRB Summary Data'!A36),"")</f>
        <v/>
      </c>
    </row>
    <row r="381" spans="1:4" x14ac:dyDescent="0.25">
      <c r="C381" s="47" t="s">
        <v>85</v>
      </c>
      <c r="D381" s="48" t="str">
        <f>IFERROR(VLOOKUP(D380,'Prob PRB Summary Data'!A:AG,8,FALSE),"")</f>
        <v/>
      </c>
    </row>
    <row r="382" spans="1:4" x14ac:dyDescent="0.25">
      <c r="C382" s="49" t="s">
        <v>46</v>
      </c>
      <c r="D382" s="56" t="str">
        <f>IFERROR(VLOOKUP(D380,'Prob PRB Summary Data'!A:AG,5,FALSE),"")</f>
        <v/>
      </c>
    </row>
    <row r="383" spans="1:4" x14ac:dyDescent="0.25">
      <c r="C383" s="49" t="s">
        <v>47</v>
      </c>
      <c r="D383" s="57" t="str">
        <f>IFERROR(VLOOKUP(D380,'Prob PRB Summary Data'!A:AG,9,FALSE),"")</f>
        <v/>
      </c>
    </row>
    <row r="384" spans="1:4" x14ac:dyDescent="0.25">
      <c r="C384" s="49" t="s">
        <v>110</v>
      </c>
      <c r="D384" s="159" t="str">
        <f>IFERROR(VLOOKUP(D380,'Prob PRB Summary Data'!A:AG,32,FALSE),"")</f>
        <v/>
      </c>
    </row>
    <row r="385" spans="1:4" ht="30" x14ac:dyDescent="0.25">
      <c r="C385" s="49" t="s">
        <v>48</v>
      </c>
      <c r="D385" s="56" t="str">
        <f>IFERROR(VLOOKUP(D380,'Prob PRB Summary Data'!A:AG,24,FALSE),"")&amp;CHAR(10)</f>
        <v xml:space="preserve">
</v>
      </c>
    </row>
    <row r="386" spans="1:4" x14ac:dyDescent="0.25">
      <c r="C386" s="49" t="s">
        <v>82</v>
      </c>
      <c r="D386" s="56" t="str">
        <f>IFERROR(VLOOKUP(D380,'Prob PRB Summary Data'!A:AG,31,FALSE),"")</f>
        <v/>
      </c>
    </row>
    <row r="387" spans="1:4" x14ac:dyDescent="0.25">
      <c r="C387" s="49" t="s">
        <v>81</v>
      </c>
      <c r="D387" s="56" t="str">
        <f>IFERROR(VLOOKUP(D380,'Prob PRB Summary Data'!A:AG,16,FALSE),"")</f>
        <v/>
      </c>
    </row>
    <row r="388" spans="1:4" ht="30" x14ac:dyDescent="0.25">
      <c r="C388" s="49" t="s">
        <v>49</v>
      </c>
      <c r="D388" s="56" t="str">
        <f>IFERROR(VLOOKUP(D380,'Prob PRB Summary Data'!A:AG,25,FALSE),"")&amp;CHAR(10)</f>
        <v xml:space="preserve">
</v>
      </c>
    </row>
    <row r="389" spans="1:4" ht="30.75" thickBot="1" x14ac:dyDescent="0.3">
      <c r="C389" s="51" t="s">
        <v>50</v>
      </c>
      <c r="D389" s="52" t="str">
        <f>IFERROR(VLOOKUP(D380,'Prob PRB Summary Data'!A:AG,26,FALSE),"")&amp;CHAR(10)</f>
        <v xml:space="preserve">
</v>
      </c>
    </row>
    <row r="390" spans="1:4" ht="15.75" thickBot="1" x14ac:dyDescent="0.3">
      <c r="C390" s="53"/>
      <c r="D390" s="54"/>
    </row>
    <row r="391" spans="1:4" x14ac:dyDescent="0.25">
      <c r="A391" s="175" t="str">
        <f>IF(D391&lt;&gt;"","Comp","Blank")</f>
        <v>Blank</v>
      </c>
      <c r="C391" s="45" t="s">
        <v>84</v>
      </c>
      <c r="D391" s="55" t="str">
        <f>IF('Prob PRB Summary Data'!A37&lt;&gt;"",('Prob PRB Summary Data'!A37),"")</f>
        <v/>
      </c>
    </row>
    <row r="392" spans="1:4" x14ac:dyDescent="0.25">
      <c r="C392" s="47" t="s">
        <v>85</v>
      </c>
      <c r="D392" s="48" t="str">
        <f>IFERROR(VLOOKUP(D391,'Prob PRB Summary Data'!A:AG,8,FALSE),"")</f>
        <v/>
      </c>
    </row>
    <row r="393" spans="1:4" x14ac:dyDescent="0.25">
      <c r="C393" s="49" t="s">
        <v>46</v>
      </c>
      <c r="D393" s="56" t="str">
        <f>IFERROR(VLOOKUP(D391,'Prob PRB Summary Data'!A:AG,5,FALSE),"")</f>
        <v/>
      </c>
    </row>
    <row r="394" spans="1:4" x14ac:dyDescent="0.25">
      <c r="C394" s="49" t="s">
        <v>47</v>
      </c>
      <c r="D394" s="57" t="str">
        <f>IFERROR(VLOOKUP(D391,'Prob PRB Summary Data'!A:AG,9,FALSE),"")</f>
        <v/>
      </c>
    </row>
    <row r="395" spans="1:4" x14ac:dyDescent="0.25">
      <c r="C395" s="49" t="s">
        <v>110</v>
      </c>
      <c r="D395" s="159" t="str">
        <f>IFERROR(VLOOKUP(D391,'Prob PRB Summary Data'!A:AG,32,FALSE),"")</f>
        <v/>
      </c>
    </row>
    <row r="396" spans="1:4" ht="30" x14ac:dyDescent="0.25">
      <c r="C396" s="49" t="s">
        <v>48</v>
      </c>
      <c r="D396" s="56" t="str">
        <f>IFERROR(VLOOKUP(D391,'Prob PRB Summary Data'!A:AG,24,FALSE),"")&amp;CHAR(10)</f>
        <v xml:space="preserve">
</v>
      </c>
    </row>
    <row r="397" spans="1:4" x14ac:dyDescent="0.25">
      <c r="C397" s="49" t="s">
        <v>82</v>
      </c>
      <c r="D397" s="56" t="str">
        <f>IFERROR(VLOOKUP(D391,'Prob PRB Summary Data'!A:AG,31,FALSE),"")</f>
        <v/>
      </c>
    </row>
    <row r="398" spans="1:4" x14ac:dyDescent="0.25">
      <c r="C398" s="49" t="s">
        <v>81</v>
      </c>
      <c r="D398" s="56" t="str">
        <f>IFERROR(VLOOKUP(D391,'Prob PRB Summary Data'!A:AG,16,FALSE),"")</f>
        <v/>
      </c>
    </row>
    <row r="399" spans="1:4" ht="30" x14ac:dyDescent="0.25">
      <c r="C399" s="49" t="s">
        <v>49</v>
      </c>
      <c r="D399" s="56" t="str">
        <f>IFERROR(VLOOKUP(D391,'Prob PRB Summary Data'!A:AG,25,FALSE),"")&amp;CHAR(10)</f>
        <v xml:space="preserve">
</v>
      </c>
    </row>
    <row r="400" spans="1:4" ht="30.75" thickBot="1" x14ac:dyDescent="0.3">
      <c r="C400" s="51" t="s">
        <v>50</v>
      </c>
      <c r="D400" s="52" t="str">
        <f>IFERROR(VLOOKUP(D391,'Prob PRB Summary Data'!A:AG,26,FALSE),"")&amp;CHAR(10)</f>
        <v xml:space="preserve">
</v>
      </c>
    </row>
    <row r="401" spans="1:4" ht="15.75" thickBot="1" x14ac:dyDescent="0.3">
      <c r="C401" s="53"/>
      <c r="D401" s="54"/>
    </row>
    <row r="402" spans="1:4" x14ac:dyDescent="0.25">
      <c r="A402" s="175" t="str">
        <f>IF(D402&lt;&gt;"","Comp","Blank")</f>
        <v>Blank</v>
      </c>
      <c r="C402" s="45" t="s">
        <v>84</v>
      </c>
      <c r="D402" s="55" t="str">
        <f>IF('Prob PRB Summary Data'!A38&lt;&gt;"",('Prob PRB Summary Data'!A38),"")</f>
        <v/>
      </c>
    </row>
    <row r="403" spans="1:4" x14ac:dyDescent="0.25">
      <c r="C403" s="47" t="s">
        <v>85</v>
      </c>
      <c r="D403" s="48" t="str">
        <f>IFERROR(VLOOKUP(D402,'Prob PRB Summary Data'!A:AG,8,FALSE),"")</f>
        <v/>
      </c>
    </row>
    <row r="404" spans="1:4" x14ac:dyDescent="0.25">
      <c r="C404" s="49" t="s">
        <v>46</v>
      </c>
      <c r="D404" s="56" t="str">
        <f>IFERROR(VLOOKUP(D402,'Prob PRB Summary Data'!A:AG,5,FALSE),"")</f>
        <v/>
      </c>
    </row>
    <row r="405" spans="1:4" x14ac:dyDescent="0.25">
      <c r="C405" s="49" t="s">
        <v>47</v>
      </c>
      <c r="D405" s="57" t="str">
        <f>IFERROR(VLOOKUP(D402,'Prob PRB Summary Data'!A:AG,9,FALSE),"")</f>
        <v/>
      </c>
    </row>
    <row r="406" spans="1:4" x14ac:dyDescent="0.25">
      <c r="C406" s="49" t="s">
        <v>110</v>
      </c>
      <c r="D406" s="159" t="str">
        <f>IFERROR(VLOOKUP(D402,'Prob PRB Summary Data'!A:AG,32,FALSE),"")</f>
        <v/>
      </c>
    </row>
    <row r="407" spans="1:4" ht="30" x14ac:dyDescent="0.25">
      <c r="C407" s="49" t="s">
        <v>48</v>
      </c>
      <c r="D407" s="56" t="str">
        <f>IFERROR(VLOOKUP(D402,'Prob PRB Summary Data'!A:AG,24,FALSE),"")&amp;CHAR(10)</f>
        <v xml:space="preserve">
</v>
      </c>
    </row>
    <row r="408" spans="1:4" x14ac:dyDescent="0.25">
      <c r="C408" s="49" t="s">
        <v>82</v>
      </c>
      <c r="D408" s="56" t="str">
        <f>IFERROR(VLOOKUP(D402,'Prob PRB Summary Data'!A:AG,31,FALSE),"")</f>
        <v/>
      </c>
    </row>
    <row r="409" spans="1:4" x14ac:dyDescent="0.25">
      <c r="C409" s="49" t="s">
        <v>81</v>
      </c>
      <c r="D409" s="56" t="str">
        <f>IFERROR(VLOOKUP(D402,'Prob PRB Summary Data'!A:AG,16,FALSE),"")</f>
        <v/>
      </c>
    </row>
    <row r="410" spans="1:4" ht="30" x14ac:dyDescent="0.25">
      <c r="C410" s="49" t="s">
        <v>49</v>
      </c>
      <c r="D410" s="56" t="str">
        <f>IFERROR(VLOOKUP(D402,'Prob PRB Summary Data'!A:AG,25,FALSE),"")&amp;CHAR(10)</f>
        <v xml:space="preserve">
</v>
      </c>
    </row>
    <row r="411" spans="1:4" ht="30.75" thickBot="1" x14ac:dyDescent="0.3">
      <c r="C411" s="51" t="s">
        <v>50</v>
      </c>
      <c r="D411" s="52" t="str">
        <f>IFERROR(VLOOKUP(D402,'Prob PRB Summary Data'!A:AG,26,FALSE),"")&amp;CHAR(10)</f>
        <v xml:space="preserve">
</v>
      </c>
    </row>
    <row r="412" spans="1:4" ht="15.75" thickBot="1" x14ac:dyDescent="0.3">
      <c r="C412" s="53"/>
      <c r="D412" s="54"/>
    </row>
    <row r="413" spans="1:4" x14ac:dyDescent="0.25">
      <c r="A413" s="175" t="str">
        <f>IF(D413&lt;&gt;"","Comp","Blank")</f>
        <v>Blank</v>
      </c>
      <c r="C413" s="45" t="s">
        <v>84</v>
      </c>
      <c r="D413" s="55" t="str">
        <f>IF('Prob PRB Summary Data'!A39&lt;&gt;"",('Prob PRB Summary Data'!A39),"")</f>
        <v/>
      </c>
    </row>
    <row r="414" spans="1:4" x14ac:dyDescent="0.25">
      <c r="C414" s="47" t="s">
        <v>85</v>
      </c>
      <c r="D414" s="48" t="str">
        <f>IFERROR(VLOOKUP(D413,'Prob PRB Summary Data'!A:AG,8,FALSE),"")</f>
        <v/>
      </c>
    </row>
    <row r="415" spans="1:4" x14ac:dyDescent="0.25">
      <c r="C415" s="49" t="s">
        <v>46</v>
      </c>
      <c r="D415" s="56" t="str">
        <f>IFERROR(VLOOKUP(D413,'Prob PRB Summary Data'!A:AG,5,FALSE),"")</f>
        <v/>
      </c>
    </row>
    <row r="416" spans="1:4" x14ac:dyDescent="0.25">
      <c r="C416" s="49" t="s">
        <v>47</v>
      </c>
      <c r="D416" s="57" t="str">
        <f>IFERROR(VLOOKUP(D413,'Prob PRB Summary Data'!A:AG,9,FALSE),"")</f>
        <v/>
      </c>
    </row>
    <row r="417" spans="1:4" x14ac:dyDescent="0.25">
      <c r="C417" s="49" t="s">
        <v>110</v>
      </c>
      <c r="D417" s="159" t="str">
        <f>IFERROR(VLOOKUP(D413,'Prob PRB Summary Data'!A:AG,32,FALSE),"")</f>
        <v/>
      </c>
    </row>
    <row r="418" spans="1:4" ht="30" x14ac:dyDescent="0.25">
      <c r="C418" s="49" t="s">
        <v>48</v>
      </c>
      <c r="D418" s="56" t="str">
        <f>IFERROR(VLOOKUP(D413,'Prob PRB Summary Data'!A:AG,24,FALSE),"")&amp;CHAR(10)</f>
        <v xml:space="preserve">
</v>
      </c>
    </row>
    <row r="419" spans="1:4" x14ac:dyDescent="0.25">
      <c r="C419" s="49" t="s">
        <v>82</v>
      </c>
      <c r="D419" s="56" t="str">
        <f>IFERROR(VLOOKUP(D413,'Prob PRB Summary Data'!A:AG,31,FALSE),"")</f>
        <v/>
      </c>
    </row>
    <row r="420" spans="1:4" x14ac:dyDescent="0.25">
      <c r="C420" s="49" t="s">
        <v>81</v>
      </c>
      <c r="D420" s="56" t="str">
        <f>IFERROR(VLOOKUP(D413,'Prob PRB Summary Data'!A:AG,16,FALSE),"")</f>
        <v/>
      </c>
    </row>
    <row r="421" spans="1:4" ht="30" x14ac:dyDescent="0.25">
      <c r="C421" s="49" t="s">
        <v>49</v>
      </c>
      <c r="D421" s="56" t="str">
        <f>IFERROR(VLOOKUP(D413,'Prob PRB Summary Data'!A:AG,25,FALSE),"")&amp;CHAR(10)</f>
        <v xml:space="preserve">
</v>
      </c>
    </row>
    <row r="422" spans="1:4" ht="30.75" thickBot="1" x14ac:dyDescent="0.3">
      <c r="C422" s="51" t="s">
        <v>50</v>
      </c>
      <c r="D422" s="52" t="str">
        <f>IFERROR(VLOOKUP(D413,'Prob PRB Summary Data'!A:AG,26,FALSE),"")&amp;CHAR(10)</f>
        <v xml:space="preserve">
</v>
      </c>
    </row>
    <row r="423" spans="1:4" ht="15.75" thickBot="1" x14ac:dyDescent="0.3">
      <c r="C423" s="53"/>
      <c r="D423" s="54"/>
    </row>
    <row r="424" spans="1:4" x14ac:dyDescent="0.25">
      <c r="A424" s="175" t="str">
        <f>IF(D424&lt;&gt;"","Comp","Blank")</f>
        <v>Blank</v>
      </c>
      <c r="C424" s="45" t="s">
        <v>84</v>
      </c>
      <c r="D424" s="55" t="str">
        <f>IF('Prob PRB Summary Data'!A40&lt;&gt;"",('Prob PRB Summary Data'!A40),"")</f>
        <v/>
      </c>
    </row>
    <row r="425" spans="1:4" x14ac:dyDescent="0.25">
      <c r="C425" s="47" t="s">
        <v>85</v>
      </c>
      <c r="D425" s="48" t="str">
        <f>IFERROR(VLOOKUP(D424,'Prob PRB Summary Data'!A:AG,8,FALSE),"")</f>
        <v/>
      </c>
    </row>
    <row r="426" spans="1:4" x14ac:dyDescent="0.25">
      <c r="C426" s="49" t="s">
        <v>46</v>
      </c>
      <c r="D426" s="56" t="str">
        <f>IFERROR(VLOOKUP(D424,'Prob PRB Summary Data'!A:AG,5,FALSE),"")</f>
        <v/>
      </c>
    </row>
    <row r="427" spans="1:4" x14ac:dyDescent="0.25">
      <c r="C427" s="49" t="s">
        <v>47</v>
      </c>
      <c r="D427" s="57" t="str">
        <f>IFERROR(VLOOKUP(D424,'Prob PRB Summary Data'!A:AG,9,FALSE),"")</f>
        <v/>
      </c>
    </row>
    <row r="428" spans="1:4" x14ac:dyDescent="0.25">
      <c r="C428" s="49" t="s">
        <v>110</v>
      </c>
      <c r="D428" s="159" t="str">
        <f>IFERROR(VLOOKUP(D424,'Prob PRB Summary Data'!A:AG,32,FALSE),"")</f>
        <v/>
      </c>
    </row>
    <row r="429" spans="1:4" ht="30" x14ac:dyDescent="0.25">
      <c r="C429" s="49" t="s">
        <v>48</v>
      </c>
      <c r="D429" s="56" t="str">
        <f>IFERROR(VLOOKUP(D424,'Prob PRB Summary Data'!A:AG,24,FALSE),"")&amp;CHAR(10)</f>
        <v xml:space="preserve">
</v>
      </c>
    </row>
    <row r="430" spans="1:4" x14ac:dyDescent="0.25">
      <c r="C430" s="49" t="s">
        <v>82</v>
      </c>
      <c r="D430" s="56" t="str">
        <f>IFERROR(VLOOKUP(D424,'Prob PRB Summary Data'!A:AG,31,FALSE),"")</f>
        <v/>
      </c>
    </row>
    <row r="431" spans="1:4" x14ac:dyDescent="0.25">
      <c r="C431" s="49" t="s">
        <v>81</v>
      </c>
      <c r="D431" s="56" t="str">
        <f>IFERROR(VLOOKUP(D424,'Prob PRB Summary Data'!A:AG,16,FALSE),"")</f>
        <v/>
      </c>
    </row>
    <row r="432" spans="1:4" ht="30" x14ac:dyDescent="0.25">
      <c r="C432" s="49" t="s">
        <v>49</v>
      </c>
      <c r="D432" s="56" t="str">
        <f>IFERROR(VLOOKUP(D424,'Prob PRB Summary Data'!A:AG,25,FALSE),"")&amp;CHAR(10)</f>
        <v xml:space="preserve">
</v>
      </c>
    </row>
    <row r="433" spans="1:4" ht="30.75" thickBot="1" x14ac:dyDescent="0.3">
      <c r="C433" s="51" t="s">
        <v>50</v>
      </c>
      <c r="D433" s="52" t="str">
        <f>IFERROR(VLOOKUP(D424,'Prob PRB Summary Data'!A:AG,26,FALSE),"")&amp;CHAR(10)</f>
        <v xml:space="preserve">
</v>
      </c>
    </row>
    <row r="434" spans="1:4" ht="15.75" thickBot="1" x14ac:dyDescent="0.3">
      <c r="C434" s="53"/>
      <c r="D434" s="54"/>
    </row>
    <row r="435" spans="1:4" x14ac:dyDescent="0.25">
      <c r="A435" s="175" t="str">
        <f>IF(D435&lt;&gt;"","Comp","Blank")</f>
        <v>Blank</v>
      </c>
      <c r="C435" s="45" t="s">
        <v>84</v>
      </c>
      <c r="D435" s="55" t="str">
        <f>IF('Prob PRB Summary Data'!A41&lt;&gt;"",('Prob PRB Summary Data'!A41),"")</f>
        <v/>
      </c>
    </row>
    <row r="436" spans="1:4" x14ac:dyDescent="0.25">
      <c r="C436" s="47" t="s">
        <v>85</v>
      </c>
      <c r="D436" s="48" t="str">
        <f>IFERROR(VLOOKUP(D435,'Prob PRB Summary Data'!A:AG,8,FALSE),"")</f>
        <v/>
      </c>
    </row>
    <row r="437" spans="1:4" x14ac:dyDescent="0.25">
      <c r="C437" s="49" t="s">
        <v>46</v>
      </c>
      <c r="D437" s="56" t="str">
        <f>IFERROR(VLOOKUP(D435,'Prob PRB Summary Data'!A:AG,5,FALSE),"")</f>
        <v/>
      </c>
    </row>
    <row r="438" spans="1:4" x14ac:dyDescent="0.25">
      <c r="C438" s="49" t="s">
        <v>47</v>
      </c>
      <c r="D438" s="57" t="str">
        <f>IFERROR(VLOOKUP(D435,'Prob PRB Summary Data'!A:AG,9,FALSE),"")</f>
        <v/>
      </c>
    </row>
    <row r="439" spans="1:4" x14ac:dyDescent="0.25">
      <c r="C439" s="49" t="s">
        <v>110</v>
      </c>
      <c r="D439" s="159" t="str">
        <f>IFERROR(VLOOKUP(D435,'Prob PRB Summary Data'!A:AG,32,FALSE),"")</f>
        <v/>
      </c>
    </row>
    <row r="440" spans="1:4" ht="30" x14ac:dyDescent="0.25">
      <c r="C440" s="49" t="s">
        <v>48</v>
      </c>
      <c r="D440" s="56" t="str">
        <f>IFERROR(VLOOKUP(D435,'Prob PRB Summary Data'!A:AG,24,FALSE),"")&amp;CHAR(10)</f>
        <v xml:space="preserve">
</v>
      </c>
    </row>
    <row r="441" spans="1:4" x14ac:dyDescent="0.25">
      <c r="C441" s="49" t="s">
        <v>82</v>
      </c>
      <c r="D441" s="56" t="str">
        <f>IFERROR(VLOOKUP(D435,'Prob PRB Summary Data'!A:AG,31,FALSE),"")</f>
        <v/>
      </c>
    </row>
    <row r="442" spans="1:4" x14ac:dyDescent="0.25">
      <c r="C442" s="49" t="s">
        <v>81</v>
      </c>
      <c r="D442" s="56" t="str">
        <f>IFERROR(VLOOKUP(D435,'Prob PRB Summary Data'!A:AG,16,FALSE),"")</f>
        <v/>
      </c>
    </row>
    <row r="443" spans="1:4" ht="30" x14ac:dyDescent="0.25">
      <c r="C443" s="49" t="s">
        <v>49</v>
      </c>
      <c r="D443" s="56" t="str">
        <f>IFERROR(VLOOKUP(D435,'Prob PRB Summary Data'!A:AG,25,FALSE),"")&amp;CHAR(10)</f>
        <v xml:space="preserve">
</v>
      </c>
    </row>
    <row r="444" spans="1:4" ht="30.75" thickBot="1" x14ac:dyDescent="0.3">
      <c r="C444" s="51" t="s">
        <v>50</v>
      </c>
      <c r="D444" s="52" t="str">
        <f>IFERROR(VLOOKUP(D435,'Prob PRB Summary Data'!A:AG,26,FALSE),"")&amp;CHAR(10)</f>
        <v xml:space="preserve">
</v>
      </c>
    </row>
    <row r="445" spans="1:4" ht="15.75" thickBot="1" x14ac:dyDescent="0.3">
      <c r="C445" s="53"/>
      <c r="D445" s="54"/>
    </row>
    <row r="446" spans="1:4" x14ac:dyDescent="0.25">
      <c r="A446" s="175" t="str">
        <f>IF(D446&lt;&gt;"","Comp","Blank")</f>
        <v>Blank</v>
      </c>
      <c r="C446" s="45" t="s">
        <v>84</v>
      </c>
      <c r="D446" s="55" t="str">
        <f>IF('Prob PRB Summary Data'!A42&lt;&gt;"",('Prob PRB Summary Data'!A42),"")</f>
        <v/>
      </c>
    </row>
    <row r="447" spans="1:4" x14ac:dyDescent="0.25">
      <c r="C447" s="47" t="s">
        <v>85</v>
      </c>
      <c r="D447" s="48" t="str">
        <f>IFERROR(VLOOKUP(D446,'Prob PRB Summary Data'!A:AG,8,FALSE),"")</f>
        <v/>
      </c>
    </row>
    <row r="448" spans="1:4" x14ac:dyDescent="0.25">
      <c r="C448" s="49" t="s">
        <v>46</v>
      </c>
      <c r="D448" s="56" t="str">
        <f>IFERROR(VLOOKUP(D446,'Prob PRB Summary Data'!A:AG,5,FALSE),"")</f>
        <v/>
      </c>
    </row>
    <row r="449" spans="1:4" x14ac:dyDescent="0.25">
      <c r="C449" s="49" t="s">
        <v>47</v>
      </c>
      <c r="D449" s="57" t="str">
        <f>IFERROR(VLOOKUP(D446,'Prob PRB Summary Data'!A:AG,9,FALSE),"")</f>
        <v/>
      </c>
    </row>
    <row r="450" spans="1:4" x14ac:dyDescent="0.25">
      <c r="C450" s="49" t="s">
        <v>110</v>
      </c>
      <c r="D450" s="159" t="str">
        <f>IFERROR(VLOOKUP(D446,'Prob PRB Summary Data'!A:AG,32,FALSE),"")</f>
        <v/>
      </c>
    </row>
    <row r="451" spans="1:4" ht="30" x14ac:dyDescent="0.25">
      <c r="C451" s="49" t="s">
        <v>48</v>
      </c>
      <c r="D451" s="56" t="str">
        <f>IFERROR(VLOOKUP(D446,'Prob PRB Summary Data'!A:AG,24,FALSE),"")&amp;CHAR(10)</f>
        <v xml:space="preserve">
</v>
      </c>
    </row>
    <row r="452" spans="1:4" x14ac:dyDescent="0.25">
      <c r="C452" s="49" t="s">
        <v>82</v>
      </c>
      <c r="D452" s="56" t="str">
        <f>IFERROR(VLOOKUP(D446,'Prob PRB Summary Data'!A:AG,31,FALSE),"")</f>
        <v/>
      </c>
    </row>
    <row r="453" spans="1:4" x14ac:dyDescent="0.25">
      <c r="C453" s="49" t="s">
        <v>81</v>
      </c>
      <c r="D453" s="56" t="str">
        <f>IFERROR(VLOOKUP(D446,'Prob PRB Summary Data'!A:AG,16,FALSE),"")</f>
        <v/>
      </c>
    </row>
    <row r="454" spans="1:4" ht="30" x14ac:dyDescent="0.25">
      <c r="C454" s="49" t="s">
        <v>49</v>
      </c>
      <c r="D454" s="56" t="str">
        <f>IFERROR(VLOOKUP(D446,'Prob PRB Summary Data'!A:AG,25,FALSE),"")&amp;CHAR(10)</f>
        <v xml:space="preserve">
</v>
      </c>
    </row>
    <row r="455" spans="1:4" ht="30.75" thickBot="1" x14ac:dyDescent="0.3">
      <c r="C455" s="51" t="s">
        <v>50</v>
      </c>
      <c r="D455" s="52" t="str">
        <f>IFERROR(VLOOKUP(D446,'Prob PRB Summary Data'!A:AG,26,FALSE),"")&amp;CHAR(10)</f>
        <v xml:space="preserve">
</v>
      </c>
    </row>
    <row r="456" spans="1:4" ht="15.75" thickBot="1" x14ac:dyDescent="0.3">
      <c r="C456" s="53"/>
      <c r="D456" s="54"/>
    </row>
    <row r="457" spans="1:4" x14ac:dyDescent="0.25">
      <c r="A457" s="175" t="str">
        <f>IF(D457&lt;&gt;"","Comp","Blank")</f>
        <v>Blank</v>
      </c>
      <c r="C457" s="45" t="s">
        <v>84</v>
      </c>
      <c r="D457" s="55" t="str">
        <f>IF('Prob PRB Summary Data'!A43&lt;&gt;"",('Prob PRB Summary Data'!A43),"")</f>
        <v/>
      </c>
    </row>
    <row r="458" spans="1:4" x14ac:dyDescent="0.25">
      <c r="C458" s="47" t="s">
        <v>85</v>
      </c>
      <c r="D458" s="48" t="str">
        <f>IFERROR(VLOOKUP(D457,'Prob PRB Summary Data'!A:AG,8,FALSE),"")</f>
        <v/>
      </c>
    </row>
    <row r="459" spans="1:4" x14ac:dyDescent="0.25">
      <c r="C459" s="49" t="s">
        <v>46</v>
      </c>
      <c r="D459" s="56" t="str">
        <f>IFERROR(VLOOKUP(D457,'Prob PRB Summary Data'!A:AG,5,FALSE),"")</f>
        <v/>
      </c>
    </row>
    <row r="460" spans="1:4" x14ac:dyDescent="0.25">
      <c r="C460" s="49" t="s">
        <v>47</v>
      </c>
      <c r="D460" s="57" t="str">
        <f>IFERROR(VLOOKUP(D457,'Prob PRB Summary Data'!A:AG,9,FALSE),"")</f>
        <v/>
      </c>
    </row>
    <row r="461" spans="1:4" x14ac:dyDescent="0.25">
      <c r="C461" s="49" t="s">
        <v>110</v>
      </c>
      <c r="D461" s="159" t="str">
        <f>IFERROR(VLOOKUP(D457,'Prob PRB Summary Data'!A:AG,32,FALSE),"")</f>
        <v/>
      </c>
    </row>
    <row r="462" spans="1:4" ht="30" x14ac:dyDescent="0.25">
      <c r="C462" s="49" t="s">
        <v>48</v>
      </c>
      <c r="D462" s="56" t="str">
        <f>IFERROR(VLOOKUP(D457,'Prob PRB Summary Data'!A:AG,24,FALSE),"")&amp;CHAR(10)</f>
        <v xml:space="preserve">
</v>
      </c>
    </row>
    <row r="463" spans="1:4" x14ac:dyDescent="0.25">
      <c r="C463" s="49" t="s">
        <v>82</v>
      </c>
      <c r="D463" s="56" t="str">
        <f>IFERROR(VLOOKUP(D457,'Prob PRB Summary Data'!A:AG,31,FALSE),"")</f>
        <v/>
      </c>
    </row>
    <row r="464" spans="1:4" x14ac:dyDescent="0.25">
      <c r="C464" s="49" t="s">
        <v>81</v>
      </c>
      <c r="D464" s="56" t="str">
        <f>IFERROR(VLOOKUP(D457,'Prob PRB Summary Data'!A:AG,16,FALSE),"")</f>
        <v/>
      </c>
    </row>
    <row r="465" spans="1:4" ht="30" x14ac:dyDescent="0.25">
      <c r="C465" s="49" t="s">
        <v>49</v>
      </c>
      <c r="D465" s="56" t="str">
        <f>IFERROR(VLOOKUP(D457,'Prob PRB Summary Data'!A:AG,25,FALSE),"")&amp;CHAR(10)</f>
        <v xml:space="preserve">
</v>
      </c>
    </row>
    <row r="466" spans="1:4" ht="30.75" thickBot="1" x14ac:dyDescent="0.3">
      <c r="C466" s="51" t="s">
        <v>50</v>
      </c>
      <c r="D466" s="52" t="str">
        <f>IFERROR(VLOOKUP(D457,'Prob PRB Summary Data'!A:AG,26,FALSE),"")&amp;CHAR(10)</f>
        <v xml:space="preserve">
</v>
      </c>
    </row>
    <row r="467" spans="1:4" ht="15.75" thickBot="1" x14ac:dyDescent="0.3">
      <c r="C467" s="53"/>
      <c r="D467" s="54"/>
    </row>
    <row r="468" spans="1:4" x14ac:dyDescent="0.25">
      <c r="A468" s="175" t="str">
        <f>IF(D468&lt;&gt;"","Comp","Blank")</f>
        <v>Blank</v>
      </c>
      <c r="C468" s="45" t="s">
        <v>84</v>
      </c>
      <c r="D468" s="55" t="str">
        <f>IF('Prob PRB Summary Data'!A44&lt;&gt;"",('Prob PRB Summary Data'!A44),"")</f>
        <v/>
      </c>
    </row>
    <row r="469" spans="1:4" x14ac:dyDescent="0.25">
      <c r="C469" s="47" t="s">
        <v>85</v>
      </c>
      <c r="D469" s="48" t="str">
        <f>IFERROR(VLOOKUP(D468,'Prob PRB Summary Data'!A:AG,8,FALSE),"")</f>
        <v/>
      </c>
    </row>
    <row r="470" spans="1:4" x14ac:dyDescent="0.25">
      <c r="C470" s="49" t="s">
        <v>46</v>
      </c>
      <c r="D470" s="56" t="str">
        <f>IFERROR(VLOOKUP(D468,'Prob PRB Summary Data'!A:AG,5,FALSE),"")</f>
        <v/>
      </c>
    </row>
    <row r="471" spans="1:4" x14ac:dyDescent="0.25">
      <c r="C471" s="49" t="s">
        <v>47</v>
      </c>
      <c r="D471" s="57" t="str">
        <f>IFERROR(VLOOKUP(D468,'Prob PRB Summary Data'!A:AG,9,FALSE),"")</f>
        <v/>
      </c>
    </row>
    <row r="472" spans="1:4" x14ac:dyDescent="0.25">
      <c r="C472" s="49" t="s">
        <v>110</v>
      </c>
      <c r="D472" s="159" t="str">
        <f>IFERROR(VLOOKUP(D468,'Prob PRB Summary Data'!A:AG,32,FALSE),"")</f>
        <v/>
      </c>
    </row>
    <row r="473" spans="1:4" ht="30" x14ac:dyDescent="0.25">
      <c r="C473" s="49" t="s">
        <v>48</v>
      </c>
      <c r="D473" s="56" t="str">
        <f>IFERROR(VLOOKUP(D468,'Prob PRB Summary Data'!A:AG,24,FALSE),"")&amp;CHAR(10)</f>
        <v xml:space="preserve">
</v>
      </c>
    </row>
    <row r="474" spans="1:4" x14ac:dyDescent="0.25">
      <c r="C474" s="49" t="s">
        <v>82</v>
      </c>
      <c r="D474" s="56" t="str">
        <f>IFERROR(VLOOKUP(D468,'Prob PRB Summary Data'!A:AG,31,FALSE),"")</f>
        <v/>
      </c>
    </row>
    <row r="475" spans="1:4" x14ac:dyDescent="0.25">
      <c r="C475" s="49" t="s">
        <v>81</v>
      </c>
      <c r="D475" s="56" t="str">
        <f>IFERROR(VLOOKUP(D468,'Prob PRB Summary Data'!A:AG,16,FALSE),"")</f>
        <v/>
      </c>
    </row>
    <row r="476" spans="1:4" ht="30" x14ac:dyDescent="0.25">
      <c r="C476" s="49" t="s">
        <v>49</v>
      </c>
      <c r="D476" s="56" t="str">
        <f>IFERROR(VLOOKUP(D468,'Prob PRB Summary Data'!A:AG,25,FALSE),"")&amp;CHAR(10)</f>
        <v xml:space="preserve">
</v>
      </c>
    </row>
    <row r="477" spans="1:4" ht="30.75" thickBot="1" x14ac:dyDescent="0.3">
      <c r="C477" s="51" t="s">
        <v>50</v>
      </c>
      <c r="D477" s="52" t="str">
        <f>IFERROR(VLOOKUP(D468,'Prob PRB Summary Data'!A:AG,26,FALSE),"")&amp;CHAR(10)</f>
        <v xml:space="preserve">
</v>
      </c>
    </row>
    <row r="478" spans="1:4" ht="15.75" thickBot="1" x14ac:dyDescent="0.3">
      <c r="C478" s="53"/>
      <c r="D478" s="54"/>
    </row>
    <row r="479" spans="1:4" x14ac:dyDescent="0.25">
      <c r="A479" s="175" t="str">
        <f>IF(D479&lt;&gt;"","Comp","Blank")</f>
        <v>Blank</v>
      </c>
      <c r="C479" s="45" t="s">
        <v>84</v>
      </c>
      <c r="D479" s="55" t="str">
        <f>IF('Prob PRB Summary Data'!A45&lt;&gt;"",('Prob PRB Summary Data'!A45),"")</f>
        <v/>
      </c>
    </row>
    <row r="480" spans="1:4" x14ac:dyDescent="0.25">
      <c r="C480" s="47" t="s">
        <v>85</v>
      </c>
      <c r="D480" s="48" t="str">
        <f>IFERROR(VLOOKUP(D479,'Prob PRB Summary Data'!A:AG,8,FALSE),"")</f>
        <v/>
      </c>
    </row>
    <row r="481" spans="1:4" x14ac:dyDescent="0.25">
      <c r="C481" s="49" t="s">
        <v>46</v>
      </c>
      <c r="D481" s="56" t="str">
        <f>IFERROR(VLOOKUP(D479,'Prob PRB Summary Data'!A:AG,5,FALSE),"")</f>
        <v/>
      </c>
    </row>
    <row r="482" spans="1:4" x14ac:dyDescent="0.25">
      <c r="C482" s="49" t="s">
        <v>47</v>
      </c>
      <c r="D482" s="57" t="str">
        <f>IFERROR(VLOOKUP(D479,'Prob PRB Summary Data'!A:AG,9,FALSE),"")</f>
        <v/>
      </c>
    </row>
    <row r="483" spans="1:4" x14ac:dyDescent="0.25">
      <c r="C483" s="49" t="s">
        <v>110</v>
      </c>
      <c r="D483" s="159" t="str">
        <f>IFERROR(VLOOKUP(D479,'Prob PRB Summary Data'!A:AG,32,FALSE),"")</f>
        <v/>
      </c>
    </row>
    <row r="484" spans="1:4" ht="30" x14ac:dyDescent="0.25">
      <c r="C484" s="49" t="s">
        <v>48</v>
      </c>
      <c r="D484" s="56" t="str">
        <f>IFERROR(VLOOKUP(D479,'Prob PRB Summary Data'!A:AG,24,FALSE),"")&amp;CHAR(10)</f>
        <v xml:space="preserve">
</v>
      </c>
    </row>
    <row r="485" spans="1:4" x14ac:dyDescent="0.25">
      <c r="C485" s="49" t="s">
        <v>82</v>
      </c>
      <c r="D485" s="56" t="str">
        <f>IFERROR(VLOOKUP(D479,'Prob PRB Summary Data'!A:AG,31,FALSE),"")</f>
        <v/>
      </c>
    </row>
    <row r="486" spans="1:4" x14ac:dyDescent="0.25">
      <c r="C486" s="49" t="s">
        <v>81</v>
      </c>
      <c r="D486" s="56" t="str">
        <f>IFERROR(VLOOKUP(D479,'Prob PRB Summary Data'!A:AG,16,FALSE),"")</f>
        <v/>
      </c>
    </row>
    <row r="487" spans="1:4" ht="30" x14ac:dyDescent="0.25">
      <c r="C487" s="49" t="s">
        <v>49</v>
      </c>
      <c r="D487" s="56" t="str">
        <f>IFERROR(VLOOKUP(D479,'Prob PRB Summary Data'!A:AG,25,FALSE),"")&amp;CHAR(10)</f>
        <v xml:space="preserve">
</v>
      </c>
    </row>
    <row r="488" spans="1:4" ht="30.75" thickBot="1" x14ac:dyDescent="0.3">
      <c r="C488" s="51" t="s">
        <v>50</v>
      </c>
      <c r="D488" s="52" t="str">
        <f>IFERROR(VLOOKUP(D479,'Prob PRB Summary Data'!A:AG,26,FALSE),"")&amp;CHAR(10)</f>
        <v xml:space="preserve">
</v>
      </c>
    </row>
    <row r="489" spans="1:4" ht="15.75" thickBot="1" x14ac:dyDescent="0.3">
      <c r="C489" s="53"/>
      <c r="D489" s="54"/>
    </row>
    <row r="490" spans="1:4" x14ac:dyDescent="0.25">
      <c r="A490" s="175" t="str">
        <f>IF(D490&lt;&gt;"","Comp","Blank")</f>
        <v>Blank</v>
      </c>
      <c r="C490" s="45" t="s">
        <v>84</v>
      </c>
      <c r="D490" s="55" t="str">
        <f>IF('Prob PRB Summary Data'!A46&lt;&gt;"",('Prob PRB Summary Data'!A46),"")</f>
        <v/>
      </c>
    </row>
    <row r="491" spans="1:4" x14ac:dyDescent="0.25">
      <c r="C491" s="47" t="s">
        <v>85</v>
      </c>
      <c r="D491" s="48" t="str">
        <f>IFERROR(VLOOKUP(D490,'Prob PRB Summary Data'!A:AG,8,FALSE),"")</f>
        <v/>
      </c>
    </row>
    <row r="492" spans="1:4" x14ac:dyDescent="0.25">
      <c r="C492" s="49" t="s">
        <v>46</v>
      </c>
      <c r="D492" s="56" t="str">
        <f>IFERROR(VLOOKUP(D490,'Prob PRB Summary Data'!A:AG,5,FALSE),"")</f>
        <v/>
      </c>
    </row>
    <row r="493" spans="1:4" x14ac:dyDescent="0.25">
      <c r="C493" s="49" t="s">
        <v>47</v>
      </c>
      <c r="D493" s="57" t="str">
        <f>IFERROR(VLOOKUP(D490,'Prob PRB Summary Data'!A:AG,9,FALSE),"")</f>
        <v/>
      </c>
    </row>
    <row r="494" spans="1:4" x14ac:dyDescent="0.25">
      <c r="C494" s="49" t="s">
        <v>110</v>
      </c>
      <c r="D494" s="159" t="str">
        <f>IFERROR(VLOOKUP(D490,'Prob PRB Summary Data'!A:AG,32,FALSE),"")</f>
        <v/>
      </c>
    </row>
    <row r="495" spans="1:4" ht="30" x14ac:dyDescent="0.25">
      <c r="C495" s="49" t="s">
        <v>48</v>
      </c>
      <c r="D495" s="56" t="str">
        <f>IFERROR(VLOOKUP(D490,'Prob PRB Summary Data'!A:AG,24,FALSE),"")&amp;CHAR(10)</f>
        <v xml:space="preserve">
</v>
      </c>
    </row>
    <row r="496" spans="1:4" x14ac:dyDescent="0.25">
      <c r="C496" s="49" t="s">
        <v>82</v>
      </c>
      <c r="D496" s="56" t="str">
        <f>IFERROR(VLOOKUP(D490,'Prob PRB Summary Data'!A:AG,31,FALSE),"")</f>
        <v/>
      </c>
    </row>
    <row r="497" spans="1:4" x14ac:dyDescent="0.25">
      <c r="C497" s="49" t="s">
        <v>81</v>
      </c>
      <c r="D497" s="56" t="str">
        <f>IFERROR(VLOOKUP(D490,'Prob PRB Summary Data'!A:AG,16,FALSE),"")</f>
        <v/>
      </c>
    </row>
    <row r="498" spans="1:4" ht="30" x14ac:dyDescent="0.25">
      <c r="C498" s="49" t="s">
        <v>49</v>
      </c>
      <c r="D498" s="56" t="str">
        <f>IFERROR(VLOOKUP(D490,'Prob PRB Summary Data'!A:AG,25,FALSE),"")&amp;CHAR(10)</f>
        <v xml:space="preserve">
</v>
      </c>
    </row>
    <row r="499" spans="1:4" ht="30.75" thickBot="1" x14ac:dyDescent="0.3">
      <c r="C499" s="51" t="s">
        <v>50</v>
      </c>
      <c r="D499" s="52" t="str">
        <f>IFERROR(VLOOKUP(D490,'Prob PRB Summary Data'!A:AG,26,FALSE),"")&amp;CHAR(10)</f>
        <v xml:space="preserve">
</v>
      </c>
    </row>
    <row r="500" spans="1:4" ht="15.75" thickBot="1" x14ac:dyDescent="0.3">
      <c r="C500" s="53"/>
      <c r="D500" s="54"/>
    </row>
    <row r="501" spans="1:4" x14ac:dyDescent="0.25">
      <c r="A501" s="175" t="str">
        <f>IF(D501&lt;&gt;"","Comp","Blank")</f>
        <v>Blank</v>
      </c>
      <c r="C501" s="45" t="s">
        <v>84</v>
      </c>
      <c r="D501" s="55" t="str">
        <f>IF('Prob PRB Summary Data'!A47&lt;&gt;"",('Prob PRB Summary Data'!A47),"")</f>
        <v/>
      </c>
    </row>
    <row r="502" spans="1:4" x14ac:dyDescent="0.25">
      <c r="C502" s="47" t="s">
        <v>85</v>
      </c>
      <c r="D502" s="48" t="str">
        <f>IFERROR(VLOOKUP(D501,'Prob PRB Summary Data'!A:AG,8,FALSE),"")</f>
        <v/>
      </c>
    </row>
    <row r="503" spans="1:4" x14ac:dyDescent="0.25">
      <c r="C503" s="49" t="s">
        <v>46</v>
      </c>
      <c r="D503" s="56" t="str">
        <f>IFERROR(VLOOKUP(D501,'Prob PRB Summary Data'!A:AG,5,FALSE),"")</f>
        <v/>
      </c>
    </row>
    <row r="504" spans="1:4" x14ac:dyDescent="0.25">
      <c r="C504" s="49" t="s">
        <v>47</v>
      </c>
      <c r="D504" s="57" t="str">
        <f>IFERROR(VLOOKUP(D501,'Prob PRB Summary Data'!A:AG,9,FALSE),"")</f>
        <v/>
      </c>
    </row>
    <row r="505" spans="1:4" x14ac:dyDescent="0.25">
      <c r="C505" s="49" t="s">
        <v>110</v>
      </c>
      <c r="D505" s="159" t="str">
        <f>IFERROR(VLOOKUP(D501,'Prob PRB Summary Data'!A:AG,32,FALSE),"")</f>
        <v/>
      </c>
    </row>
    <row r="506" spans="1:4" ht="30" x14ac:dyDescent="0.25">
      <c r="C506" s="49" t="s">
        <v>48</v>
      </c>
      <c r="D506" s="56" t="str">
        <f>IFERROR(VLOOKUP(D501,'Prob PRB Summary Data'!A:AG,24,FALSE),"")&amp;CHAR(10)</f>
        <v xml:space="preserve">
</v>
      </c>
    </row>
    <row r="507" spans="1:4" x14ac:dyDescent="0.25">
      <c r="C507" s="49" t="s">
        <v>82</v>
      </c>
      <c r="D507" s="56" t="str">
        <f>IFERROR(VLOOKUP(D501,'Prob PRB Summary Data'!A:AG,31,FALSE),"")</f>
        <v/>
      </c>
    </row>
    <row r="508" spans="1:4" x14ac:dyDescent="0.25">
      <c r="C508" s="49" t="s">
        <v>81</v>
      </c>
      <c r="D508" s="56" t="str">
        <f>IFERROR(VLOOKUP(D501,'Prob PRB Summary Data'!A:AG,16,FALSE),"")</f>
        <v/>
      </c>
    </row>
    <row r="509" spans="1:4" ht="30" x14ac:dyDescent="0.25">
      <c r="C509" s="49" t="s">
        <v>49</v>
      </c>
      <c r="D509" s="56" t="str">
        <f>IFERROR(VLOOKUP(D501,'Prob PRB Summary Data'!A:AG,25,FALSE),"")&amp;CHAR(10)</f>
        <v xml:space="preserve">
</v>
      </c>
    </row>
    <row r="510" spans="1:4" ht="30.75" thickBot="1" x14ac:dyDescent="0.3">
      <c r="C510" s="51" t="s">
        <v>50</v>
      </c>
      <c r="D510" s="52" t="str">
        <f>IFERROR(VLOOKUP(D501,'Prob PRB Summary Data'!A:AG,26,FALSE),"")&amp;CHAR(10)</f>
        <v xml:space="preserve">
</v>
      </c>
    </row>
    <row r="511" spans="1:4" ht="15.75" thickBot="1" x14ac:dyDescent="0.3">
      <c r="C511" s="53"/>
      <c r="D511" s="54"/>
    </row>
    <row r="512" spans="1:4" x14ac:dyDescent="0.25">
      <c r="A512" s="175" t="str">
        <f>IF(D512&lt;&gt;"","Comp","Blank")</f>
        <v>Blank</v>
      </c>
      <c r="C512" s="45" t="s">
        <v>84</v>
      </c>
      <c r="D512" s="55" t="str">
        <f>IF('Prob PRB Summary Data'!A48&lt;&gt;"",('Prob PRB Summary Data'!A48),"")</f>
        <v/>
      </c>
    </row>
    <row r="513" spans="1:4" x14ac:dyDescent="0.25">
      <c r="C513" s="47" t="s">
        <v>85</v>
      </c>
      <c r="D513" s="48" t="str">
        <f>IFERROR(VLOOKUP(D512,'Prob PRB Summary Data'!A:AG,8,FALSE),"")</f>
        <v/>
      </c>
    </row>
    <row r="514" spans="1:4" x14ac:dyDescent="0.25">
      <c r="C514" s="49" t="s">
        <v>46</v>
      </c>
      <c r="D514" s="56" t="str">
        <f>IFERROR(VLOOKUP(D512,'Prob PRB Summary Data'!A:AG,5,FALSE),"")</f>
        <v/>
      </c>
    </row>
    <row r="515" spans="1:4" x14ac:dyDescent="0.25">
      <c r="C515" s="49" t="s">
        <v>47</v>
      </c>
      <c r="D515" s="57" t="str">
        <f>IFERROR(VLOOKUP(D512,'Prob PRB Summary Data'!A:AG,9,FALSE),"")</f>
        <v/>
      </c>
    </row>
    <row r="516" spans="1:4" x14ac:dyDescent="0.25">
      <c r="C516" s="49" t="s">
        <v>110</v>
      </c>
      <c r="D516" s="159" t="str">
        <f>IFERROR(VLOOKUP(D512,'Prob PRB Summary Data'!A:AG,32,FALSE),"")</f>
        <v/>
      </c>
    </row>
    <row r="517" spans="1:4" ht="30" x14ac:dyDescent="0.25">
      <c r="C517" s="49" t="s">
        <v>48</v>
      </c>
      <c r="D517" s="56" t="str">
        <f>IFERROR(VLOOKUP(D512,'Prob PRB Summary Data'!A:AG,24,FALSE),"")&amp;CHAR(10)</f>
        <v xml:space="preserve">
</v>
      </c>
    </row>
    <row r="518" spans="1:4" x14ac:dyDescent="0.25">
      <c r="C518" s="49" t="s">
        <v>82</v>
      </c>
      <c r="D518" s="56" t="str">
        <f>IFERROR(VLOOKUP(D512,'Prob PRB Summary Data'!A:AG,31,FALSE),"")</f>
        <v/>
      </c>
    </row>
    <row r="519" spans="1:4" x14ac:dyDescent="0.25">
      <c r="C519" s="49" t="s">
        <v>81</v>
      </c>
      <c r="D519" s="56" t="str">
        <f>IFERROR(VLOOKUP(D512,'Prob PRB Summary Data'!A:AG,16,FALSE),"")</f>
        <v/>
      </c>
    </row>
    <row r="520" spans="1:4" ht="30" x14ac:dyDescent="0.25">
      <c r="C520" s="49" t="s">
        <v>49</v>
      </c>
      <c r="D520" s="56" t="str">
        <f>IFERROR(VLOOKUP(D512,'Prob PRB Summary Data'!A:AG,25,FALSE),"")&amp;CHAR(10)</f>
        <v xml:space="preserve">
</v>
      </c>
    </row>
    <row r="521" spans="1:4" ht="30.75" thickBot="1" x14ac:dyDescent="0.3">
      <c r="C521" s="51" t="s">
        <v>50</v>
      </c>
      <c r="D521" s="52" t="str">
        <f>IFERROR(VLOOKUP(D512,'Prob PRB Summary Data'!A:AG,26,FALSE),"")&amp;CHAR(10)</f>
        <v xml:space="preserve">
</v>
      </c>
    </row>
    <row r="522" spans="1:4" ht="15.75" thickBot="1" x14ac:dyDescent="0.3">
      <c r="C522" s="53"/>
      <c r="D522" s="54"/>
    </row>
    <row r="523" spans="1:4" x14ac:dyDescent="0.25">
      <c r="A523" s="175" t="str">
        <f>IF(D523&lt;&gt;"","Comp","Blank")</f>
        <v>Blank</v>
      </c>
      <c r="C523" s="45" t="s">
        <v>84</v>
      </c>
      <c r="D523" s="55" t="str">
        <f>IF('Prob PRB Summary Data'!A49&lt;&gt;"",('Prob PRB Summary Data'!A49),"")</f>
        <v/>
      </c>
    </row>
    <row r="524" spans="1:4" x14ac:dyDescent="0.25">
      <c r="C524" s="47" t="s">
        <v>85</v>
      </c>
      <c r="D524" s="48" t="str">
        <f>IFERROR(VLOOKUP(D523,'Prob PRB Summary Data'!A:AG,8,FALSE),"")</f>
        <v/>
      </c>
    </row>
    <row r="525" spans="1:4" x14ac:dyDescent="0.25">
      <c r="C525" s="49" t="s">
        <v>46</v>
      </c>
      <c r="D525" s="56" t="str">
        <f>IFERROR(VLOOKUP(D523,'Prob PRB Summary Data'!A:AG,5,FALSE),"")</f>
        <v/>
      </c>
    </row>
    <row r="526" spans="1:4" x14ac:dyDescent="0.25">
      <c r="C526" s="49" t="s">
        <v>47</v>
      </c>
      <c r="D526" s="57" t="str">
        <f>IFERROR(VLOOKUP(D523,'Prob PRB Summary Data'!A:AG,9,FALSE),"")</f>
        <v/>
      </c>
    </row>
    <row r="527" spans="1:4" x14ac:dyDescent="0.25">
      <c r="C527" s="49" t="s">
        <v>110</v>
      </c>
      <c r="D527" s="159" t="str">
        <f>IFERROR(VLOOKUP(D523,'Prob PRB Summary Data'!A:AG,32,FALSE),"")</f>
        <v/>
      </c>
    </row>
    <row r="528" spans="1:4" ht="30" x14ac:dyDescent="0.25">
      <c r="C528" s="49" t="s">
        <v>48</v>
      </c>
      <c r="D528" s="56" t="str">
        <f>IFERROR(VLOOKUP(D523,'Prob PRB Summary Data'!A:AG,24,FALSE),"")&amp;CHAR(10)</f>
        <v xml:space="preserve">
</v>
      </c>
    </row>
    <row r="529" spans="1:4" x14ac:dyDescent="0.25">
      <c r="C529" s="49" t="s">
        <v>82</v>
      </c>
      <c r="D529" s="56" t="str">
        <f>IFERROR(VLOOKUP(D523,'Prob PRB Summary Data'!A:AG,31,FALSE),"")</f>
        <v/>
      </c>
    </row>
    <row r="530" spans="1:4" x14ac:dyDescent="0.25">
      <c r="C530" s="49" t="s">
        <v>81</v>
      </c>
      <c r="D530" s="56" t="str">
        <f>IFERROR(VLOOKUP(D523,'Prob PRB Summary Data'!A:AG,16,FALSE),"")</f>
        <v/>
      </c>
    </row>
    <row r="531" spans="1:4" ht="30" x14ac:dyDescent="0.25">
      <c r="C531" s="49" t="s">
        <v>49</v>
      </c>
      <c r="D531" s="56" t="str">
        <f>IFERROR(VLOOKUP(D523,'Prob PRB Summary Data'!A:AG,25,FALSE),"")&amp;CHAR(10)</f>
        <v xml:space="preserve">
</v>
      </c>
    </row>
    <row r="532" spans="1:4" ht="30.75" thickBot="1" x14ac:dyDescent="0.3">
      <c r="C532" s="51" t="s">
        <v>50</v>
      </c>
      <c r="D532" s="52" t="str">
        <f>IFERROR(VLOOKUP(D523,'Prob PRB Summary Data'!A:AG,26,FALSE),"")&amp;CHAR(10)</f>
        <v xml:space="preserve">
</v>
      </c>
    </row>
    <row r="533" spans="1:4" ht="15.75" thickBot="1" x14ac:dyDescent="0.3">
      <c r="C533" s="53"/>
      <c r="D533" s="54"/>
    </row>
    <row r="534" spans="1:4" x14ac:dyDescent="0.25">
      <c r="A534" s="175" t="str">
        <f>IF(D534&lt;&gt;"","Comp","Blank")</f>
        <v>Blank</v>
      </c>
      <c r="C534" s="45" t="s">
        <v>84</v>
      </c>
      <c r="D534" s="55" t="str">
        <f>IF('Prob PRB Summary Data'!A50&lt;&gt;"",('Prob PRB Summary Data'!A50),"")</f>
        <v/>
      </c>
    </row>
    <row r="535" spans="1:4" x14ac:dyDescent="0.25">
      <c r="C535" s="47" t="s">
        <v>85</v>
      </c>
      <c r="D535" s="48" t="str">
        <f>IFERROR(VLOOKUP(D534,'Prob PRB Summary Data'!A:AG,8,FALSE),"")</f>
        <v/>
      </c>
    </row>
    <row r="536" spans="1:4" x14ac:dyDescent="0.25">
      <c r="C536" s="49" t="s">
        <v>46</v>
      </c>
      <c r="D536" s="56" t="str">
        <f>IFERROR(VLOOKUP(D534,'Prob PRB Summary Data'!A:AG,5,FALSE),"")</f>
        <v/>
      </c>
    </row>
    <row r="537" spans="1:4" x14ac:dyDescent="0.25">
      <c r="C537" s="49" t="s">
        <v>47</v>
      </c>
      <c r="D537" s="57" t="str">
        <f>IFERROR(VLOOKUP(D534,'Prob PRB Summary Data'!A:AG,9,FALSE),"")</f>
        <v/>
      </c>
    </row>
    <row r="538" spans="1:4" x14ac:dyDescent="0.25">
      <c r="C538" s="49" t="s">
        <v>110</v>
      </c>
      <c r="D538" s="159" t="str">
        <f>IFERROR(VLOOKUP(D534,'Prob PRB Summary Data'!A:AG,32,FALSE),"")</f>
        <v/>
      </c>
    </row>
    <row r="539" spans="1:4" ht="30" x14ac:dyDescent="0.25">
      <c r="C539" s="49" t="s">
        <v>48</v>
      </c>
      <c r="D539" s="56" t="str">
        <f>IFERROR(VLOOKUP(D534,'Prob PRB Summary Data'!A:AG,24,FALSE),"")&amp;CHAR(10)</f>
        <v xml:space="preserve">
</v>
      </c>
    </row>
    <row r="540" spans="1:4" x14ac:dyDescent="0.25">
      <c r="C540" s="49" t="s">
        <v>82</v>
      </c>
      <c r="D540" s="56" t="str">
        <f>IFERROR(VLOOKUP(D534,'Prob PRB Summary Data'!A:AG,31,FALSE),"")</f>
        <v/>
      </c>
    </row>
    <row r="541" spans="1:4" x14ac:dyDescent="0.25">
      <c r="C541" s="49" t="s">
        <v>81</v>
      </c>
      <c r="D541" s="56" t="str">
        <f>IFERROR(VLOOKUP(D534,'Prob PRB Summary Data'!A:AG,16,FALSE),"")</f>
        <v/>
      </c>
    </row>
    <row r="542" spans="1:4" ht="30" x14ac:dyDescent="0.25">
      <c r="C542" s="49" t="s">
        <v>49</v>
      </c>
      <c r="D542" s="56" t="str">
        <f>IFERROR(VLOOKUP(D534,'Prob PRB Summary Data'!A:AG,25,FALSE),"")&amp;CHAR(10)</f>
        <v xml:space="preserve">
</v>
      </c>
    </row>
    <row r="543" spans="1:4" ht="30.75" thickBot="1" x14ac:dyDescent="0.3">
      <c r="C543" s="51" t="s">
        <v>50</v>
      </c>
      <c r="D543" s="52" t="str">
        <f>IFERROR(VLOOKUP(D534,'Prob PRB Summary Data'!A:AG,26,FALSE),"")&amp;CHAR(10)</f>
        <v xml:space="preserve">
</v>
      </c>
    </row>
    <row r="544" spans="1:4" ht="15.75" thickBot="1" x14ac:dyDescent="0.3">
      <c r="C544" s="53"/>
      <c r="D544" s="54"/>
    </row>
    <row r="545" spans="1:4" x14ac:dyDescent="0.25">
      <c r="A545" s="175" t="str">
        <f>IF(D545&lt;&gt;"","Comp","Blank")</f>
        <v>Blank</v>
      </c>
      <c r="C545" s="45" t="s">
        <v>84</v>
      </c>
      <c r="D545" s="55" t="str">
        <f>IF('Prob PRB Summary Data'!A51&lt;&gt;"",('Prob PRB Summary Data'!A51),"")</f>
        <v/>
      </c>
    </row>
    <row r="546" spans="1:4" x14ac:dyDescent="0.25">
      <c r="C546" s="47" t="s">
        <v>85</v>
      </c>
      <c r="D546" s="48" t="str">
        <f>IFERROR(VLOOKUP(D545,'Prob PRB Summary Data'!A:AG,8,FALSE),"")</f>
        <v/>
      </c>
    </row>
    <row r="547" spans="1:4" x14ac:dyDescent="0.25">
      <c r="C547" s="49" t="s">
        <v>46</v>
      </c>
      <c r="D547" s="56" t="str">
        <f>IFERROR(VLOOKUP(D545,'Prob PRB Summary Data'!A:AG,5,FALSE),"")</f>
        <v/>
      </c>
    </row>
    <row r="548" spans="1:4" x14ac:dyDescent="0.25">
      <c r="C548" s="49" t="s">
        <v>47</v>
      </c>
      <c r="D548" s="57" t="str">
        <f>IFERROR(VLOOKUP(D545,'Prob PRB Summary Data'!A:AG,9,FALSE),"")</f>
        <v/>
      </c>
    </row>
    <row r="549" spans="1:4" x14ac:dyDescent="0.25">
      <c r="C549" s="49" t="s">
        <v>110</v>
      </c>
      <c r="D549" s="159" t="str">
        <f>IFERROR(VLOOKUP(D545,'Prob PRB Summary Data'!A:AG,32,FALSE),"")</f>
        <v/>
      </c>
    </row>
    <row r="550" spans="1:4" ht="30" x14ac:dyDescent="0.25">
      <c r="C550" s="49" t="s">
        <v>48</v>
      </c>
      <c r="D550" s="56" t="str">
        <f>IFERROR(VLOOKUP(D545,'Prob PRB Summary Data'!A:AG,24,FALSE),"")&amp;CHAR(10)</f>
        <v xml:space="preserve">
</v>
      </c>
    </row>
    <row r="551" spans="1:4" x14ac:dyDescent="0.25">
      <c r="C551" s="49" t="s">
        <v>82</v>
      </c>
      <c r="D551" s="56" t="str">
        <f>IFERROR(VLOOKUP(D545,'Prob PRB Summary Data'!A:AG,31,FALSE),"")</f>
        <v/>
      </c>
    </row>
    <row r="552" spans="1:4" x14ac:dyDescent="0.25">
      <c r="C552" s="49" t="s">
        <v>81</v>
      </c>
      <c r="D552" s="56" t="str">
        <f>IFERROR(VLOOKUP(D545,'Prob PRB Summary Data'!A:AG,16,FALSE),"")</f>
        <v/>
      </c>
    </row>
    <row r="553" spans="1:4" ht="30" x14ac:dyDescent="0.25">
      <c r="C553" s="49" t="s">
        <v>49</v>
      </c>
      <c r="D553" s="56" t="str">
        <f>IFERROR(VLOOKUP(D545,'Prob PRB Summary Data'!A:AG,25,FALSE),"")&amp;CHAR(10)</f>
        <v xml:space="preserve">
</v>
      </c>
    </row>
    <row r="554" spans="1:4" ht="30.75" thickBot="1" x14ac:dyDescent="0.3">
      <c r="C554" s="51" t="s">
        <v>50</v>
      </c>
      <c r="D554" s="52" t="str">
        <f>IFERROR(VLOOKUP(D545,'Prob PRB Summary Data'!A:AG,26,FALSE),"")&amp;CHAR(10)</f>
        <v xml:space="preserve">
</v>
      </c>
    </row>
    <row r="555" spans="1:4" ht="15.75" thickBot="1" x14ac:dyDescent="0.3">
      <c r="C555" s="53"/>
      <c r="D555" s="54"/>
    </row>
    <row r="556" spans="1:4" x14ac:dyDescent="0.25">
      <c r="A556" s="175" t="str">
        <f>IF(D556&lt;&gt;"","Comp","Blank")</f>
        <v>Blank</v>
      </c>
      <c r="C556" s="45" t="s">
        <v>84</v>
      </c>
      <c r="D556" s="55" t="str">
        <f>IF('Prob PRB Summary Data'!A52&lt;&gt;"",('Prob PRB Summary Data'!A52),"")</f>
        <v/>
      </c>
    </row>
    <row r="557" spans="1:4" x14ac:dyDescent="0.25">
      <c r="C557" s="47" t="s">
        <v>85</v>
      </c>
      <c r="D557" s="48" t="str">
        <f>IFERROR(VLOOKUP(D556,'Prob PRB Summary Data'!A:AG,8,FALSE),"")</f>
        <v/>
      </c>
    </row>
    <row r="558" spans="1:4" x14ac:dyDescent="0.25">
      <c r="C558" s="49" t="s">
        <v>46</v>
      </c>
      <c r="D558" s="56" t="str">
        <f>IFERROR(VLOOKUP(D556,'Prob PRB Summary Data'!A:AG,5,FALSE),"")</f>
        <v/>
      </c>
    </row>
    <row r="559" spans="1:4" x14ac:dyDescent="0.25">
      <c r="C559" s="49" t="s">
        <v>47</v>
      </c>
      <c r="D559" s="57" t="str">
        <f>IFERROR(VLOOKUP(D556,'Prob PRB Summary Data'!A:AG,9,FALSE),"")</f>
        <v/>
      </c>
    </row>
    <row r="560" spans="1:4" x14ac:dyDescent="0.25">
      <c r="C560" s="49" t="s">
        <v>110</v>
      </c>
      <c r="D560" s="159" t="str">
        <f>IFERROR(VLOOKUP(D556,'Prob PRB Summary Data'!A:AG,32,FALSE),"")</f>
        <v/>
      </c>
    </row>
    <row r="561" spans="1:4" ht="30" x14ac:dyDescent="0.25">
      <c r="C561" s="49" t="s">
        <v>48</v>
      </c>
      <c r="D561" s="56" t="str">
        <f>IFERROR(VLOOKUP(D556,'Prob PRB Summary Data'!A:AG,24,FALSE),"")&amp;CHAR(10)</f>
        <v xml:space="preserve">
</v>
      </c>
    </row>
    <row r="562" spans="1:4" x14ac:dyDescent="0.25">
      <c r="C562" s="49" t="s">
        <v>82</v>
      </c>
      <c r="D562" s="56" t="str">
        <f>IFERROR(VLOOKUP(D556,'Prob PRB Summary Data'!A:AG,31,FALSE),"")</f>
        <v/>
      </c>
    </row>
    <row r="563" spans="1:4" x14ac:dyDescent="0.25">
      <c r="C563" s="49" t="s">
        <v>81</v>
      </c>
      <c r="D563" s="56" t="str">
        <f>IFERROR(VLOOKUP(D556,'Prob PRB Summary Data'!A:AG,16,FALSE),"")</f>
        <v/>
      </c>
    </row>
    <row r="564" spans="1:4" ht="30" x14ac:dyDescent="0.25">
      <c r="C564" s="49" t="s">
        <v>49</v>
      </c>
      <c r="D564" s="56" t="str">
        <f>IFERROR(VLOOKUP(D556,'Prob PRB Summary Data'!A:AG,25,FALSE),"")&amp;CHAR(10)</f>
        <v xml:space="preserve">
</v>
      </c>
    </row>
    <row r="565" spans="1:4" ht="30.75" thickBot="1" x14ac:dyDescent="0.3">
      <c r="C565" s="51" t="s">
        <v>50</v>
      </c>
      <c r="D565" s="52" t="str">
        <f>IFERROR(VLOOKUP(D556,'Prob PRB Summary Data'!A:AG,26,FALSE),"")&amp;CHAR(10)</f>
        <v xml:space="preserve">
</v>
      </c>
    </row>
    <row r="566" spans="1:4" ht="15.75" thickBot="1" x14ac:dyDescent="0.3">
      <c r="C566" s="53"/>
      <c r="D566" s="54"/>
    </row>
    <row r="567" spans="1:4" x14ac:dyDescent="0.25">
      <c r="A567" s="175" t="str">
        <f>IF(D567&lt;&gt;"","Comp","Blank")</f>
        <v>Blank</v>
      </c>
      <c r="C567" s="45" t="s">
        <v>84</v>
      </c>
      <c r="D567" s="55" t="str">
        <f>IF('Prob PRB Summary Data'!A53&lt;&gt;"",('Prob PRB Summary Data'!A53),"")</f>
        <v/>
      </c>
    </row>
    <row r="568" spans="1:4" x14ac:dyDescent="0.25">
      <c r="C568" s="47" t="s">
        <v>85</v>
      </c>
      <c r="D568" s="48" t="str">
        <f>IFERROR(VLOOKUP(D567,'Prob PRB Summary Data'!A:AG,8,FALSE),"")</f>
        <v/>
      </c>
    </row>
    <row r="569" spans="1:4" x14ac:dyDescent="0.25">
      <c r="C569" s="49" t="s">
        <v>46</v>
      </c>
      <c r="D569" s="56" t="str">
        <f>IFERROR(VLOOKUP(D567,'Prob PRB Summary Data'!A:AG,5,FALSE),"")</f>
        <v/>
      </c>
    </row>
    <row r="570" spans="1:4" x14ac:dyDescent="0.25">
      <c r="C570" s="49" t="s">
        <v>47</v>
      </c>
      <c r="D570" s="57" t="str">
        <f>IFERROR(VLOOKUP(D567,'Prob PRB Summary Data'!A:AG,9,FALSE),"")</f>
        <v/>
      </c>
    </row>
    <row r="571" spans="1:4" x14ac:dyDescent="0.25">
      <c r="C571" s="49" t="s">
        <v>110</v>
      </c>
      <c r="D571" s="159" t="str">
        <f>IFERROR(VLOOKUP(D567,'Prob PRB Summary Data'!A:AG,32,FALSE),"")</f>
        <v/>
      </c>
    </row>
    <row r="572" spans="1:4" ht="30" x14ac:dyDescent="0.25">
      <c r="C572" s="49" t="s">
        <v>48</v>
      </c>
      <c r="D572" s="56" t="str">
        <f>IFERROR(VLOOKUP(D567,'Prob PRB Summary Data'!A:AG,24,FALSE),"")&amp;CHAR(10)</f>
        <v xml:space="preserve">
</v>
      </c>
    </row>
    <row r="573" spans="1:4" x14ac:dyDescent="0.25">
      <c r="C573" s="49" t="s">
        <v>82</v>
      </c>
      <c r="D573" s="56" t="str">
        <f>IFERROR(VLOOKUP(D567,'Prob PRB Summary Data'!A:AG,31,FALSE),"")</f>
        <v/>
      </c>
    </row>
    <row r="574" spans="1:4" x14ac:dyDescent="0.25">
      <c r="C574" s="49" t="s">
        <v>81</v>
      </c>
      <c r="D574" s="56" t="str">
        <f>IFERROR(VLOOKUP(D567,'Prob PRB Summary Data'!A:AG,16,FALSE),"")</f>
        <v/>
      </c>
    </row>
    <row r="575" spans="1:4" ht="30" x14ac:dyDescent="0.25">
      <c r="C575" s="49" t="s">
        <v>49</v>
      </c>
      <c r="D575" s="56" t="str">
        <f>IFERROR(VLOOKUP(D567,'Prob PRB Summary Data'!A:AG,25,FALSE),"")&amp;CHAR(10)</f>
        <v xml:space="preserve">
</v>
      </c>
    </row>
    <row r="576" spans="1:4" ht="30.75" thickBot="1" x14ac:dyDescent="0.3">
      <c r="C576" s="51" t="s">
        <v>50</v>
      </c>
      <c r="D576" s="52" t="str">
        <f>IFERROR(VLOOKUP(D567,'Prob PRB Summary Data'!A:AG,26,FALSE),"")&amp;CHAR(10)</f>
        <v xml:space="preserve">
</v>
      </c>
    </row>
    <row r="577" spans="1:4" ht="15.75" thickBot="1" x14ac:dyDescent="0.3">
      <c r="C577" s="53"/>
      <c r="D577" s="54"/>
    </row>
    <row r="578" spans="1:4" x14ac:dyDescent="0.25">
      <c r="A578" s="175" t="str">
        <f>IF(D578&lt;&gt;"","Comp","Blank")</f>
        <v>Blank</v>
      </c>
      <c r="C578" s="45" t="s">
        <v>84</v>
      </c>
      <c r="D578" s="55" t="str">
        <f>IF('Prob PRB Summary Data'!A54&lt;&gt;"",('Prob PRB Summary Data'!A54),"")</f>
        <v/>
      </c>
    </row>
    <row r="579" spans="1:4" x14ac:dyDescent="0.25">
      <c r="C579" s="47" t="s">
        <v>85</v>
      </c>
      <c r="D579" s="48" t="str">
        <f>IFERROR(VLOOKUP(D578,'Prob PRB Summary Data'!A:AG,8,FALSE),"")</f>
        <v/>
      </c>
    </row>
    <row r="580" spans="1:4" x14ac:dyDescent="0.25">
      <c r="C580" s="49" t="s">
        <v>46</v>
      </c>
      <c r="D580" s="56" t="str">
        <f>IFERROR(VLOOKUP(D578,'Prob PRB Summary Data'!A:AG,5,FALSE),"")</f>
        <v/>
      </c>
    </row>
    <row r="581" spans="1:4" x14ac:dyDescent="0.25">
      <c r="C581" s="49" t="s">
        <v>47</v>
      </c>
      <c r="D581" s="57" t="str">
        <f>IFERROR(VLOOKUP(D578,'Prob PRB Summary Data'!A:AG,9,FALSE),"")</f>
        <v/>
      </c>
    </row>
    <row r="582" spans="1:4" x14ac:dyDescent="0.25">
      <c r="C582" s="49" t="s">
        <v>110</v>
      </c>
      <c r="D582" s="159" t="str">
        <f>IFERROR(VLOOKUP(D578,'Prob PRB Summary Data'!A:AG,32,FALSE),"")</f>
        <v/>
      </c>
    </row>
    <row r="583" spans="1:4" ht="30" x14ac:dyDescent="0.25">
      <c r="C583" s="49" t="s">
        <v>48</v>
      </c>
      <c r="D583" s="56" t="str">
        <f>IFERROR(VLOOKUP(D578,'Prob PRB Summary Data'!A:AG,24,FALSE),"")&amp;CHAR(10)</f>
        <v xml:space="preserve">
</v>
      </c>
    </row>
    <row r="584" spans="1:4" x14ac:dyDescent="0.25">
      <c r="C584" s="49" t="s">
        <v>82</v>
      </c>
      <c r="D584" s="56" t="str">
        <f>IFERROR(VLOOKUP(D578,'Prob PRB Summary Data'!A:AG,31,FALSE),"")</f>
        <v/>
      </c>
    </row>
    <row r="585" spans="1:4" x14ac:dyDescent="0.25">
      <c r="C585" s="49" t="s">
        <v>81</v>
      </c>
      <c r="D585" s="56" t="str">
        <f>IFERROR(VLOOKUP(D578,'Prob PRB Summary Data'!A:AG,16,FALSE),"")</f>
        <v/>
      </c>
    </row>
    <row r="586" spans="1:4" ht="30" x14ac:dyDescent="0.25">
      <c r="C586" s="49" t="s">
        <v>49</v>
      </c>
      <c r="D586" s="56" t="str">
        <f>IFERROR(VLOOKUP(D578,'Prob PRB Summary Data'!A:AG,25,FALSE),"")&amp;CHAR(10)</f>
        <v xml:space="preserve">
</v>
      </c>
    </row>
    <row r="587" spans="1:4" ht="30.75" thickBot="1" x14ac:dyDescent="0.3">
      <c r="C587" s="51" t="s">
        <v>50</v>
      </c>
      <c r="D587" s="52" t="str">
        <f>IFERROR(VLOOKUP(D578,'Prob PRB Summary Data'!A:AG,26,FALSE),"")&amp;CHAR(10)</f>
        <v xml:space="preserve">
</v>
      </c>
    </row>
    <row r="588" spans="1:4" ht="15.75" thickBot="1" x14ac:dyDescent="0.3">
      <c r="C588" s="53"/>
      <c r="D588" s="54"/>
    </row>
    <row r="589" spans="1:4" x14ac:dyDescent="0.25">
      <c r="A589" s="175" t="str">
        <f>IF(D589&lt;&gt;"","Comp","Blank")</f>
        <v>Blank</v>
      </c>
      <c r="C589" s="45" t="s">
        <v>84</v>
      </c>
      <c r="D589" s="55" t="str">
        <f>IF('Prob PRB Summary Data'!A55&lt;&gt;"",('Prob PRB Summary Data'!A55),"")</f>
        <v/>
      </c>
    </row>
    <row r="590" spans="1:4" x14ac:dyDescent="0.25">
      <c r="C590" s="47" t="s">
        <v>85</v>
      </c>
      <c r="D590" s="48" t="str">
        <f>IFERROR(VLOOKUP(D589,'Prob PRB Summary Data'!A:AG,8,FALSE),"")</f>
        <v/>
      </c>
    </row>
    <row r="591" spans="1:4" x14ac:dyDescent="0.25">
      <c r="C591" s="49" t="s">
        <v>46</v>
      </c>
      <c r="D591" s="56" t="str">
        <f>IFERROR(VLOOKUP(D589,'Prob PRB Summary Data'!A:AG,5,FALSE),"")</f>
        <v/>
      </c>
    </row>
    <row r="592" spans="1:4" x14ac:dyDescent="0.25">
      <c r="C592" s="49" t="s">
        <v>47</v>
      </c>
      <c r="D592" s="57" t="str">
        <f>IFERROR(VLOOKUP(D589,'Prob PRB Summary Data'!A:AG,9,FALSE),"")</f>
        <v/>
      </c>
    </row>
    <row r="593" spans="1:4" x14ac:dyDescent="0.25">
      <c r="C593" s="49" t="s">
        <v>110</v>
      </c>
      <c r="D593" s="159" t="str">
        <f>IFERROR(VLOOKUP(D589,'Prob PRB Summary Data'!A:AG,32,FALSE),"")</f>
        <v/>
      </c>
    </row>
    <row r="594" spans="1:4" ht="30" x14ac:dyDescent="0.25">
      <c r="C594" s="49" t="s">
        <v>48</v>
      </c>
      <c r="D594" s="56" t="str">
        <f>IFERROR(VLOOKUP(D589,'Prob PRB Summary Data'!A:AG,24,FALSE),"")&amp;CHAR(10)</f>
        <v xml:space="preserve">
</v>
      </c>
    </row>
    <row r="595" spans="1:4" x14ac:dyDescent="0.25">
      <c r="C595" s="49" t="s">
        <v>82</v>
      </c>
      <c r="D595" s="56" t="str">
        <f>IFERROR(VLOOKUP(D589,'Prob PRB Summary Data'!A:AG,31,FALSE),"")</f>
        <v/>
      </c>
    </row>
    <row r="596" spans="1:4" x14ac:dyDescent="0.25">
      <c r="C596" s="49" t="s">
        <v>81</v>
      </c>
      <c r="D596" s="56" t="str">
        <f>IFERROR(VLOOKUP(D589,'Prob PRB Summary Data'!A:AG,16,FALSE),"")</f>
        <v/>
      </c>
    </row>
    <row r="597" spans="1:4" ht="30" x14ac:dyDescent="0.25">
      <c r="C597" s="49" t="s">
        <v>49</v>
      </c>
      <c r="D597" s="56" t="str">
        <f>IFERROR(VLOOKUP(D589,'Prob PRB Summary Data'!A:AG,25,FALSE),"")&amp;CHAR(10)</f>
        <v xml:space="preserve">
</v>
      </c>
    </row>
    <row r="598" spans="1:4" ht="30.75" thickBot="1" x14ac:dyDescent="0.3">
      <c r="C598" s="51" t="s">
        <v>50</v>
      </c>
      <c r="D598" s="52" t="str">
        <f>IFERROR(VLOOKUP(D589,'Prob PRB Summary Data'!A:AG,26,FALSE),"")&amp;CHAR(10)</f>
        <v xml:space="preserve">
</v>
      </c>
    </row>
    <row r="599" spans="1:4" ht="15.75" thickBot="1" x14ac:dyDescent="0.3">
      <c r="C599" s="53"/>
      <c r="D599" s="54"/>
    </row>
    <row r="600" spans="1:4" x14ac:dyDescent="0.25">
      <c r="A600" s="175" t="str">
        <f>IF(D600&lt;&gt;"","Comp","Blank")</f>
        <v>Blank</v>
      </c>
      <c r="C600" s="45" t="s">
        <v>84</v>
      </c>
      <c r="D600" s="55" t="str">
        <f>IF('Prob PRB Summary Data'!A56&lt;&gt;"",('Prob PRB Summary Data'!A56),"")</f>
        <v/>
      </c>
    </row>
    <row r="601" spans="1:4" x14ac:dyDescent="0.25">
      <c r="C601" s="47" t="s">
        <v>85</v>
      </c>
      <c r="D601" s="48" t="str">
        <f>IFERROR(VLOOKUP(D600,'Prob PRB Summary Data'!A:AG,8,FALSE),"")</f>
        <v/>
      </c>
    </row>
    <row r="602" spans="1:4" x14ac:dyDescent="0.25">
      <c r="C602" s="49" t="s">
        <v>46</v>
      </c>
      <c r="D602" s="56" t="str">
        <f>IFERROR(VLOOKUP(D600,'Prob PRB Summary Data'!A:AG,5,FALSE),"")</f>
        <v/>
      </c>
    </row>
    <row r="603" spans="1:4" x14ac:dyDescent="0.25">
      <c r="C603" s="49" t="s">
        <v>47</v>
      </c>
      <c r="D603" s="57" t="str">
        <f>IFERROR(VLOOKUP(D600,'Prob PRB Summary Data'!A:AG,9,FALSE),"")</f>
        <v/>
      </c>
    </row>
    <row r="604" spans="1:4" x14ac:dyDescent="0.25">
      <c r="C604" s="49" t="s">
        <v>110</v>
      </c>
      <c r="D604" s="159" t="str">
        <f>IFERROR(VLOOKUP(D600,'Prob PRB Summary Data'!A:AG,32,FALSE),"")</f>
        <v/>
      </c>
    </row>
    <row r="605" spans="1:4" ht="30" x14ac:dyDescent="0.25">
      <c r="C605" s="49" t="s">
        <v>48</v>
      </c>
      <c r="D605" s="56" t="str">
        <f>IFERROR(VLOOKUP(D600,'Prob PRB Summary Data'!A:AG,24,FALSE),"")&amp;CHAR(10)</f>
        <v xml:space="preserve">
</v>
      </c>
    </row>
    <row r="606" spans="1:4" x14ac:dyDescent="0.25">
      <c r="C606" s="49" t="s">
        <v>82</v>
      </c>
      <c r="D606" s="56" t="str">
        <f>IFERROR(VLOOKUP(D600,'Prob PRB Summary Data'!A:AG,31,FALSE),"")</f>
        <v/>
      </c>
    </row>
    <row r="607" spans="1:4" x14ac:dyDescent="0.25">
      <c r="C607" s="49" t="s">
        <v>81</v>
      </c>
      <c r="D607" s="56" t="str">
        <f>IFERROR(VLOOKUP(D600,'Prob PRB Summary Data'!A:AG,16,FALSE),"")</f>
        <v/>
      </c>
    </row>
    <row r="608" spans="1:4" ht="30" x14ac:dyDescent="0.25">
      <c r="C608" s="49" t="s">
        <v>49</v>
      </c>
      <c r="D608" s="56" t="str">
        <f>IFERROR(VLOOKUP(D600,'Prob PRB Summary Data'!A:AG,25,FALSE),"")&amp;CHAR(10)</f>
        <v xml:space="preserve">
</v>
      </c>
    </row>
    <row r="609" spans="1:4" ht="30.75" thickBot="1" x14ac:dyDescent="0.3">
      <c r="C609" s="51" t="s">
        <v>50</v>
      </c>
      <c r="D609" s="52" t="str">
        <f>IFERROR(VLOOKUP(D600,'Prob PRB Summary Data'!A:AG,26,FALSE),"")&amp;CHAR(10)</f>
        <v xml:space="preserve">
</v>
      </c>
    </row>
    <row r="610" spans="1:4" ht="15.75" thickBot="1" x14ac:dyDescent="0.3">
      <c r="C610" s="53"/>
      <c r="D610" s="54"/>
    </row>
    <row r="611" spans="1:4" x14ac:dyDescent="0.25">
      <c r="A611" s="175" t="str">
        <f>IF(D611&lt;&gt;"","Comp","Blank")</f>
        <v>Blank</v>
      </c>
      <c r="C611" s="45" t="s">
        <v>84</v>
      </c>
      <c r="D611" s="55" t="str">
        <f>IF('Prob PRB Summary Data'!A57&lt;&gt;"",('Prob PRB Summary Data'!A57),"")</f>
        <v/>
      </c>
    </row>
    <row r="612" spans="1:4" x14ac:dyDescent="0.25">
      <c r="C612" s="47" t="s">
        <v>85</v>
      </c>
      <c r="D612" s="48" t="str">
        <f>IFERROR(VLOOKUP(D611,'Prob PRB Summary Data'!A:AG,8,FALSE),"")</f>
        <v/>
      </c>
    </row>
    <row r="613" spans="1:4" x14ac:dyDescent="0.25">
      <c r="C613" s="49" t="s">
        <v>46</v>
      </c>
      <c r="D613" s="56" t="str">
        <f>IFERROR(VLOOKUP(D611,'Prob PRB Summary Data'!A:AG,5,FALSE),"")</f>
        <v/>
      </c>
    </row>
    <row r="614" spans="1:4" x14ac:dyDescent="0.25">
      <c r="C614" s="49" t="s">
        <v>47</v>
      </c>
      <c r="D614" s="57" t="str">
        <f>IFERROR(VLOOKUP(D611,'Prob PRB Summary Data'!A:AG,9,FALSE),"")</f>
        <v/>
      </c>
    </row>
    <row r="615" spans="1:4" x14ac:dyDescent="0.25">
      <c r="C615" s="49" t="s">
        <v>110</v>
      </c>
      <c r="D615" s="159" t="str">
        <f>IFERROR(VLOOKUP(D611,'Prob PRB Summary Data'!A:AG,32,FALSE),"")</f>
        <v/>
      </c>
    </row>
    <row r="616" spans="1:4" ht="30" x14ac:dyDescent="0.25">
      <c r="C616" s="49" t="s">
        <v>48</v>
      </c>
      <c r="D616" s="56" t="str">
        <f>IFERROR(VLOOKUP(D611,'Prob PRB Summary Data'!A:AG,24,FALSE),"")&amp;CHAR(10)</f>
        <v xml:space="preserve">
</v>
      </c>
    </row>
    <row r="617" spans="1:4" x14ac:dyDescent="0.25">
      <c r="C617" s="49" t="s">
        <v>82</v>
      </c>
      <c r="D617" s="56" t="str">
        <f>IFERROR(VLOOKUP(D611,'Prob PRB Summary Data'!A:AG,31,FALSE),"")</f>
        <v/>
      </c>
    </row>
    <row r="618" spans="1:4" x14ac:dyDescent="0.25">
      <c r="C618" s="49" t="s">
        <v>81</v>
      </c>
      <c r="D618" s="56" t="str">
        <f>IFERROR(VLOOKUP(D611,'Prob PRB Summary Data'!A:AG,16,FALSE),"")</f>
        <v/>
      </c>
    </row>
    <row r="619" spans="1:4" ht="30" x14ac:dyDescent="0.25">
      <c r="C619" s="49" t="s">
        <v>49</v>
      </c>
      <c r="D619" s="56" t="str">
        <f>IFERROR(VLOOKUP(D611,'Prob PRB Summary Data'!A:AG,25,FALSE),"")&amp;CHAR(10)</f>
        <v xml:space="preserve">
</v>
      </c>
    </row>
    <row r="620" spans="1:4" ht="30.75" thickBot="1" x14ac:dyDescent="0.3">
      <c r="C620" s="51" t="s">
        <v>50</v>
      </c>
      <c r="D620" s="52" t="str">
        <f>IFERROR(VLOOKUP(D611,'Prob PRB Summary Data'!A:AG,26,FALSE),"")&amp;CHAR(10)</f>
        <v xml:space="preserve">
</v>
      </c>
    </row>
    <row r="621" spans="1:4" ht="15.75" thickBot="1" x14ac:dyDescent="0.3">
      <c r="C621" s="53"/>
      <c r="D621" s="54"/>
    </row>
    <row r="622" spans="1:4" x14ac:dyDescent="0.25">
      <c r="A622" s="175" t="str">
        <f>IF(D622&lt;&gt;"","Comp","Blank")</f>
        <v>Blank</v>
      </c>
      <c r="C622" s="45" t="s">
        <v>84</v>
      </c>
      <c r="D622" s="55" t="str">
        <f>IF('Prob PRB Summary Data'!A58&lt;&gt;"",('Prob PRB Summary Data'!A58),"")</f>
        <v/>
      </c>
    </row>
    <row r="623" spans="1:4" x14ac:dyDescent="0.25">
      <c r="C623" s="47" t="s">
        <v>85</v>
      </c>
      <c r="D623" s="48" t="str">
        <f>IFERROR(VLOOKUP(D622,'Prob PRB Summary Data'!A:AG,8,FALSE),"")</f>
        <v/>
      </c>
    </row>
    <row r="624" spans="1:4" x14ac:dyDescent="0.25">
      <c r="C624" s="49" t="s">
        <v>46</v>
      </c>
      <c r="D624" s="56" t="str">
        <f>IFERROR(VLOOKUP(D622,'Prob PRB Summary Data'!A:AG,5,FALSE),"")</f>
        <v/>
      </c>
    </row>
    <row r="625" spans="1:4" x14ac:dyDescent="0.25">
      <c r="C625" s="49" t="s">
        <v>47</v>
      </c>
      <c r="D625" s="57" t="str">
        <f>IFERROR(VLOOKUP(D622,'Prob PRB Summary Data'!A:AG,9,FALSE),"")</f>
        <v/>
      </c>
    </row>
    <row r="626" spans="1:4" x14ac:dyDescent="0.25">
      <c r="C626" s="49" t="s">
        <v>110</v>
      </c>
      <c r="D626" s="159" t="str">
        <f>IFERROR(VLOOKUP(D622,'Prob PRB Summary Data'!A:AG,32,FALSE),"")</f>
        <v/>
      </c>
    </row>
    <row r="627" spans="1:4" ht="30" x14ac:dyDescent="0.25">
      <c r="C627" s="49" t="s">
        <v>48</v>
      </c>
      <c r="D627" s="56" t="str">
        <f>IFERROR(VLOOKUP(D622,'Prob PRB Summary Data'!A:AG,24,FALSE),"")&amp;CHAR(10)</f>
        <v xml:space="preserve">
</v>
      </c>
    </row>
    <row r="628" spans="1:4" x14ac:dyDescent="0.25">
      <c r="C628" s="49" t="s">
        <v>82</v>
      </c>
      <c r="D628" s="56" t="str">
        <f>IFERROR(VLOOKUP(D622,'Prob PRB Summary Data'!A:AG,31,FALSE),"")</f>
        <v/>
      </c>
    </row>
    <row r="629" spans="1:4" x14ac:dyDescent="0.25">
      <c r="C629" s="49" t="s">
        <v>81</v>
      </c>
      <c r="D629" s="56" t="str">
        <f>IFERROR(VLOOKUP(D622,'Prob PRB Summary Data'!A:AG,16,FALSE),"")</f>
        <v/>
      </c>
    </row>
    <row r="630" spans="1:4" ht="30" x14ac:dyDescent="0.25">
      <c r="C630" s="49" t="s">
        <v>49</v>
      </c>
      <c r="D630" s="56" t="str">
        <f>IFERROR(VLOOKUP(D622,'Prob PRB Summary Data'!A:AG,25,FALSE),"")&amp;CHAR(10)</f>
        <v xml:space="preserve">
</v>
      </c>
    </row>
    <row r="631" spans="1:4" ht="30.75" thickBot="1" x14ac:dyDescent="0.3">
      <c r="C631" s="51" t="s">
        <v>50</v>
      </c>
      <c r="D631" s="52" t="str">
        <f>IFERROR(VLOOKUP(D622,'Prob PRB Summary Data'!A:AG,26,FALSE),"")&amp;CHAR(10)</f>
        <v xml:space="preserve">
</v>
      </c>
    </row>
    <row r="632" spans="1:4" ht="15.75" thickBot="1" x14ac:dyDescent="0.3">
      <c r="C632" s="53"/>
      <c r="D632" s="54"/>
    </row>
    <row r="633" spans="1:4" x14ac:dyDescent="0.25">
      <c r="A633" s="175" t="str">
        <f>IF(D633&lt;&gt;"","Comp","Blank")</f>
        <v>Blank</v>
      </c>
      <c r="C633" s="45" t="s">
        <v>84</v>
      </c>
      <c r="D633" s="55" t="str">
        <f>IF('Prob PRB Summary Data'!A59&lt;&gt;"",('Prob PRB Summary Data'!A59),"")</f>
        <v/>
      </c>
    </row>
    <row r="634" spans="1:4" x14ac:dyDescent="0.25">
      <c r="C634" s="47" t="s">
        <v>85</v>
      </c>
      <c r="D634" s="48" t="str">
        <f>IFERROR(VLOOKUP(D633,'Prob PRB Summary Data'!A:AG,8,FALSE),"")</f>
        <v/>
      </c>
    </row>
    <row r="635" spans="1:4" x14ac:dyDescent="0.25">
      <c r="C635" s="49" t="s">
        <v>46</v>
      </c>
      <c r="D635" s="56" t="str">
        <f>IFERROR(VLOOKUP(D633,'Prob PRB Summary Data'!A:AG,5,FALSE),"")</f>
        <v/>
      </c>
    </row>
    <row r="636" spans="1:4" x14ac:dyDescent="0.25">
      <c r="C636" s="49" t="s">
        <v>47</v>
      </c>
      <c r="D636" s="57" t="str">
        <f>IFERROR(VLOOKUP(D633,'Prob PRB Summary Data'!A:AG,9,FALSE),"")</f>
        <v/>
      </c>
    </row>
    <row r="637" spans="1:4" x14ac:dyDescent="0.25">
      <c r="C637" s="49" t="s">
        <v>110</v>
      </c>
      <c r="D637" s="159" t="str">
        <f>IFERROR(VLOOKUP(D633,'Prob PRB Summary Data'!A:AG,32,FALSE),"")</f>
        <v/>
      </c>
    </row>
    <row r="638" spans="1:4" ht="30" x14ac:dyDescent="0.25">
      <c r="C638" s="49" t="s">
        <v>48</v>
      </c>
      <c r="D638" s="56" t="str">
        <f>IFERROR(VLOOKUP(D633,'Prob PRB Summary Data'!A:AG,24,FALSE),"")&amp;CHAR(10)</f>
        <v xml:space="preserve">
</v>
      </c>
    </row>
    <row r="639" spans="1:4" x14ac:dyDescent="0.25">
      <c r="C639" s="49" t="s">
        <v>82</v>
      </c>
      <c r="D639" s="56" t="str">
        <f>IFERROR(VLOOKUP(D633,'Prob PRB Summary Data'!A:AG,31,FALSE),"")</f>
        <v/>
      </c>
    </row>
    <row r="640" spans="1:4" x14ac:dyDescent="0.25">
      <c r="C640" s="49" t="s">
        <v>81</v>
      </c>
      <c r="D640" s="56" t="str">
        <f>IFERROR(VLOOKUP(D633,'Prob PRB Summary Data'!A:AG,16,FALSE),"")</f>
        <v/>
      </c>
    </row>
    <row r="641" spans="1:4" ht="30" x14ac:dyDescent="0.25">
      <c r="C641" s="49" t="s">
        <v>49</v>
      </c>
      <c r="D641" s="56" t="str">
        <f>IFERROR(VLOOKUP(D633,'Prob PRB Summary Data'!A:AG,25,FALSE),"")&amp;CHAR(10)</f>
        <v xml:space="preserve">
</v>
      </c>
    </row>
    <row r="642" spans="1:4" ht="30.75" thickBot="1" x14ac:dyDescent="0.3">
      <c r="C642" s="51" t="s">
        <v>50</v>
      </c>
      <c r="D642" s="52" t="str">
        <f>IFERROR(VLOOKUP(D633,'Prob PRB Summary Data'!A:AG,26,FALSE),"")&amp;CHAR(10)</f>
        <v xml:space="preserve">
</v>
      </c>
    </row>
    <row r="643" spans="1:4" ht="15.75" thickBot="1" x14ac:dyDescent="0.3">
      <c r="C643" s="53"/>
      <c r="D643" s="54"/>
    </row>
    <row r="644" spans="1:4" x14ac:dyDescent="0.25">
      <c r="A644" s="175" t="str">
        <f>IF(D644&lt;&gt;"","Comp","Blank")</f>
        <v>Blank</v>
      </c>
      <c r="C644" s="45" t="s">
        <v>84</v>
      </c>
      <c r="D644" s="55" t="str">
        <f>IF('Prob PRB Summary Data'!A60&lt;&gt;"",('Prob PRB Summary Data'!A60),"")</f>
        <v/>
      </c>
    </row>
    <row r="645" spans="1:4" x14ac:dyDescent="0.25">
      <c r="C645" s="47" t="s">
        <v>85</v>
      </c>
      <c r="D645" s="48" t="str">
        <f>IFERROR(VLOOKUP(D644,'Prob PRB Summary Data'!A:AG,8,FALSE),"")</f>
        <v/>
      </c>
    </row>
    <row r="646" spans="1:4" x14ac:dyDescent="0.25">
      <c r="C646" s="49" t="s">
        <v>46</v>
      </c>
      <c r="D646" s="56" t="str">
        <f>IFERROR(VLOOKUP(D644,'Prob PRB Summary Data'!A:AG,5,FALSE),"")</f>
        <v/>
      </c>
    </row>
    <row r="647" spans="1:4" x14ac:dyDescent="0.25">
      <c r="C647" s="49" t="s">
        <v>47</v>
      </c>
      <c r="D647" s="57" t="str">
        <f>IFERROR(VLOOKUP(D644,'Prob PRB Summary Data'!A:AG,9,FALSE),"")</f>
        <v/>
      </c>
    </row>
    <row r="648" spans="1:4" x14ac:dyDescent="0.25">
      <c r="C648" s="49" t="s">
        <v>110</v>
      </c>
      <c r="D648" s="159" t="str">
        <f>IFERROR(VLOOKUP(D644,'Prob PRB Summary Data'!A:AG,32,FALSE),"")</f>
        <v/>
      </c>
    </row>
    <row r="649" spans="1:4" ht="30" x14ac:dyDescent="0.25">
      <c r="C649" s="49" t="s">
        <v>48</v>
      </c>
      <c r="D649" s="56" t="str">
        <f>IFERROR(VLOOKUP(D644,'Prob PRB Summary Data'!A:AG,24,FALSE),"")&amp;CHAR(10)</f>
        <v xml:space="preserve">
</v>
      </c>
    </row>
    <row r="650" spans="1:4" x14ac:dyDescent="0.25">
      <c r="C650" s="49" t="s">
        <v>82</v>
      </c>
      <c r="D650" s="56" t="str">
        <f>IFERROR(VLOOKUP(D644,'Prob PRB Summary Data'!A:AG,31,FALSE),"")</f>
        <v/>
      </c>
    </row>
    <row r="651" spans="1:4" x14ac:dyDescent="0.25">
      <c r="C651" s="49" t="s">
        <v>81</v>
      </c>
      <c r="D651" s="56" t="str">
        <f>IFERROR(VLOOKUP(D644,'Prob PRB Summary Data'!A:AG,16,FALSE),"")</f>
        <v/>
      </c>
    </row>
    <row r="652" spans="1:4" ht="30" x14ac:dyDescent="0.25">
      <c r="C652" s="49" t="s">
        <v>49</v>
      </c>
      <c r="D652" s="56" t="str">
        <f>IFERROR(VLOOKUP(D644,'Prob PRB Summary Data'!A:AG,25,FALSE),"")&amp;CHAR(10)</f>
        <v xml:space="preserve">
</v>
      </c>
    </row>
    <row r="653" spans="1:4" ht="30.75" thickBot="1" x14ac:dyDescent="0.3">
      <c r="C653" s="51" t="s">
        <v>50</v>
      </c>
      <c r="D653" s="52" t="str">
        <f>IFERROR(VLOOKUP(D644,'Prob PRB Summary Data'!A:AG,26,FALSE),"")&amp;CHAR(10)</f>
        <v xml:space="preserve">
</v>
      </c>
    </row>
    <row r="654" spans="1:4" ht="15.75" thickBot="1" x14ac:dyDescent="0.3">
      <c r="C654" s="53"/>
      <c r="D654" s="54"/>
    </row>
    <row r="655" spans="1:4" x14ac:dyDescent="0.25">
      <c r="A655" s="175" t="str">
        <f>IF(D655&lt;&gt;"","Comp","Blank")</f>
        <v>Blank</v>
      </c>
      <c r="C655" s="45" t="s">
        <v>84</v>
      </c>
      <c r="D655" s="55" t="str">
        <f>IF('Prob PRB Summary Data'!A61&lt;&gt;"",('Prob PRB Summary Data'!A61),"")</f>
        <v/>
      </c>
    </row>
    <row r="656" spans="1:4" x14ac:dyDescent="0.25">
      <c r="C656" s="47" t="s">
        <v>85</v>
      </c>
      <c r="D656" s="48" t="str">
        <f>IFERROR(VLOOKUP(D655,'Prob PRB Summary Data'!A:AG,8,FALSE),"")</f>
        <v/>
      </c>
    </row>
    <row r="657" spans="1:4" x14ac:dyDescent="0.25">
      <c r="C657" s="49" t="s">
        <v>46</v>
      </c>
      <c r="D657" s="56" t="str">
        <f>IFERROR(VLOOKUP(D655,'Prob PRB Summary Data'!A:AG,5,FALSE),"")</f>
        <v/>
      </c>
    </row>
    <row r="658" spans="1:4" x14ac:dyDescent="0.25">
      <c r="C658" s="49" t="s">
        <v>47</v>
      </c>
      <c r="D658" s="57" t="str">
        <f>IFERROR(VLOOKUP(D655,'Prob PRB Summary Data'!A:AG,9,FALSE),"")</f>
        <v/>
      </c>
    </row>
    <row r="659" spans="1:4" x14ac:dyDescent="0.25">
      <c r="C659" s="49" t="s">
        <v>110</v>
      </c>
      <c r="D659" s="159" t="str">
        <f>IFERROR(VLOOKUP(D655,'Prob PRB Summary Data'!A:AG,32,FALSE),"")</f>
        <v/>
      </c>
    </row>
    <row r="660" spans="1:4" ht="30" x14ac:dyDescent="0.25">
      <c r="C660" s="49" t="s">
        <v>48</v>
      </c>
      <c r="D660" s="56" t="str">
        <f>IFERROR(VLOOKUP(D655,'Prob PRB Summary Data'!A:AG,24,FALSE),"")&amp;CHAR(10)</f>
        <v xml:space="preserve">
</v>
      </c>
    </row>
    <row r="661" spans="1:4" x14ac:dyDescent="0.25">
      <c r="C661" s="49" t="s">
        <v>82</v>
      </c>
      <c r="D661" s="56" t="str">
        <f>IFERROR(VLOOKUP(D655,'Prob PRB Summary Data'!A:AG,31,FALSE),"")</f>
        <v/>
      </c>
    </row>
    <row r="662" spans="1:4" x14ac:dyDescent="0.25">
      <c r="C662" s="49" t="s">
        <v>81</v>
      </c>
      <c r="D662" s="56" t="str">
        <f>IFERROR(VLOOKUP(D655,'Prob PRB Summary Data'!A:AG,16,FALSE),"")</f>
        <v/>
      </c>
    </row>
    <row r="663" spans="1:4" ht="30" x14ac:dyDescent="0.25">
      <c r="C663" s="49" t="s">
        <v>49</v>
      </c>
      <c r="D663" s="56" t="str">
        <f>IFERROR(VLOOKUP(D655,'Prob PRB Summary Data'!A:AG,25,FALSE),"")&amp;CHAR(10)</f>
        <v xml:space="preserve">
</v>
      </c>
    </row>
    <row r="664" spans="1:4" ht="30.75" thickBot="1" x14ac:dyDescent="0.3">
      <c r="C664" s="51" t="s">
        <v>50</v>
      </c>
      <c r="D664" s="52" t="str">
        <f>IFERROR(VLOOKUP(D655,'Prob PRB Summary Data'!A:AG,26,FALSE),"")&amp;CHAR(10)</f>
        <v xml:space="preserve">
</v>
      </c>
    </row>
    <row r="665" spans="1:4" ht="15.75" thickBot="1" x14ac:dyDescent="0.3">
      <c r="C665" s="53"/>
      <c r="D665" s="54"/>
    </row>
    <row r="666" spans="1:4" x14ac:dyDescent="0.25">
      <c r="A666" s="175" t="str">
        <f>IF(D666&lt;&gt;"","Comp","Blank")</f>
        <v>Blank</v>
      </c>
      <c r="C666" s="45" t="s">
        <v>84</v>
      </c>
      <c r="D666" s="55" t="str">
        <f>IF('Prob PRB Summary Data'!A62&lt;&gt;"",('Prob PRB Summary Data'!A62),"")</f>
        <v/>
      </c>
    </row>
    <row r="667" spans="1:4" x14ac:dyDescent="0.25">
      <c r="C667" s="47" t="s">
        <v>85</v>
      </c>
      <c r="D667" s="48" t="str">
        <f>IFERROR(VLOOKUP(D666,'Prob PRB Summary Data'!A:AG,8,FALSE),"")</f>
        <v/>
      </c>
    </row>
    <row r="668" spans="1:4" x14ac:dyDescent="0.25">
      <c r="C668" s="49" t="s">
        <v>46</v>
      </c>
      <c r="D668" s="56" t="str">
        <f>IFERROR(VLOOKUP(D666,'Prob PRB Summary Data'!A:AG,5,FALSE),"")</f>
        <v/>
      </c>
    </row>
    <row r="669" spans="1:4" x14ac:dyDescent="0.25">
      <c r="C669" s="49" t="s">
        <v>47</v>
      </c>
      <c r="D669" s="57" t="str">
        <f>IFERROR(VLOOKUP(D666,'Prob PRB Summary Data'!A:AG,9,FALSE),"")</f>
        <v/>
      </c>
    </row>
    <row r="670" spans="1:4" x14ac:dyDescent="0.25">
      <c r="C670" s="49" t="s">
        <v>110</v>
      </c>
      <c r="D670" s="159" t="str">
        <f>IFERROR(VLOOKUP(D666,'Prob PRB Summary Data'!A:AG,32,FALSE),"")</f>
        <v/>
      </c>
    </row>
    <row r="671" spans="1:4" ht="30" x14ac:dyDescent="0.25">
      <c r="C671" s="49" t="s">
        <v>48</v>
      </c>
      <c r="D671" s="56" t="str">
        <f>IFERROR(VLOOKUP(D666,'Prob PRB Summary Data'!A:AG,24,FALSE),"")&amp;CHAR(10)</f>
        <v xml:space="preserve">
</v>
      </c>
    </row>
    <row r="672" spans="1:4" x14ac:dyDescent="0.25">
      <c r="C672" s="49" t="s">
        <v>82</v>
      </c>
      <c r="D672" s="56" t="str">
        <f>IFERROR(VLOOKUP(D666,'Prob PRB Summary Data'!A:AG,31,FALSE),"")</f>
        <v/>
      </c>
    </row>
    <row r="673" spans="1:4" x14ac:dyDescent="0.25">
      <c r="C673" s="49" t="s">
        <v>81</v>
      </c>
      <c r="D673" s="56" t="str">
        <f>IFERROR(VLOOKUP(D666,'Prob PRB Summary Data'!A:AG,16,FALSE),"")</f>
        <v/>
      </c>
    </row>
    <row r="674" spans="1:4" ht="30" x14ac:dyDescent="0.25">
      <c r="C674" s="49" t="s">
        <v>49</v>
      </c>
      <c r="D674" s="56" t="str">
        <f>IFERROR(VLOOKUP(D666,'Prob PRB Summary Data'!A:AG,25,FALSE),"")&amp;CHAR(10)</f>
        <v xml:space="preserve">
</v>
      </c>
    </row>
    <row r="675" spans="1:4" ht="30.75" thickBot="1" x14ac:dyDescent="0.3">
      <c r="C675" s="51" t="s">
        <v>50</v>
      </c>
      <c r="D675" s="52" t="str">
        <f>IFERROR(VLOOKUP(D666,'Prob PRB Summary Data'!A:AG,26,FALSE),"")&amp;CHAR(10)</f>
        <v xml:space="preserve">
</v>
      </c>
    </row>
    <row r="676" spans="1:4" ht="15.75" thickBot="1" x14ac:dyDescent="0.3">
      <c r="C676" s="53"/>
      <c r="D676" s="54"/>
    </row>
    <row r="677" spans="1:4" x14ac:dyDescent="0.25">
      <c r="A677" s="175" t="str">
        <f>IF(D677&lt;&gt;"","Comp","Blank")</f>
        <v>Blank</v>
      </c>
      <c r="C677" s="45" t="s">
        <v>84</v>
      </c>
      <c r="D677" s="55" t="str">
        <f>IF('Prob PRB Summary Data'!A63&lt;&gt;"",('Prob PRB Summary Data'!A63),"")</f>
        <v/>
      </c>
    </row>
    <row r="678" spans="1:4" x14ac:dyDescent="0.25">
      <c r="C678" s="47" t="s">
        <v>85</v>
      </c>
      <c r="D678" s="48" t="str">
        <f>IFERROR(VLOOKUP(D677,'Prob PRB Summary Data'!A:AG,8,FALSE),"")</f>
        <v/>
      </c>
    </row>
    <row r="679" spans="1:4" x14ac:dyDescent="0.25">
      <c r="C679" s="49" t="s">
        <v>46</v>
      </c>
      <c r="D679" s="56" t="str">
        <f>IFERROR(VLOOKUP(D677,'Prob PRB Summary Data'!A:AG,5,FALSE),"")</f>
        <v/>
      </c>
    </row>
    <row r="680" spans="1:4" x14ac:dyDescent="0.25">
      <c r="C680" s="49" t="s">
        <v>47</v>
      </c>
      <c r="D680" s="57" t="str">
        <f>IFERROR(VLOOKUP(D677,'Prob PRB Summary Data'!A:AG,9,FALSE),"")</f>
        <v/>
      </c>
    </row>
    <row r="681" spans="1:4" x14ac:dyDescent="0.25">
      <c r="C681" s="49" t="s">
        <v>110</v>
      </c>
      <c r="D681" s="159" t="str">
        <f>IFERROR(VLOOKUP(D677,'Prob PRB Summary Data'!A:AG,32,FALSE),"")</f>
        <v/>
      </c>
    </row>
    <row r="682" spans="1:4" ht="30" x14ac:dyDescent="0.25">
      <c r="C682" s="49" t="s">
        <v>48</v>
      </c>
      <c r="D682" s="56" t="str">
        <f>IFERROR(VLOOKUP(D677,'Prob PRB Summary Data'!A:AG,24,FALSE),"")&amp;CHAR(10)</f>
        <v xml:space="preserve">
</v>
      </c>
    </row>
    <row r="683" spans="1:4" x14ac:dyDescent="0.25">
      <c r="C683" s="49" t="s">
        <v>82</v>
      </c>
      <c r="D683" s="56" t="str">
        <f>IFERROR(VLOOKUP(D677,'Prob PRB Summary Data'!A:AG,31,FALSE),"")</f>
        <v/>
      </c>
    </row>
    <row r="684" spans="1:4" x14ac:dyDescent="0.25">
      <c r="C684" s="49" t="s">
        <v>81</v>
      </c>
      <c r="D684" s="56" t="str">
        <f>IFERROR(VLOOKUP(D677,'Prob PRB Summary Data'!A:AG,16,FALSE),"")</f>
        <v/>
      </c>
    </row>
    <row r="685" spans="1:4" ht="30" x14ac:dyDescent="0.25">
      <c r="C685" s="49" t="s">
        <v>49</v>
      </c>
      <c r="D685" s="56" t="str">
        <f>IFERROR(VLOOKUP(D677,'Prob PRB Summary Data'!A:AG,25,FALSE),"")&amp;CHAR(10)</f>
        <v xml:space="preserve">
</v>
      </c>
    </row>
    <row r="686" spans="1:4" ht="30.75" thickBot="1" x14ac:dyDescent="0.3">
      <c r="C686" s="51" t="s">
        <v>50</v>
      </c>
      <c r="D686" s="52" t="str">
        <f>IFERROR(VLOOKUP(D677,'Prob PRB Summary Data'!A:AG,26,FALSE),"")&amp;CHAR(10)</f>
        <v xml:space="preserve">
</v>
      </c>
    </row>
    <row r="687" spans="1:4" ht="15.75" thickBot="1" x14ac:dyDescent="0.3">
      <c r="C687" s="53"/>
      <c r="D687" s="54"/>
    </row>
    <row r="688" spans="1:4" x14ac:dyDescent="0.25">
      <c r="A688" s="175" t="str">
        <f>IF(D688&lt;&gt;"","Comp","Blank")</f>
        <v>Blank</v>
      </c>
      <c r="C688" s="45" t="s">
        <v>84</v>
      </c>
      <c r="D688" s="55" t="str">
        <f>IF('Prob PRB Summary Data'!A64&lt;&gt;"",('Prob PRB Summary Data'!A64),"")</f>
        <v/>
      </c>
    </row>
    <row r="689" spans="1:4" x14ac:dyDescent="0.25">
      <c r="C689" s="47" t="s">
        <v>85</v>
      </c>
      <c r="D689" s="48" t="str">
        <f>IFERROR(VLOOKUP(D688,'Prob PRB Summary Data'!A:AG,8,FALSE),"")</f>
        <v/>
      </c>
    </row>
    <row r="690" spans="1:4" x14ac:dyDescent="0.25">
      <c r="C690" s="49" t="s">
        <v>46</v>
      </c>
      <c r="D690" s="56" t="str">
        <f>IFERROR(VLOOKUP(D688,'Prob PRB Summary Data'!A:AG,5,FALSE),"")</f>
        <v/>
      </c>
    </row>
    <row r="691" spans="1:4" x14ac:dyDescent="0.25">
      <c r="C691" s="49" t="s">
        <v>47</v>
      </c>
      <c r="D691" s="57" t="str">
        <f>IFERROR(VLOOKUP(D688,'Prob PRB Summary Data'!A:AG,9,FALSE),"")</f>
        <v/>
      </c>
    </row>
    <row r="692" spans="1:4" x14ac:dyDescent="0.25">
      <c r="C692" s="49" t="s">
        <v>110</v>
      </c>
      <c r="D692" s="159" t="str">
        <f>IFERROR(VLOOKUP(D688,'Prob PRB Summary Data'!A:AG,32,FALSE),"")</f>
        <v/>
      </c>
    </row>
    <row r="693" spans="1:4" ht="30" x14ac:dyDescent="0.25">
      <c r="C693" s="49" t="s">
        <v>48</v>
      </c>
      <c r="D693" s="56" t="str">
        <f>IFERROR(VLOOKUP(D688,'Prob PRB Summary Data'!A:AG,24,FALSE),"")&amp;CHAR(10)</f>
        <v xml:space="preserve">
</v>
      </c>
    </row>
    <row r="694" spans="1:4" x14ac:dyDescent="0.25">
      <c r="C694" s="49" t="s">
        <v>82</v>
      </c>
      <c r="D694" s="56" t="str">
        <f>IFERROR(VLOOKUP(D688,'Prob PRB Summary Data'!A:AG,31,FALSE),"")</f>
        <v/>
      </c>
    </row>
    <row r="695" spans="1:4" x14ac:dyDescent="0.25">
      <c r="C695" s="49" t="s">
        <v>81</v>
      </c>
      <c r="D695" s="56" t="str">
        <f>IFERROR(VLOOKUP(D688,'Prob PRB Summary Data'!A:AG,16,FALSE),"")</f>
        <v/>
      </c>
    </row>
    <row r="696" spans="1:4" ht="30" x14ac:dyDescent="0.25">
      <c r="C696" s="49" t="s">
        <v>49</v>
      </c>
      <c r="D696" s="56" t="str">
        <f>IFERROR(VLOOKUP(D688,'Prob PRB Summary Data'!A:AG,25,FALSE),"")&amp;CHAR(10)</f>
        <v xml:space="preserve">
</v>
      </c>
    </row>
    <row r="697" spans="1:4" ht="30.75" thickBot="1" x14ac:dyDescent="0.3">
      <c r="C697" s="51" t="s">
        <v>50</v>
      </c>
      <c r="D697" s="52" t="str">
        <f>IFERROR(VLOOKUP(D688,'Prob PRB Summary Data'!A:AG,26,FALSE),"")&amp;CHAR(10)</f>
        <v xml:space="preserve">
</v>
      </c>
    </row>
    <row r="698" spans="1:4" ht="15.75" thickBot="1" x14ac:dyDescent="0.3">
      <c r="C698" s="53"/>
      <c r="D698" s="54"/>
    </row>
    <row r="699" spans="1:4" x14ac:dyDescent="0.25">
      <c r="A699" s="175" t="str">
        <f>IF(D699&lt;&gt;"","Comp","Blank")</f>
        <v>Blank</v>
      </c>
      <c r="C699" s="45" t="s">
        <v>84</v>
      </c>
      <c r="D699" s="55" t="str">
        <f>IF('Prob PRB Summary Data'!A65&lt;&gt;"",('Prob PRB Summary Data'!A65),"")</f>
        <v/>
      </c>
    </row>
    <row r="700" spans="1:4" x14ac:dyDescent="0.25">
      <c r="C700" s="47" t="s">
        <v>85</v>
      </c>
      <c r="D700" s="48" t="str">
        <f>IFERROR(VLOOKUP(D699,'Prob PRB Summary Data'!A:AG,8,FALSE),"")</f>
        <v/>
      </c>
    </row>
    <row r="701" spans="1:4" x14ac:dyDescent="0.25">
      <c r="C701" s="49" t="s">
        <v>46</v>
      </c>
      <c r="D701" s="56" t="str">
        <f>IFERROR(VLOOKUP(D699,'Prob PRB Summary Data'!A:AG,5,FALSE),"")</f>
        <v/>
      </c>
    </row>
    <row r="702" spans="1:4" x14ac:dyDescent="0.25">
      <c r="C702" s="49" t="s">
        <v>47</v>
      </c>
      <c r="D702" s="57" t="str">
        <f>IFERROR(VLOOKUP(D699,'Prob PRB Summary Data'!A:AG,9,FALSE),"")</f>
        <v/>
      </c>
    </row>
    <row r="703" spans="1:4" x14ac:dyDescent="0.25">
      <c r="C703" s="49" t="s">
        <v>110</v>
      </c>
      <c r="D703" s="159" t="str">
        <f>IFERROR(VLOOKUP(D699,'Prob PRB Summary Data'!A:AG,32,FALSE),"")</f>
        <v/>
      </c>
    </row>
    <row r="704" spans="1:4" ht="30" x14ac:dyDescent="0.25">
      <c r="C704" s="49" t="s">
        <v>48</v>
      </c>
      <c r="D704" s="56" t="str">
        <f>IFERROR(VLOOKUP(D699,'Prob PRB Summary Data'!A:AG,24,FALSE),"")&amp;CHAR(10)</f>
        <v xml:space="preserve">
</v>
      </c>
    </row>
    <row r="705" spans="1:4" x14ac:dyDescent="0.25">
      <c r="C705" s="49" t="s">
        <v>82</v>
      </c>
      <c r="D705" s="56" t="str">
        <f>IFERROR(VLOOKUP(D699,'Prob PRB Summary Data'!A:AG,31,FALSE),"")</f>
        <v/>
      </c>
    </row>
    <row r="706" spans="1:4" x14ac:dyDescent="0.25">
      <c r="C706" s="49" t="s">
        <v>81</v>
      </c>
      <c r="D706" s="56" t="str">
        <f>IFERROR(VLOOKUP(D699,'Prob PRB Summary Data'!A:AG,16,FALSE),"")</f>
        <v/>
      </c>
    </row>
    <row r="707" spans="1:4" ht="30" x14ac:dyDescent="0.25">
      <c r="C707" s="49" t="s">
        <v>49</v>
      </c>
      <c r="D707" s="56" t="str">
        <f>IFERROR(VLOOKUP(D699,'Prob PRB Summary Data'!A:AG,25,FALSE),"")&amp;CHAR(10)</f>
        <v xml:space="preserve">
</v>
      </c>
    </row>
    <row r="708" spans="1:4" ht="30.75" thickBot="1" x14ac:dyDescent="0.3">
      <c r="C708" s="51" t="s">
        <v>50</v>
      </c>
      <c r="D708" s="52" t="str">
        <f>IFERROR(VLOOKUP(D699,'Prob PRB Summary Data'!A:AG,26,FALSE),"")&amp;CHAR(10)</f>
        <v xml:space="preserve">
</v>
      </c>
    </row>
    <row r="709" spans="1:4" ht="15.75" thickBot="1" x14ac:dyDescent="0.3">
      <c r="C709" s="53"/>
      <c r="D709" s="54"/>
    </row>
    <row r="710" spans="1:4" x14ac:dyDescent="0.25">
      <c r="A710" s="175" t="str">
        <f>IF(D710&lt;&gt;"","Comp","Blank")</f>
        <v>Blank</v>
      </c>
      <c r="C710" s="45" t="s">
        <v>84</v>
      </c>
      <c r="D710" s="55" t="str">
        <f>IF('Prob PRB Summary Data'!A66&lt;&gt;"",('Prob PRB Summary Data'!A66),"")</f>
        <v/>
      </c>
    </row>
    <row r="711" spans="1:4" x14ac:dyDescent="0.25">
      <c r="C711" s="47" t="s">
        <v>85</v>
      </c>
      <c r="D711" s="48" t="str">
        <f>IFERROR(VLOOKUP(D710,'Prob PRB Summary Data'!A:AG,8,FALSE),"")</f>
        <v/>
      </c>
    </row>
    <row r="712" spans="1:4" x14ac:dyDescent="0.25">
      <c r="C712" s="49" t="s">
        <v>46</v>
      </c>
      <c r="D712" s="56" t="str">
        <f>IFERROR(VLOOKUP(D710,'Prob PRB Summary Data'!A:AG,5,FALSE),"")</f>
        <v/>
      </c>
    </row>
    <row r="713" spans="1:4" x14ac:dyDescent="0.25">
      <c r="C713" s="49" t="s">
        <v>47</v>
      </c>
      <c r="D713" s="57" t="str">
        <f>IFERROR(VLOOKUP(D710,'Prob PRB Summary Data'!A:AG,9,FALSE),"")</f>
        <v/>
      </c>
    </row>
    <row r="714" spans="1:4" x14ac:dyDescent="0.25">
      <c r="C714" s="49" t="s">
        <v>110</v>
      </c>
      <c r="D714" s="159" t="str">
        <f>IFERROR(VLOOKUP(D710,'Prob PRB Summary Data'!A:AG,32,FALSE),"")</f>
        <v/>
      </c>
    </row>
    <row r="715" spans="1:4" ht="30" x14ac:dyDescent="0.25">
      <c r="C715" s="49" t="s">
        <v>48</v>
      </c>
      <c r="D715" s="56" t="str">
        <f>IFERROR(VLOOKUP(D710,'Prob PRB Summary Data'!A:AG,24,FALSE),"")&amp;CHAR(10)</f>
        <v xml:space="preserve">
</v>
      </c>
    </row>
    <row r="716" spans="1:4" x14ac:dyDescent="0.25">
      <c r="C716" s="49" t="s">
        <v>82</v>
      </c>
      <c r="D716" s="56" t="str">
        <f>IFERROR(VLOOKUP(D710,'Prob PRB Summary Data'!A:AG,31,FALSE),"")</f>
        <v/>
      </c>
    </row>
    <row r="717" spans="1:4" x14ac:dyDescent="0.25">
      <c r="C717" s="49" t="s">
        <v>81</v>
      </c>
      <c r="D717" s="56" t="str">
        <f>IFERROR(VLOOKUP(D710,'Prob PRB Summary Data'!A:AG,16,FALSE),"")</f>
        <v/>
      </c>
    </row>
    <row r="718" spans="1:4" ht="30" x14ac:dyDescent="0.25">
      <c r="C718" s="49" t="s">
        <v>49</v>
      </c>
      <c r="D718" s="56" t="str">
        <f>IFERROR(VLOOKUP(D710,'Prob PRB Summary Data'!A:AG,25,FALSE),"")&amp;CHAR(10)</f>
        <v xml:space="preserve">
</v>
      </c>
    </row>
    <row r="719" spans="1:4" ht="30.75" thickBot="1" x14ac:dyDescent="0.3">
      <c r="C719" s="51" t="s">
        <v>50</v>
      </c>
      <c r="D719" s="52" t="str">
        <f>IFERROR(VLOOKUP(D710,'Prob PRB Summary Data'!A:AG,26,FALSE),"")&amp;CHAR(10)</f>
        <v xml:space="preserve">
</v>
      </c>
    </row>
    <row r="720" spans="1:4" ht="15.75" thickBot="1" x14ac:dyDescent="0.3">
      <c r="C720" s="53"/>
      <c r="D720" s="54"/>
    </row>
    <row r="721" spans="1:4" x14ac:dyDescent="0.25">
      <c r="A721" s="175" t="str">
        <f>IF(D721&lt;&gt;"","Comp","Blank")</f>
        <v>Blank</v>
      </c>
      <c r="C721" s="45" t="s">
        <v>84</v>
      </c>
      <c r="D721" s="55" t="str">
        <f>IF('Prob PRB Summary Data'!A67&lt;&gt;"",('Prob PRB Summary Data'!A67),"")</f>
        <v/>
      </c>
    </row>
    <row r="722" spans="1:4" x14ac:dyDescent="0.25">
      <c r="C722" s="47" t="s">
        <v>85</v>
      </c>
      <c r="D722" s="48" t="str">
        <f>IFERROR(VLOOKUP(D721,'Prob PRB Summary Data'!A:AG,8,FALSE),"")</f>
        <v/>
      </c>
    </row>
    <row r="723" spans="1:4" x14ac:dyDescent="0.25">
      <c r="C723" s="49" t="s">
        <v>46</v>
      </c>
      <c r="D723" s="56" t="str">
        <f>IFERROR(VLOOKUP(D721,'Prob PRB Summary Data'!A:AG,5,FALSE),"")</f>
        <v/>
      </c>
    </row>
    <row r="724" spans="1:4" x14ac:dyDescent="0.25">
      <c r="C724" s="49" t="s">
        <v>47</v>
      </c>
      <c r="D724" s="57" t="str">
        <f>IFERROR(VLOOKUP(D721,'Prob PRB Summary Data'!A:AG,9,FALSE),"")</f>
        <v/>
      </c>
    </row>
    <row r="725" spans="1:4" x14ac:dyDescent="0.25">
      <c r="C725" s="49" t="s">
        <v>110</v>
      </c>
      <c r="D725" s="159" t="str">
        <f>IFERROR(VLOOKUP(D721,'Prob PRB Summary Data'!A:AG,32,FALSE),"")</f>
        <v/>
      </c>
    </row>
    <row r="726" spans="1:4" ht="30" x14ac:dyDescent="0.25">
      <c r="C726" s="49" t="s">
        <v>48</v>
      </c>
      <c r="D726" s="56" t="str">
        <f>IFERROR(VLOOKUP(D721,'Prob PRB Summary Data'!A:AG,24,FALSE),"")&amp;CHAR(10)</f>
        <v xml:space="preserve">
</v>
      </c>
    </row>
    <row r="727" spans="1:4" x14ac:dyDescent="0.25">
      <c r="C727" s="49" t="s">
        <v>82</v>
      </c>
      <c r="D727" s="56" t="str">
        <f>IFERROR(VLOOKUP(D721,'Prob PRB Summary Data'!A:AG,31,FALSE),"")</f>
        <v/>
      </c>
    </row>
    <row r="728" spans="1:4" x14ac:dyDescent="0.25">
      <c r="C728" s="49" t="s">
        <v>81</v>
      </c>
      <c r="D728" s="56" t="str">
        <f>IFERROR(VLOOKUP(D721,'Prob PRB Summary Data'!A:AG,16,FALSE),"")</f>
        <v/>
      </c>
    </row>
    <row r="729" spans="1:4" ht="30" x14ac:dyDescent="0.25">
      <c r="C729" s="49" t="s">
        <v>49</v>
      </c>
      <c r="D729" s="56" t="str">
        <f>IFERROR(VLOOKUP(D721,'Prob PRB Summary Data'!A:AG,25,FALSE),"")&amp;CHAR(10)</f>
        <v xml:space="preserve">
</v>
      </c>
    </row>
    <row r="730" spans="1:4" ht="30.75" thickBot="1" x14ac:dyDescent="0.3">
      <c r="C730" s="51" t="s">
        <v>50</v>
      </c>
      <c r="D730" s="52" t="str">
        <f>IFERROR(VLOOKUP(D721,'Prob PRB Summary Data'!A:AG,26,FALSE),"")&amp;CHAR(10)</f>
        <v xml:space="preserve">
</v>
      </c>
    </row>
    <row r="731" spans="1:4" ht="15.75" thickBot="1" x14ac:dyDescent="0.3">
      <c r="C731" s="53"/>
      <c r="D731" s="54"/>
    </row>
    <row r="732" spans="1:4" x14ac:dyDescent="0.25">
      <c r="A732" s="175" t="str">
        <f>IF(D732&lt;&gt;"","Comp","Blank")</f>
        <v>Blank</v>
      </c>
      <c r="C732" s="45" t="s">
        <v>84</v>
      </c>
      <c r="D732" s="55" t="str">
        <f>IF('Prob PRB Summary Data'!A68&lt;&gt;"",('Prob PRB Summary Data'!A68),"")</f>
        <v/>
      </c>
    </row>
    <row r="733" spans="1:4" x14ac:dyDescent="0.25">
      <c r="C733" s="47" t="s">
        <v>85</v>
      </c>
      <c r="D733" s="48" t="str">
        <f>IFERROR(VLOOKUP(D732,'Prob PRB Summary Data'!A:AG,8,FALSE),"")</f>
        <v/>
      </c>
    </row>
    <row r="734" spans="1:4" x14ac:dyDescent="0.25">
      <c r="C734" s="49" t="s">
        <v>46</v>
      </c>
      <c r="D734" s="56" t="str">
        <f>IFERROR(VLOOKUP(D732,'Prob PRB Summary Data'!A:AG,5,FALSE),"")</f>
        <v/>
      </c>
    </row>
    <row r="735" spans="1:4" x14ac:dyDescent="0.25">
      <c r="C735" s="49" t="s">
        <v>47</v>
      </c>
      <c r="D735" s="57" t="str">
        <f>IFERROR(VLOOKUP(D732,'Prob PRB Summary Data'!A:AG,9,FALSE),"")</f>
        <v/>
      </c>
    </row>
    <row r="736" spans="1:4" x14ac:dyDescent="0.25">
      <c r="C736" s="49" t="s">
        <v>110</v>
      </c>
      <c r="D736" s="159" t="str">
        <f>IFERROR(VLOOKUP(D732,'Prob PRB Summary Data'!A:AG,32,FALSE),"")</f>
        <v/>
      </c>
    </row>
    <row r="737" spans="1:4" ht="30" x14ac:dyDescent="0.25">
      <c r="C737" s="49" t="s">
        <v>48</v>
      </c>
      <c r="D737" s="56" t="str">
        <f>IFERROR(VLOOKUP(D732,'Prob PRB Summary Data'!A:AG,24,FALSE),"")&amp;CHAR(10)</f>
        <v xml:space="preserve">
</v>
      </c>
    </row>
    <row r="738" spans="1:4" x14ac:dyDescent="0.25">
      <c r="C738" s="49" t="s">
        <v>82</v>
      </c>
      <c r="D738" s="56" t="str">
        <f>IFERROR(VLOOKUP(D732,'Prob PRB Summary Data'!A:AG,31,FALSE),"")</f>
        <v/>
      </c>
    </row>
    <row r="739" spans="1:4" x14ac:dyDescent="0.25">
      <c r="C739" s="49" t="s">
        <v>81</v>
      </c>
      <c r="D739" s="56" t="str">
        <f>IFERROR(VLOOKUP(D732,'Prob PRB Summary Data'!A:AG,16,FALSE),"")</f>
        <v/>
      </c>
    </row>
    <row r="740" spans="1:4" ht="30" x14ac:dyDescent="0.25">
      <c r="C740" s="49" t="s">
        <v>49</v>
      </c>
      <c r="D740" s="56" t="str">
        <f>IFERROR(VLOOKUP(D732,'Prob PRB Summary Data'!A:AG,25,FALSE),"")&amp;CHAR(10)</f>
        <v xml:space="preserve">
</v>
      </c>
    </row>
    <row r="741" spans="1:4" ht="30.75" thickBot="1" x14ac:dyDescent="0.3">
      <c r="C741" s="51" t="s">
        <v>50</v>
      </c>
      <c r="D741" s="52" t="str">
        <f>IFERROR(VLOOKUP(D732,'Prob PRB Summary Data'!A:AG,26,FALSE),"")&amp;CHAR(10)</f>
        <v xml:space="preserve">
</v>
      </c>
    </row>
    <row r="742" spans="1:4" ht="15.75" thickBot="1" x14ac:dyDescent="0.3">
      <c r="C742" s="53"/>
      <c r="D742" s="54"/>
    </row>
    <row r="743" spans="1:4" x14ac:dyDescent="0.25">
      <c r="A743" s="175" t="str">
        <f>IF(D743&lt;&gt;"","Comp","Blank")</f>
        <v>Blank</v>
      </c>
      <c r="C743" s="45" t="s">
        <v>84</v>
      </c>
      <c r="D743" s="55" t="str">
        <f>IF('Prob PRB Summary Data'!A69&lt;&gt;"",('Prob PRB Summary Data'!A69),"")</f>
        <v/>
      </c>
    </row>
    <row r="744" spans="1:4" x14ac:dyDescent="0.25">
      <c r="C744" s="47" t="s">
        <v>85</v>
      </c>
      <c r="D744" s="48" t="str">
        <f>IFERROR(VLOOKUP(D743,'Prob PRB Summary Data'!A:AG,8,FALSE),"")</f>
        <v/>
      </c>
    </row>
    <row r="745" spans="1:4" x14ac:dyDescent="0.25">
      <c r="C745" s="49" t="s">
        <v>46</v>
      </c>
      <c r="D745" s="56" t="str">
        <f>IFERROR(VLOOKUP(D743,'Prob PRB Summary Data'!A:AG,5,FALSE),"")</f>
        <v/>
      </c>
    </row>
    <row r="746" spans="1:4" x14ac:dyDescent="0.25">
      <c r="C746" s="49" t="s">
        <v>47</v>
      </c>
      <c r="D746" s="57" t="str">
        <f>IFERROR(VLOOKUP(D743,'Prob PRB Summary Data'!A:AG,9,FALSE),"")</f>
        <v/>
      </c>
    </row>
    <row r="747" spans="1:4" x14ac:dyDescent="0.25">
      <c r="C747" s="49" t="s">
        <v>110</v>
      </c>
      <c r="D747" s="159" t="str">
        <f>IFERROR(VLOOKUP(D743,'Prob PRB Summary Data'!A:AG,32,FALSE),"")</f>
        <v/>
      </c>
    </row>
    <row r="748" spans="1:4" ht="30" x14ac:dyDescent="0.25">
      <c r="C748" s="49" t="s">
        <v>48</v>
      </c>
      <c r="D748" s="56" t="str">
        <f>IFERROR(VLOOKUP(D743,'Prob PRB Summary Data'!A:AG,24,FALSE),"")&amp;CHAR(10)</f>
        <v xml:space="preserve">
</v>
      </c>
    </row>
    <row r="749" spans="1:4" x14ac:dyDescent="0.25">
      <c r="C749" s="49" t="s">
        <v>82</v>
      </c>
      <c r="D749" s="56" t="str">
        <f>IFERROR(VLOOKUP(D743,'Prob PRB Summary Data'!A:AG,31,FALSE),"")</f>
        <v/>
      </c>
    </row>
    <row r="750" spans="1:4" x14ac:dyDescent="0.25">
      <c r="C750" s="49" t="s">
        <v>81</v>
      </c>
      <c r="D750" s="56" t="str">
        <f>IFERROR(VLOOKUP(D743,'Prob PRB Summary Data'!A:AG,16,FALSE),"")</f>
        <v/>
      </c>
    </row>
    <row r="751" spans="1:4" ht="30" x14ac:dyDescent="0.25">
      <c r="C751" s="49" t="s">
        <v>49</v>
      </c>
      <c r="D751" s="56" t="str">
        <f>IFERROR(VLOOKUP(D743,'Prob PRB Summary Data'!A:AG,25,FALSE),"")&amp;CHAR(10)</f>
        <v xml:space="preserve">
</v>
      </c>
    </row>
    <row r="752" spans="1:4" ht="30.75" thickBot="1" x14ac:dyDescent="0.3">
      <c r="C752" s="51" t="s">
        <v>50</v>
      </c>
      <c r="D752" s="52" t="str">
        <f>IFERROR(VLOOKUP(D743,'Prob PRB Summary Data'!A:AG,26,FALSE),"")&amp;CHAR(10)</f>
        <v xml:space="preserve">
</v>
      </c>
    </row>
    <row r="753" spans="1:4" ht="15.75" thickBot="1" x14ac:dyDescent="0.3">
      <c r="C753" s="53"/>
      <c r="D753" s="54"/>
    </row>
    <row r="754" spans="1:4" x14ac:dyDescent="0.25">
      <c r="A754" s="175" t="str">
        <f>IF(D754&lt;&gt;"","Comp","Blank")</f>
        <v>Blank</v>
      </c>
      <c r="C754" s="45" t="s">
        <v>84</v>
      </c>
      <c r="D754" s="55" t="str">
        <f>IF('Prob PRB Summary Data'!A70&lt;&gt;"",('Prob PRB Summary Data'!A70),"")</f>
        <v/>
      </c>
    </row>
    <row r="755" spans="1:4" x14ac:dyDescent="0.25">
      <c r="C755" s="47" t="s">
        <v>85</v>
      </c>
      <c r="D755" s="48" t="str">
        <f>IFERROR(VLOOKUP(D754,'Prob PRB Summary Data'!A:AG,8,FALSE),"")</f>
        <v/>
      </c>
    </row>
    <row r="756" spans="1:4" x14ac:dyDescent="0.25">
      <c r="C756" s="49" t="s">
        <v>46</v>
      </c>
      <c r="D756" s="56" t="str">
        <f>IFERROR(VLOOKUP(D754,'Prob PRB Summary Data'!A:AG,5,FALSE),"")</f>
        <v/>
      </c>
    </row>
    <row r="757" spans="1:4" x14ac:dyDescent="0.25">
      <c r="C757" s="49" t="s">
        <v>47</v>
      </c>
      <c r="D757" s="57" t="str">
        <f>IFERROR(VLOOKUP(D754,'Prob PRB Summary Data'!A:AG,9,FALSE),"")</f>
        <v/>
      </c>
    </row>
    <row r="758" spans="1:4" x14ac:dyDescent="0.25">
      <c r="C758" s="49" t="s">
        <v>110</v>
      </c>
      <c r="D758" s="159" t="str">
        <f>IFERROR(VLOOKUP(D754,'Prob PRB Summary Data'!A:AG,32,FALSE),"")</f>
        <v/>
      </c>
    </row>
    <row r="759" spans="1:4" ht="30" x14ac:dyDescent="0.25">
      <c r="C759" s="49" t="s">
        <v>48</v>
      </c>
      <c r="D759" s="56" t="str">
        <f>IFERROR(VLOOKUP(D754,'Prob PRB Summary Data'!A:AG,24,FALSE),"")&amp;CHAR(10)</f>
        <v xml:space="preserve">
</v>
      </c>
    </row>
    <row r="760" spans="1:4" x14ac:dyDescent="0.25">
      <c r="C760" s="49" t="s">
        <v>82</v>
      </c>
      <c r="D760" s="56" t="str">
        <f>IFERROR(VLOOKUP(D754,'Prob PRB Summary Data'!A:AG,31,FALSE),"")</f>
        <v/>
      </c>
    </row>
    <row r="761" spans="1:4" x14ac:dyDescent="0.25">
      <c r="C761" s="49" t="s">
        <v>81</v>
      </c>
      <c r="D761" s="56" t="str">
        <f>IFERROR(VLOOKUP(D754,'Prob PRB Summary Data'!A:AG,16,FALSE),"")</f>
        <v/>
      </c>
    </row>
    <row r="762" spans="1:4" ht="30" x14ac:dyDescent="0.25">
      <c r="C762" s="49" t="s">
        <v>49</v>
      </c>
      <c r="D762" s="56" t="str">
        <f>IFERROR(VLOOKUP(D754,'Prob PRB Summary Data'!A:AG,25,FALSE),"")&amp;CHAR(10)</f>
        <v xml:space="preserve">
</v>
      </c>
    </row>
    <row r="763" spans="1:4" ht="30.75" thickBot="1" x14ac:dyDescent="0.3">
      <c r="C763" s="51" t="s">
        <v>50</v>
      </c>
      <c r="D763" s="52" t="str">
        <f>IFERROR(VLOOKUP(D754,'Prob PRB Summary Data'!A:AG,26,FALSE),"")&amp;CHAR(10)</f>
        <v xml:space="preserve">
</v>
      </c>
    </row>
    <row r="764" spans="1:4" ht="15.75" thickBot="1" x14ac:dyDescent="0.3">
      <c r="C764" s="53"/>
      <c r="D764" s="54"/>
    </row>
    <row r="765" spans="1:4" x14ac:dyDescent="0.25">
      <c r="A765" s="175" t="str">
        <f>IF(D765&lt;&gt;"","Comp","Blank")</f>
        <v>Blank</v>
      </c>
      <c r="C765" s="45" t="s">
        <v>84</v>
      </c>
      <c r="D765" s="55" t="str">
        <f>IF('Prob PRB Summary Data'!A71&lt;&gt;"",('Prob PRB Summary Data'!A71),"")</f>
        <v/>
      </c>
    </row>
    <row r="766" spans="1:4" x14ac:dyDescent="0.25">
      <c r="C766" s="47" t="s">
        <v>85</v>
      </c>
      <c r="D766" s="48" t="str">
        <f>IFERROR(VLOOKUP(D765,'Prob PRB Summary Data'!A:AG,8,FALSE),"")</f>
        <v/>
      </c>
    </row>
    <row r="767" spans="1:4" x14ac:dyDescent="0.25">
      <c r="C767" s="49" t="s">
        <v>46</v>
      </c>
      <c r="D767" s="56" t="str">
        <f>IFERROR(VLOOKUP(D765,'Prob PRB Summary Data'!A:AG,5,FALSE),"")</f>
        <v/>
      </c>
    </row>
    <row r="768" spans="1:4" x14ac:dyDescent="0.25">
      <c r="C768" s="49" t="s">
        <v>47</v>
      </c>
      <c r="D768" s="57" t="str">
        <f>IFERROR(VLOOKUP(D765,'Prob PRB Summary Data'!A:AG,9,FALSE),"")</f>
        <v/>
      </c>
    </row>
    <row r="769" spans="1:4" x14ac:dyDescent="0.25">
      <c r="C769" s="49" t="s">
        <v>110</v>
      </c>
      <c r="D769" s="159" t="str">
        <f>IFERROR(VLOOKUP(D765,'Prob PRB Summary Data'!A:AG,32,FALSE),"")</f>
        <v/>
      </c>
    </row>
    <row r="770" spans="1:4" ht="30" x14ac:dyDescent="0.25">
      <c r="C770" s="49" t="s">
        <v>48</v>
      </c>
      <c r="D770" s="56" t="str">
        <f>IFERROR(VLOOKUP(D765,'Prob PRB Summary Data'!A:AG,24,FALSE),"")&amp;CHAR(10)</f>
        <v xml:space="preserve">
</v>
      </c>
    </row>
    <row r="771" spans="1:4" x14ac:dyDescent="0.25">
      <c r="C771" s="49" t="s">
        <v>82</v>
      </c>
      <c r="D771" s="56" t="str">
        <f>IFERROR(VLOOKUP(D765,'Prob PRB Summary Data'!A:AG,31,FALSE),"")</f>
        <v/>
      </c>
    </row>
    <row r="772" spans="1:4" x14ac:dyDescent="0.25">
      <c r="C772" s="49" t="s">
        <v>81</v>
      </c>
      <c r="D772" s="56" t="str">
        <f>IFERROR(VLOOKUP(D765,'Prob PRB Summary Data'!A:AG,16,FALSE),"")</f>
        <v/>
      </c>
    </row>
    <row r="773" spans="1:4" ht="30" x14ac:dyDescent="0.25">
      <c r="C773" s="49" t="s">
        <v>49</v>
      </c>
      <c r="D773" s="56" t="str">
        <f>IFERROR(VLOOKUP(D765,'Prob PRB Summary Data'!A:AG,25,FALSE),"")&amp;CHAR(10)</f>
        <v xml:space="preserve">
</v>
      </c>
    </row>
    <row r="774" spans="1:4" ht="30.75" thickBot="1" x14ac:dyDescent="0.3">
      <c r="C774" s="51" t="s">
        <v>50</v>
      </c>
      <c r="D774" s="52" t="str">
        <f>IFERROR(VLOOKUP(D765,'Prob PRB Summary Data'!A:AG,26,FALSE),"")&amp;CHAR(10)</f>
        <v xml:space="preserve">
</v>
      </c>
    </row>
    <row r="775" spans="1:4" ht="15.75" thickBot="1" x14ac:dyDescent="0.3">
      <c r="C775" s="53"/>
      <c r="D775" s="54"/>
    </row>
    <row r="776" spans="1:4" x14ac:dyDescent="0.25">
      <c r="A776" s="175" t="str">
        <f>IF(D776&lt;&gt;"","Comp","Blank")</f>
        <v>Blank</v>
      </c>
      <c r="C776" s="45" t="s">
        <v>84</v>
      </c>
      <c r="D776" s="55" t="str">
        <f>IF('Prob PRB Summary Data'!A72&lt;&gt;"",('Prob PRB Summary Data'!A72),"")</f>
        <v/>
      </c>
    </row>
    <row r="777" spans="1:4" x14ac:dyDescent="0.25">
      <c r="C777" s="47" t="s">
        <v>85</v>
      </c>
      <c r="D777" s="48" t="str">
        <f>IFERROR(VLOOKUP(D776,'Prob PRB Summary Data'!A:AG,8,FALSE),"")</f>
        <v/>
      </c>
    </row>
    <row r="778" spans="1:4" x14ac:dyDescent="0.25">
      <c r="C778" s="49" t="s">
        <v>46</v>
      </c>
      <c r="D778" s="56" t="str">
        <f>IFERROR(VLOOKUP(D776,'Prob PRB Summary Data'!A:AG,5,FALSE),"")</f>
        <v/>
      </c>
    </row>
    <row r="779" spans="1:4" x14ac:dyDescent="0.25">
      <c r="C779" s="49" t="s">
        <v>47</v>
      </c>
      <c r="D779" s="57" t="str">
        <f>IFERROR(VLOOKUP(D776,'Prob PRB Summary Data'!A:AG,9,FALSE),"")</f>
        <v/>
      </c>
    </row>
    <row r="780" spans="1:4" x14ac:dyDescent="0.25">
      <c r="C780" s="49" t="s">
        <v>110</v>
      </c>
      <c r="D780" s="159" t="str">
        <f>IFERROR(VLOOKUP(D776,'Prob PRB Summary Data'!A:AG,32,FALSE),"")</f>
        <v/>
      </c>
    </row>
    <row r="781" spans="1:4" ht="30" x14ac:dyDescent="0.25">
      <c r="C781" s="49" t="s">
        <v>48</v>
      </c>
      <c r="D781" s="56" t="str">
        <f>IFERROR(VLOOKUP(D776,'Prob PRB Summary Data'!A:AG,24,FALSE),"")&amp;CHAR(10)</f>
        <v xml:space="preserve">
</v>
      </c>
    </row>
    <row r="782" spans="1:4" x14ac:dyDescent="0.25">
      <c r="C782" s="49" t="s">
        <v>82</v>
      </c>
      <c r="D782" s="56" t="str">
        <f>IFERROR(VLOOKUP(D776,'Prob PRB Summary Data'!A:AG,31,FALSE),"")</f>
        <v/>
      </c>
    </row>
    <row r="783" spans="1:4" x14ac:dyDescent="0.25">
      <c r="C783" s="49" t="s">
        <v>81</v>
      </c>
      <c r="D783" s="56" t="str">
        <f>IFERROR(VLOOKUP(D776,'Prob PRB Summary Data'!A:AG,16,FALSE),"")</f>
        <v/>
      </c>
    </row>
    <row r="784" spans="1:4" ht="30" x14ac:dyDescent="0.25">
      <c r="C784" s="49" t="s">
        <v>49</v>
      </c>
      <c r="D784" s="56" t="str">
        <f>IFERROR(VLOOKUP(D776,'Prob PRB Summary Data'!A:AG,25,FALSE),"")&amp;CHAR(10)</f>
        <v xml:space="preserve">
</v>
      </c>
    </row>
    <row r="785" spans="1:4" ht="30.75" thickBot="1" x14ac:dyDescent="0.3">
      <c r="C785" s="51" t="s">
        <v>50</v>
      </c>
      <c r="D785" s="52" t="str">
        <f>IFERROR(VLOOKUP(D776,'Prob PRB Summary Data'!A:AG,26,FALSE),"")&amp;CHAR(10)</f>
        <v xml:space="preserve">
</v>
      </c>
    </row>
    <row r="786" spans="1:4" ht="15.75" thickBot="1" x14ac:dyDescent="0.3">
      <c r="C786" s="53"/>
      <c r="D786" s="54"/>
    </row>
    <row r="787" spans="1:4" x14ac:dyDescent="0.25">
      <c r="A787" s="175" t="str">
        <f>IF(D787&lt;&gt;"","Comp","Blank")</f>
        <v>Blank</v>
      </c>
      <c r="C787" s="45" t="s">
        <v>84</v>
      </c>
      <c r="D787" s="55" t="str">
        <f>IF('Prob PRB Summary Data'!A73&lt;&gt;"",('Prob PRB Summary Data'!A73),"")</f>
        <v/>
      </c>
    </row>
    <row r="788" spans="1:4" x14ac:dyDescent="0.25">
      <c r="C788" s="47" t="s">
        <v>85</v>
      </c>
      <c r="D788" s="48" t="str">
        <f>IFERROR(VLOOKUP(D787,'Prob PRB Summary Data'!A:AG,8,FALSE),"")</f>
        <v/>
      </c>
    </row>
    <row r="789" spans="1:4" x14ac:dyDescent="0.25">
      <c r="C789" s="49" t="s">
        <v>46</v>
      </c>
      <c r="D789" s="56" t="str">
        <f>IFERROR(VLOOKUP(D787,'Prob PRB Summary Data'!A:AG,5,FALSE),"")</f>
        <v/>
      </c>
    </row>
    <row r="790" spans="1:4" x14ac:dyDescent="0.25">
      <c r="C790" s="49" t="s">
        <v>47</v>
      </c>
      <c r="D790" s="57" t="str">
        <f>IFERROR(VLOOKUP(D787,'Prob PRB Summary Data'!A:AG,9,FALSE),"")</f>
        <v/>
      </c>
    </row>
    <row r="791" spans="1:4" x14ac:dyDescent="0.25">
      <c r="C791" s="49" t="s">
        <v>110</v>
      </c>
      <c r="D791" s="159" t="str">
        <f>IFERROR(VLOOKUP(D787,'Prob PRB Summary Data'!A:AG,32,FALSE),"")</f>
        <v/>
      </c>
    </row>
    <row r="792" spans="1:4" ht="30" x14ac:dyDescent="0.25">
      <c r="C792" s="49" t="s">
        <v>48</v>
      </c>
      <c r="D792" s="56" t="str">
        <f>IFERROR(VLOOKUP(D787,'Prob PRB Summary Data'!A:AG,24,FALSE),"")&amp;CHAR(10)</f>
        <v xml:space="preserve">
</v>
      </c>
    </row>
    <row r="793" spans="1:4" x14ac:dyDescent="0.25">
      <c r="C793" s="49" t="s">
        <v>82</v>
      </c>
      <c r="D793" s="56" t="str">
        <f>IFERROR(VLOOKUP(D787,'Prob PRB Summary Data'!A:AG,31,FALSE),"")</f>
        <v/>
      </c>
    </row>
    <row r="794" spans="1:4" x14ac:dyDescent="0.25">
      <c r="C794" s="49" t="s">
        <v>81</v>
      </c>
      <c r="D794" s="56" t="str">
        <f>IFERROR(VLOOKUP(D787,'Prob PRB Summary Data'!A:AG,16,FALSE),"")</f>
        <v/>
      </c>
    </row>
    <row r="795" spans="1:4" ht="30" x14ac:dyDescent="0.25">
      <c r="C795" s="49" t="s">
        <v>49</v>
      </c>
      <c r="D795" s="56" t="str">
        <f>IFERROR(VLOOKUP(D787,'Prob PRB Summary Data'!A:AG,25,FALSE),"")&amp;CHAR(10)</f>
        <v xml:space="preserve">
</v>
      </c>
    </row>
    <row r="796" spans="1:4" ht="30.75" thickBot="1" x14ac:dyDescent="0.3">
      <c r="C796" s="51" t="s">
        <v>50</v>
      </c>
      <c r="D796" s="52" t="str">
        <f>IFERROR(VLOOKUP(D787,'Prob PRB Summary Data'!A:AG,26,FALSE),"")&amp;CHAR(10)</f>
        <v xml:space="preserve">
</v>
      </c>
    </row>
    <row r="797" spans="1:4" ht="15.75" thickBot="1" x14ac:dyDescent="0.3">
      <c r="C797" s="53"/>
      <c r="D797" s="54"/>
    </row>
    <row r="798" spans="1:4" x14ac:dyDescent="0.25">
      <c r="A798" s="175" t="str">
        <f>IF(D798&lt;&gt;"","Comp","Blank")</f>
        <v>Blank</v>
      </c>
      <c r="C798" s="45" t="s">
        <v>84</v>
      </c>
      <c r="D798" s="55" t="str">
        <f>IF('Prob PRB Summary Data'!A74&lt;&gt;"",('Prob PRB Summary Data'!A74),"")</f>
        <v/>
      </c>
    </row>
    <row r="799" spans="1:4" x14ac:dyDescent="0.25">
      <c r="C799" s="47" t="s">
        <v>85</v>
      </c>
      <c r="D799" s="48" t="str">
        <f>IFERROR(VLOOKUP(D798,'Prob PRB Summary Data'!A:AG,8,FALSE),"")</f>
        <v/>
      </c>
    </row>
    <row r="800" spans="1:4" x14ac:dyDescent="0.25">
      <c r="C800" s="49" t="s">
        <v>46</v>
      </c>
      <c r="D800" s="56" t="str">
        <f>IFERROR(VLOOKUP(D798,'Prob PRB Summary Data'!A:AG,5,FALSE),"")</f>
        <v/>
      </c>
    </row>
    <row r="801" spans="1:4" x14ac:dyDescent="0.25">
      <c r="C801" s="49" t="s">
        <v>47</v>
      </c>
      <c r="D801" s="57" t="str">
        <f>IFERROR(VLOOKUP(D798,'Prob PRB Summary Data'!A:AG,9,FALSE),"")</f>
        <v/>
      </c>
    </row>
    <row r="802" spans="1:4" x14ac:dyDescent="0.25">
      <c r="C802" s="49" t="s">
        <v>110</v>
      </c>
      <c r="D802" s="159" t="str">
        <f>IFERROR(VLOOKUP(D798,'Prob PRB Summary Data'!A:AG,32,FALSE),"")</f>
        <v/>
      </c>
    </row>
    <row r="803" spans="1:4" ht="30" x14ac:dyDescent="0.25">
      <c r="C803" s="49" t="s">
        <v>48</v>
      </c>
      <c r="D803" s="56" t="str">
        <f>IFERROR(VLOOKUP(D798,'Prob PRB Summary Data'!A:AG,24,FALSE),"")&amp;CHAR(10)</f>
        <v xml:space="preserve">
</v>
      </c>
    </row>
    <row r="804" spans="1:4" x14ac:dyDescent="0.25">
      <c r="C804" s="49" t="s">
        <v>82</v>
      </c>
      <c r="D804" s="56" t="str">
        <f>IFERROR(VLOOKUP(D798,'Prob PRB Summary Data'!A:AG,31,FALSE),"")</f>
        <v/>
      </c>
    </row>
    <row r="805" spans="1:4" x14ac:dyDescent="0.25">
      <c r="C805" s="49" t="s">
        <v>81</v>
      </c>
      <c r="D805" s="56" t="str">
        <f>IFERROR(VLOOKUP(D798,'Prob PRB Summary Data'!A:AG,16,FALSE),"")</f>
        <v/>
      </c>
    </row>
    <row r="806" spans="1:4" ht="30" x14ac:dyDescent="0.25">
      <c r="C806" s="49" t="s">
        <v>49</v>
      </c>
      <c r="D806" s="56" t="str">
        <f>IFERROR(VLOOKUP(D798,'Prob PRB Summary Data'!A:AG,25,FALSE),"")&amp;CHAR(10)</f>
        <v xml:space="preserve">
</v>
      </c>
    </row>
    <row r="807" spans="1:4" ht="30.75" thickBot="1" x14ac:dyDescent="0.3">
      <c r="C807" s="51" t="s">
        <v>50</v>
      </c>
      <c r="D807" s="52" t="str">
        <f>IFERROR(VLOOKUP(D798,'Prob PRB Summary Data'!A:AG,26,FALSE),"")&amp;CHAR(10)</f>
        <v xml:space="preserve">
</v>
      </c>
    </row>
    <row r="808" spans="1:4" ht="15.75" thickBot="1" x14ac:dyDescent="0.3">
      <c r="C808" s="53"/>
      <c r="D808" s="54"/>
    </row>
    <row r="809" spans="1:4" x14ac:dyDescent="0.25">
      <c r="A809" s="175" t="str">
        <f>IF(D809&lt;&gt;"","Comp","Blank")</f>
        <v>Blank</v>
      </c>
      <c r="C809" s="45" t="s">
        <v>84</v>
      </c>
      <c r="D809" s="55" t="str">
        <f>IF('Prob PRB Summary Data'!A75&lt;&gt;"",('Prob PRB Summary Data'!A75),"")</f>
        <v/>
      </c>
    </row>
    <row r="810" spans="1:4" x14ac:dyDescent="0.25">
      <c r="C810" s="47" t="s">
        <v>85</v>
      </c>
      <c r="D810" s="48" t="str">
        <f>IFERROR(VLOOKUP(D809,'Prob PRB Summary Data'!A:AG,8,FALSE),"")</f>
        <v/>
      </c>
    </row>
    <row r="811" spans="1:4" x14ac:dyDescent="0.25">
      <c r="C811" s="49" t="s">
        <v>46</v>
      </c>
      <c r="D811" s="56" t="str">
        <f>IFERROR(VLOOKUP(D809,'Prob PRB Summary Data'!A:AG,5,FALSE),"")</f>
        <v/>
      </c>
    </row>
    <row r="812" spans="1:4" x14ac:dyDescent="0.25">
      <c r="C812" s="49" t="s">
        <v>47</v>
      </c>
      <c r="D812" s="57" t="str">
        <f>IFERROR(VLOOKUP(D809,'Prob PRB Summary Data'!A:AG,9,FALSE),"")</f>
        <v/>
      </c>
    </row>
    <row r="813" spans="1:4" x14ac:dyDescent="0.25">
      <c r="C813" s="49" t="s">
        <v>110</v>
      </c>
      <c r="D813" s="159" t="str">
        <f>IFERROR(VLOOKUP(D809,'Prob PRB Summary Data'!A:AG,32,FALSE),"")</f>
        <v/>
      </c>
    </row>
    <row r="814" spans="1:4" ht="30" x14ac:dyDescent="0.25">
      <c r="C814" s="49" t="s">
        <v>48</v>
      </c>
      <c r="D814" s="56" t="str">
        <f>IFERROR(VLOOKUP(D809,'Prob PRB Summary Data'!A:AG,24,FALSE),"")&amp;CHAR(10)</f>
        <v xml:space="preserve">
</v>
      </c>
    </row>
    <row r="815" spans="1:4" x14ac:dyDescent="0.25">
      <c r="C815" s="49" t="s">
        <v>82</v>
      </c>
      <c r="D815" s="56" t="str">
        <f>IFERROR(VLOOKUP(D809,'Prob PRB Summary Data'!A:AG,31,FALSE),"")</f>
        <v/>
      </c>
    </row>
    <row r="816" spans="1:4" x14ac:dyDescent="0.25">
      <c r="C816" s="49" t="s">
        <v>81</v>
      </c>
      <c r="D816" s="56" t="str">
        <f>IFERROR(VLOOKUP(D809,'Prob PRB Summary Data'!A:AG,16,FALSE),"")</f>
        <v/>
      </c>
    </row>
    <row r="817" spans="1:4" ht="30" x14ac:dyDescent="0.25">
      <c r="C817" s="49" t="s">
        <v>49</v>
      </c>
      <c r="D817" s="56" t="str">
        <f>IFERROR(VLOOKUP(D809,'Prob PRB Summary Data'!A:AG,25,FALSE),"")&amp;CHAR(10)</f>
        <v xml:space="preserve">
</v>
      </c>
    </row>
    <row r="818" spans="1:4" ht="30.75" thickBot="1" x14ac:dyDescent="0.3">
      <c r="C818" s="51" t="s">
        <v>50</v>
      </c>
      <c r="D818" s="52" t="str">
        <f>IFERROR(VLOOKUP(D809,'Prob PRB Summary Data'!A:AG,26,FALSE),"")&amp;CHAR(10)</f>
        <v xml:space="preserve">
</v>
      </c>
    </row>
    <row r="819" spans="1:4" ht="15.75" thickBot="1" x14ac:dyDescent="0.3">
      <c r="C819" s="53"/>
      <c r="D819" s="54"/>
    </row>
    <row r="820" spans="1:4" x14ac:dyDescent="0.25">
      <c r="A820" s="175" t="str">
        <f>IF(D820&lt;&gt;"","Comp","Blank")</f>
        <v>Blank</v>
      </c>
      <c r="C820" s="45" t="s">
        <v>84</v>
      </c>
      <c r="D820" s="55" t="str">
        <f>IF('Prob PRB Summary Data'!A76&lt;&gt;"",('Prob PRB Summary Data'!A76),"")</f>
        <v/>
      </c>
    </row>
    <row r="821" spans="1:4" x14ac:dyDescent="0.25">
      <c r="C821" s="47" t="s">
        <v>85</v>
      </c>
      <c r="D821" s="48" t="str">
        <f>IFERROR(VLOOKUP(D820,'Prob PRB Summary Data'!A:AG,8,FALSE),"")</f>
        <v/>
      </c>
    </row>
    <row r="822" spans="1:4" x14ac:dyDescent="0.25">
      <c r="C822" s="49" t="s">
        <v>46</v>
      </c>
      <c r="D822" s="56" t="str">
        <f>IFERROR(VLOOKUP(D820,'Prob PRB Summary Data'!A:AG,5,FALSE),"")</f>
        <v/>
      </c>
    </row>
    <row r="823" spans="1:4" x14ac:dyDescent="0.25">
      <c r="C823" s="49" t="s">
        <v>47</v>
      </c>
      <c r="D823" s="57" t="str">
        <f>IFERROR(VLOOKUP(D820,'Prob PRB Summary Data'!A:AG,9,FALSE),"")</f>
        <v/>
      </c>
    </row>
    <row r="824" spans="1:4" x14ac:dyDescent="0.25">
      <c r="C824" s="49" t="s">
        <v>110</v>
      </c>
      <c r="D824" s="159" t="str">
        <f>IFERROR(VLOOKUP(D820,'Prob PRB Summary Data'!A:AG,32,FALSE),"")</f>
        <v/>
      </c>
    </row>
    <row r="825" spans="1:4" ht="30" x14ac:dyDescent="0.25">
      <c r="C825" s="49" t="s">
        <v>48</v>
      </c>
      <c r="D825" s="56" t="str">
        <f>IFERROR(VLOOKUP(D820,'Prob PRB Summary Data'!A:AG,24,FALSE),"")&amp;CHAR(10)</f>
        <v xml:space="preserve">
</v>
      </c>
    </row>
    <row r="826" spans="1:4" x14ac:dyDescent="0.25">
      <c r="C826" s="49" t="s">
        <v>82</v>
      </c>
      <c r="D826" s="56" t="str">
        <f>IFERROR(VLOOKUP(D820,'Prob PRB Summary Data'!A:AG,31,FALSE),"")</f>
        <v/>
      </c>
    </row>
    <row r="827" spans="1:4" x14ac:dyDescent="0.25">
      <c r="C827" s="49" t="s">
        <v>81</v>
      </c>
      <c r="D827" s="56" t="str">
        <f>IFERROR(VLOOKUP(D820,'Prob PRB Summary Data'!A:AG,16,FALSE),"")</f>
        <v/>
      </c>
    </row>
    <row r="828" spans="1:4" ht="30" x14ac:dyDescent="0.25">
      <c r="C828" s="49" t="s">
        <v>49</v>
      </c>
      <c r="D828" s="56" t="str">
        <f>IFERROR(VLOOKUP(D820,'Prob PRB Summary Data'!A:AG,25,FALSE),"")&amp;CHAR(10)</f>
        <v xml:space="preserve">
</v>
      </c>
    </row>
    <row r="829" spans="1:4" ht="30.75" thickBot="1" x14ac:dyDescent="0.3">
      <c r="C829" s="51" t="s">
        <v>50</v>
      </c>
      <c r="D829" s="52" t="str">
        <f>IFERROR(VLOOKUP(D820,'Prob PRB Summary Data'!A:AG,26,FALSE),"")&amp;CHAR(10)</f>
        <v xml:space="preserve">
</v>
      </c>
    </row>
    <row r="830" spans="1:4" ht="15.75" thickBot="1" x14ac:dyDescent="0.3">
      <c r="C830" s="53"/>
      <c r="D830" s="54"/>
    </row>
    <row r="831" spans="1:4" x14ac:dyDescent="0.25">
      <c r="A831" s="175" t="str">
        <f>IF(D831&lt;&gt;"","Comp","Blank")</f>
        <v>Blank</v>
      </c>
      <c r="C831" s="45" t="s">
        <v>84</v>
      </c>
      <c r="D831" s="55" t="str">
        <f>IF('Prob PRB Summary Data'!A77&lt;&gt;"",('Prob PRB Summary Data'!A77),"")</f>
        <v/>
      </c>
    </row>
    <row r="832" spans="1:4" x14ac:dyDescent="0.25">
      <c r="C832" s="47" t="s">
        <v>85</v>
      </c>
      <c r="D832" s="48" t="str">
        <f>IFERROR(VLOOKUP(D831,'Prob PRB Summary Data'!A:AG,8,FALSE),"")</f>
        <v/>
      </c>
    </row>
    <row r="833" spans="1:4" x14ac:dyDescent="0.25">
      <c r="C833" s="49" t="s">
        <v>46</v>
      </c>
      <c r="D833" s="56" t="str">
        <f>IFERROR(VLOOKUP(D831,'Prob PRB Summary Data'!A:AG,5,FALSE),"")</f>
        <v/>
      </c>
    </row>
    <row r="834" spans="1:4" x14ac:dyDescent="0.25">
      <c r="C834" s="49" t="s">
        <v>47</v>
      </c>
      <c r="D834" s="57" t="str">
        <f>IFERROR(VLOOKUP(D831,'Prob PRB Summary Data'!A:AG,9,FALSE),"")</f>
        <v/>
      </c>
    </row>
    <row r="835" spans="1:4" x14ac:dyDescent="0.25">
      <c r="C835" s="49" t="s">
        <v>110</v>
      </c>
      <c r="D835" s="159" t="str">
        <f>IFERROR(VLOOKUP(D831,'Prob PRB Summary Data'!A:AG,32,FALSE),"")</f>
        <v/>
      </c>
    </row>
    <row r="836" spans="1:4" ht="30" x14ac:dyDescent="0.25">
      <c r="C836" s="49" t="s">
        <v>48</v>
      </c>
      <c r="D836" s="56" t="str">
        <f>IFERROR(VLOOKUP(D831,'Prob PRB Summary Data'!A:AG,24,FALSE),"")&amp;CHAR(10)</f>
        <v xml:space="preserve">
</v>
      </c>
    </row>
    <row r="837" spans="1:4" x14ac:dyDescent="0.25">
      <c r="C837" s="49" t="s">
        <v>82</v>
      </c>
      <c r="D837" s="56" t="str">
        <f>IFERROR(VLOOKUP(D831,'Prob PRB Summary Data'!A:AG,31,FALSE),"")</f>
        <v/>
      </c>
    </row>
    <row r="838" spans="1:4" x14ac:dyDescent="0.25">
      <c r="C838" s="49" t="s">
        <v>81</v>
      </c>
      <c r="D838" s="56" t="str">
        <f>IFERROR(VLOOKUP(D831,'Prob PRB Summary Data'!A:AG,16,FALSE),"")</f>
        <v/>
      </c>
    </row>
    <row r="839" spans="1:4" ht="30" x14ac:dyDescent="0.25">
      <c r="C839" s="49" t="s">
        <v>49</v>
      </c>
      <c r="D839" s="56" t="str">
        <f>IFERROR(VLOOKUP(D831,'Prob PRB Summary Data'!A:AG,25,FALSE),"")&amp;CHAR(10)</f>
        <v xml:space="preserve">
</v>
      </c>
    </row>
    <row r="840" spans="1:4" ht="30.75" thickBot="1" x14ac:dyDescent="0.3">
      <c r="C840" s="51" t="s">
        <v>50</v>
      </c>
      <c r="D840" s="52" t="str">
        <f>IFERROR(VLOOKUP(D831,'Prob PRB Summary Data'!A:AG,26,FALSE),"")&amp;CHAR(10)</f>
        <v xml:space="preserve">
</v>
      </c>
    </row>
    <row r="841" spans="1:4" ht="15.75" thickBot="1" x14ac:dyDescent="0.3">
      <c r="C841" s="53"/>
      <c r="D841" s="54"/>
    </row>
    <row r="842" spans="1:4" x14ac:dyDescent="0.25">
      <c r="A842" s="175" t="str">
        <f>IF(D842&lt;&gt;"","Comp","Blank")</f>
        <v>Blank</v>
      </c>
      <c r="C842" s="45" t="s">
        <v>84</v>
      </c>
      <c r="D842" s="55" t="str">
        <f>IF('Prob PRB Summary Data'!A78&lt;&gt;"",('Prob PRB Summary Data'!A78),"")</f>
        <v/>
      </c>
    </row>
    <row r="843" spans="1:4" x14ac:dyDescent="0.25">
      <c r="C843" s="47" t="s">
        <v>85</v>
      </c>
      <c r="D843" s="48" t="str">
        <f>IFERROR(VLOOKUP(D842,'Prob PRB Summary Data'!A:AG,8,FALSE),"")</f>
        <v/>
      </c>
    </row>
    <row r="844" spans="1:4" x14ac:dyDescent="0.25">
      <c r="C844" s="49" t="s">
        <v>46</v>
      </c>
      <c r="D844" s="56" t="str">
        <f>IFERROR(VLOOKUP(D842,'Prob PRB Summary Data'!A:AG,5,FALSE),"")</f>
        <v/>
      </c>
    </row>
    <row r="845" spans="1:4" x14ac:dyDescent="0.25">
      <c r="C845" s="49" t="s">
        <v>47</v>
      </c>
      <c r="D845" s="57" t="str">
        <f>IFERROR(VLOOKUP(D842,'Prob PRB Summary Data'!A:AG,9,FALSE),"")</f>
        <v/>
      </c>
    </row>
    <row r="846" spans="1:4" x14ac:dyDescent="0.25">
      <c r="C846" s="49" t="s">
        <v>110</v>
      </c>
      <c r="D846" s="159" t="str">
        <f>IFERROR(VLOOKUP(D842,'Prob PRB Summary Data'!A:AG,32,FALSE),"")</f>
        <v/>
      </c>
    </row>
    <row r="847" spans="1:4" ht="30" x14ac:dyDescent="0.25">
      <c r="C847" s="49" t="s">
        <v>48</v>
      </c>
      <c r="D847" s="56" t="str">
        <f>IFERROR(VLOOKUP(D842,'Prob PRB Summary Data'!A:AG,24,FALSE),"")&amp;CHAR(10)</f>
        <v xml:space="preserve">
</v>
      </c>
    </row>
    <row r="848" spans="1:4" x14ac:dyDescent="0.25">
      <c r="C848" s="49" t="s">
        <v>82</v>
      </c>
      <c r="D848" s="56" t="str">
        <f>IFERROR(VLOOKUP(D842,'Prob PRB Summary Data'!A:AG,31,FALSE),"")</f>
        <v/>
      </c>
    </row>
    <row r="849" spans="1:4" x14ac:dyDescent="0.25">
      <c r="C849" s="49" t="s">
        <v>81</v>
      </c>
      <c r="D849" s="56" t="str">
        <f>IFERROR(VLOOKUP(D842,'Prob PRB Summary Data'!A:AG,16,FALSE),"")</f>
        <v/>
      </c>
    </row>
    <row r="850" spans="1:4" ht="30" x14ac:dyDescent="0.25">
      <c r="C850" s="49" t="s">
        <v>49</v>
      </c>
      <c r="D850" s="56" t="str">
        <f>IFERROR(VLOOKUP(D842,'Prob PRB Summary Data'!A:AG,25,FALSE),"")&amp;CHAR(10)</f>
        <v xml:space="preserve">
</v>
      </c>
    </row>
    <row r="851" spans="1:4" ht="30.75" thickBot="1" x14ac:dyDescent="0.3">
      <c r="C851" s="51" t="s">
        <v>50</v>
      </c>
      <c r="D851" s="52" t="str">
        <f>IFERROR(VLOOKUP(D842,'Prob PRB Summary Data'!A:AG,26,FALSE),"")&amp;CHAR(10)</f>
        <v xml:space="preserve">
</v>
      </c>
    </row>
    <row r="852" spans="1:4" ht="15.75" thickBot="1" x14ac:dyDescent="0.3">
      <c r="C852" s="53"/>
      <c r="D852" s="54"/>
    </row>
    <row r="853" spans="1:4" x14ac:dyDescent="0.25">
      <c r="A853" s="175" t="str">
        <f>IF(D853&lt;&gt;"","Comp","Blank")</f>
        <v>Blank</v>
      </c>
      <c r="C853" s="45" t="s">
        <v>84</v>
      </c>
      <c r="D853" s="55" t="str">
        <f>IF('Prob PRB Summary Data'!A79&lt;&gt;"",('Prob PRB Summary Data'!A79),"")</f>
        <v/>
      </c>
    </row>
    <row r="854" spans="1:4" x14ac:dyDescent="0.25">
      <c r="C854" s="47" t="s">
        <v>85</v>
      </c>
      <c r="D854" s="48" t="str">
        <f>IFERROR(VLOOKUP(D853,'Prob PRB Summary Data'!A:AG,8,FALSE),"")</f>
        <v/>
      </c>
    </row>
    <row r="855" spans="1:4" x14ac:dyDescent="0.25">
      <c r="C855" s="49" t="s">
        <v>46</v>
      </c>
      <c r="D855" s="56" t="str">
        <f>IFERROR(VLOOKUP(D853,'Prob PRB Summary Data'!A:AG,5,FALSE),"")</f>
        <v/>
      </c>
    </row>
    <row r="856" spans="1:4" x14ac:dyDescent="0.25">
      <c r="C856" s="49" t="s">
        <v>47</v>
      </c>
      <c r="D856" s="57" t="str">
        <f>IFERROR(VLOOKUP(D853,'Prob PRB Summary Data'!A:AG,9,FALSE),"")</f>
        <v/>
      </c>
    </row>
    <row r="857" spans="1:4" x14ac:dyDescent="0.25">
      <c r="C857" s="49" t="s">
        <v>110</v>
      </c>
      <c r="D857" s="159" t="str">
        <f>IFERROR(VLOOKUP(D853,'Prob PRB Summary Data'!A:AG,32,FALSE),"")</f>
        <v/>
      </c>
    </row>
    <row r="858" spans="1:4" ht="30" x14ac:dyDescent="0.25">
      <c r="C858" s="49" t="s">
        <v>48</v>
      </c>
      <c r="D858" s="56" t="str">
        <f>IFERROR(VLOOKUP(D853,'Prob PRB Summary Data'!A:AG,24,FALSE),"")&amp;CHAR(10)</f>
        <v xml:space="preserve">
</v>
      </c>
    </row>
    <row r="859" spans="1:4" x14ac:dyDescent="0.25">
      <c r="C859" s="49" t="s">
        <v>82</v>
      </c>
      <c r="D859" s="56" t="str">
        <f>IFERROR(VLOOKUP(D853,'Prob PRB Summary Data'!A:AG,31,FALSE),"")</f>
        <v/>
      </c>
    </row>
    <row r="860" spans="1:4" x14ac:dyDescent="0.25">
      <c r="C860" s="49" t="s">
        <v>81</v>
      </c>
      <c r="D860" s="56" t="str">
        <f>IFERROR(VLOOKUP(D853,'Prob PRB Summary Data'!A:AG,16,FALSE),"")</f>
        <v/>
      </c>
    </row>
    <row r="861" spans="1:4" ht="30" x14ac:dyDescent="0.25">
      <c r="C861" s="49" t="s">
        <v>49</v>
      </c>
      <c r="D861" s="56" t="str">
        <f>IFERROR(VLOOKUP(D853,'Prob PRB Summary Data'!A:AG,25,FALSE),"")&amp;CHAR(10)</f>
        <v xml:space="preserve">
</v>
      </c>
    </row>
    <row r="862" spans="1:4" ht="30.75" thickBot="1" x14ac:dyDescent="0.3">
      <c r="C862" s="51" t="s">
        <v>50</v>
      </c>
      <c r="D862" s="52" t="str">
        <f>IFERROR(VLOOKUP(D853,'Prob PRB Summary Data'!A:AG,26,FALSE),"")&amp;CHAR(10)</f>
        <v xml:space="preserve">
</v>
      </c>
    </row>
    <row r="863" spans="1:4" ht="15.75" thickBot="1" x14ac:dyDescent="0.3">
      <c r="C863" s="53"/>
      <c r="D863" s="54"/>
    </row>
    <row r="864" spans="1:4" x14ac:dyDescent="0.25">
      <c r="A864" s="175" t="str">
        <f>IF(D864&lt;&gt;"","Comp","Blank")</f>
        <v>Blank</v>
      </c>
      <c r="C864" s="45" t="s">
        <v>84</v>
      </c>
      <c r="D864" s="55" t="str">
        <f>IF('Prob PRB Summary Data'!A80&lt;&gt;"",('Prob PRB Summary Data'!A80),"")</f>
        <v/>
      </c>
    </row>
    <row r="865" spans="1:4" x14ac:dyDescent="0.25">
      <c r="C865" s="47" t="s">
        <v>85</v>
      </c>
      <c r="D865" s="48" t="str">
        <f>IFERROR(VLOOKUP(D864,'Prob PRB Summary Data'!A:AG,8,FALSE),"")</f>
        <v/>
      </c>
    </row>
    <row r="866" spans="1:4" x14ac:dyDescent="0.25">
      <c r="C866" s="49" t="s">
        <v>46</v>
      </c>
      <c r="D866" s="56" t="str">
        <f>IFERROR(VLOOKUP(D864,'Prob PRB Summary Data'!A:AG,5,FALSE),"")</f>
        <v/>
      </c>
    </row>
    <row r="867" spans="1:4" x14ac:dyDescent="0.25">
      <c r="C867" s="49" t="s">
        <v>47</v>
      </c>
      <c r="D867" s="57" t="str">
        <f>IFERROR(VLOOKUP(D864,'Prob PRB Summary Data'!A:AG,9,FALSE),"")</f>
        <v/>
      </c>
    </row>
    <row r="868" spans="1:4" x14ac:dyDescent="0.25">
      <c r="C868" s="49" t="s">
        <v>110</v>
      </c>
      <c r="D868" s="159" t="str">
        <f>IFERROR(VLOOKUP(D864,'Prob PRB Summary Data'!A:AG,32,FALSE),"")</f>
        <v/>
      </c>
    </row>
    <row r="869" spans="1:4" ht="30" x14ac:dyDescent="0.25">
      <c r="C869" s="49" t="s">
        <v>48</v>
      </c>
      <c r="D869" s="56" t="str">
        <f>IFERROR(VLOOKUP(D864,'Prob PRB Summary Data'!A:AG,24,FALSE),"")&amp;CHAR(10)</f>
        <v xml:space="preserve">
</v>
      </c>
    </row>
    <row r="870" spans="1:4" x14ac:dyDescent="0.25">
      <c r="C870" s="49" t="s">
        <v>82</v>
      </c>
      <c r="D870" s="56" t="str">
        <f>IFERROR(VLOOKUP(D864,'Prob PRB Summary Data'!A:AG,31,FALSE),"")</f>
        <v/>
      </c>
    </row>
    <row r="871" spans="1:4" x14ac:dyDescent="0.25">
      <c r="C871" s="49" t="s">
        <v>81</v>
      </c>
      <c r="D871" s="56" t="str">
        <f>IFERROR(VLOOKUP(D864,'Prob PRB Summary Data'!A:AG,16,FALSE),"")</f>
        <v/>
      </c>
    </row>
    <row r="872" spans="1:4" ht="30" x14ac:dyDescent="0.25">
      <c r="C872" s="49" t="s">
        <v>49</v>
      </c>
      <c r="D872" s="56" t="str">
        <f>IFERROR(VLOOKUP(D864,'Prob PRB Summary Data'!A:AG,25,FALSE),"")&amp;CHAR(10)</f>
        <v xml:space="preserve">
</v>
      </c>
    </row>
    <row r="873" spans="1:4" ht="30.75" thickBot="1" x14ac:dyDescent="0.3">
      <c r="C873" s="51" t="s">
        <v>50</v>
      </c>
      <c r="D873" s="52" t="str">
        <f>IFERROR(VLOOKUP(D864,'Prob PRB Summary Data'!A:AG,26,FALSE),"")&amp;CHAR(10)</f>
        <v xml:space="preserve">
</v>
      </c>
    </row>
    <row r="874" spans="1:4" ht="15.75" thickBot="1" x14ac:dyDescent="0.3">
      <c r="C874" s="53"/>
      <c r="D874" s="54"/>
    </row>
    <row r="875" spans="1:4" x14ac:dyDescent="0.25">
      <c r="A875" s="175" t="str">
        <f>IF(D875&lt;&gt;"","Comp","Blank")</f>
        <v>Blank</v>
      </c>
      <c r="C875" s="45" t="s">
        <v>84</v>
      </c>
      <c r="D875" s="55" t="str">
        <f>IF('Prob PRB Summary Data'!A81&lt;&gt;"",('Prob PRB Summary Data'!A81),"")</f>
        <v/>
      </c>
    </row>
    <row r="876" spans="1:4" x14ac:dyDescent="0.25">
      <c r="C876" s="47" t="s">
        <v>85</v>
      </c>
      <c r="D876" s="48" t="str">
        <f>IFERROR(VLOOKUP(D875,'Prob PRB Summary Data'!A:AG,8,FALSE),"")</f>
        <v/>
      </c>
    </row>
    <row r="877" spans="1:4" x14ac:dyDescent="0.25">
      <c r="C877" s="49" t="s">
        <v>46</v>
      </c>
      <c r="D877" s="56" t="str">
        <f>IFERROR(VLOOKUP(D875,'Prob PRB Summary Data'!A:AG,5,FALSE),"")</f>
        <v/>
      </c>
    </row>
    <row r="878" spans="1:4" x14ac:dyDescent="0.25">
      <c r="C878" s="49" t="s">
        <v>47</v>
      </c>
      <c r="D878" s="57" t="str">
        <f>IFERROR(VLOOKUP(D875,'Prob PRB Summary Data'!A:AG,9,FALSE),"")</f>
        <v/>
      </c>
    </row>
    <row r="879" spans="1:4" x14ac:dyDescent="0.25">
      <c r="C879" s="49" t="s">
        <v>110</v>
      </c>
      <c r="D879" s="159" t="str">
        <f>IFERROR(VLOOKUP(D875,'Prob PRB Summary Data'!A:AG,32,FALSE),"")</f>
        <v/>
      </c>
    </row>
    <row r="880" spans="1:4" ht="30" x14ac:dyDescent="0.25">
      <c r="C880" s="49" t="s">
        <v>48</v>
      </c>
      <c r="D880" s="56" t="str">
        <f>IFERROR(VLOOKUP(D875,'Prob PRB Summary Data'!A:AG,24,FALSE),"")&amp;CHAR(10)</f>
        <v xml:space="preserve">
</v>
      </c>
    </row>
    <row r="881" spans="1:4" x14ac:dyDescent="0.25">
      <c r="C881" s="49" t="s">
        <v>82</v>
      </c>
      <c r="D881" s="56" t="str">
        <f>IFERROR(VLOOKUP(D875,'Prob PRB Summary Data'!A:AG,31,FALSE),"")</f>
        <v/>
      </c>
    </row>
    <row r="882" spans="1:4" x14ac:dyDescent="0.25">
      <c r="C882" s="49" t="s">
        <v>81</v>
      </c>
      <c r="D882" s="56" t="str">
        <f>IFERROR(VLOOKUP(D875,'Prob PRB Summary Data'!A:AG,16,FALSE),"")</f>
        <v/>
      </c>
    </row>
    <row r="883" spans="1:4" ht="30" x14ac:dyDescent="0.25">
      <c r="C883" s="49" t="s">
        <v>49</v>
      </c>
      <c r="D883" s="56" t="str">
        <f>IFERROR(VLOOKUP(D875,'Prob PRB Summary Data'!A:AG,25,FALSE),"")&amp;CHAR(10)</f>
        <v xml:space="preserve">
</v>
      </c>
    </row>
    <row r="884" spans="1:4" ht="30.75" thickBot="1" x14ac:dyDescent="0.3">
      <c r="C884" s="51" t="s">
        <v>50</v>
      </c>
      <c r="D884" s="52" t="str">
        <f>IFERROR(VLOOKUP(D875,'Prob PRB Summary Data'!A:AG,26,FALSE),"")&amp;CHAR(10)</f>
        <v xml:space="preserve">
</v>
      </c>
    </row>
    <row r="885" spans="1:4" ht="15.75" thickBot="1" x14ac:dyDescent="0.3">
      <c r="C885" s="53"/>
      <c r="D885" s="54"/>
    </row>
    <row r="886" spans="1:4" x14ac:dyDescent="0.25">
      <c r="A886" s="175" t="str">
        <f>IF(D886&lt;&gt;"","Comp","Blank")</f>
        <v>Blank</v>
      </c>
      <c r="C886" s="45" t="s">
        <v>84</v>
      </c>
      <c r="D886" s="55" t="str">
        <f>IF('Prob PRB Summary Data'!A82&lt;&gt;"",('Prob PRB Summary Data'!A82),"")</f>
        <v/>
      </c>
    </row>
    <row r="887" spans="1:4" x14ac:dyDescent="0.25">
      <c r="C887" s="47" t="s">
        <v>85</v>
      </c>
      <c r="D887" s="48" t="str">
        <f>IFERROR(VLOOKUP(D886,'Prob PRB Summary Data'!A:AG,8,FALSE),"")</f>
        <v/>
      </c>
    </row>
    <row r="888" spans="1:4" x14ac:dyDescent="0.25">
      <c r="C888" s="49" t="s">
        <v>46</v>
      </c>
      <c r="D888" s="56" t="str">
        <f>IFERROR(VLOOKUP(D886,'Prob PRB Summary Data'!A:AG,5,FALSE),"")</f>
        <v/>
      </c>
    </row>
    <row r="889" spans="1:4" x14ac:dyDescent="0.25">
      <c r="C889" s="49" t="s">
        <v>47</v>
      </c>
      <c r="D889" s="57" t="str">
        <f>IFERROR(VLOOKUP(D886,'Prob PRB Summary Data'!A:AG,9,FALSE),"")</f>
        <v/>
      </c>
    </row>
    <row r="890" spans="1:4" x14ac:dyDescent="0.25">
      <c r="C890" s="49" t="s">
        <v>110</v>
      </c>
      <c r="D890" s="159" t="str">
        <f>IFERROR(VLOOKUP(D886,'Prob PRB Summary Data'!A:AG,32,FALSE),"")</f>
        <v/>
      </c>
    </row>
    <row r="891" spans="1:4" ht="30" x14ac:dyDescent="0.25">
      <c r="C891" s="49" t="s">
        <v>48</v>
      </c>
      <c r="D891" s="56" t="str">
        <f>IFERROR(VLOOKUP(D886,'Prob PRB Summary Data'!A:AG,24,FALSE),"")&amp;CHAR(10)</f>
        <v xml:space="preserve">
</v>
      </c>
    </row>
    <row r="892" spans="1:4" x14ac:dyDescent="0.25">
      <c r="C892" s="49" t="s">
        <v>82</v>
      </c>
      <c r="D892" s="56" t="str">
        <f>IFERROR(VLOOKUP(D886,'Prob PRB Summary Data'!A:AG,31,FALSE),"")</f>
        <v/>
      </c>
    </row>
    <row r="893" spans="1:4" x14ac:dyDescent="0.25">
      <c r="C893" s="49" t="s">
        <v>81</v>
      </c>
      <c r="D893" s="56" t="str">
        <f>IFERROR(VLOOKUP(D886,'Prob PRB Summary Data'!A:AG,16,FALSE),"")</f>
        <v/>
      </c>
    </row>
    <row r="894" spans="1:4" ht="30" x14ac:dyDescent="0.25">
      <c r="C894" s="49" t="s">
        <v>49</v>
      </c>
      <c r="D894" s="56" t="str">
        <f>IFERROR(VLOOKUP(D886,'Prob PRB Summary Data'!A:AG,25,FALSE),"")&amp;CHAR(10)</f>
        <v xml:space="preserve">
</v>
      </c>
    </row>
    <row r="895" spans="1:4" ht="30.75" thickBot="1" x14ac:dyDescent="0.3">
      <c r="C895" s="51" t="s">
        <v>50</v>
      </c>
      <c r="D895" s="52" t="str">
        <f>IFERROR(VLOOKUP(D886,'Prob PRB Summary Data'!A:AG,26,FALSE),"")&amp;CHAR(10)</f>
        <v xml:space="preserve">
</v>
      </c>
    </row>
    <row r="896" spans="1:4" ht="15.75" thickBot="1" x14ac:dyDescent="0.3">
      <c r="C896" s="53"/>
      <c r="D896" s="54"/>
    </row>
    <row r="897" spans="1:4" x14ac:dyDescent="0.25">
      <c r="A897" s="175" t="str">
        <f>IF(D897&lt;&gt;"","Comp","Blank")</f>
        <v>Blank</v>
      </c>
      <c r="C897" s="45" t="s">
        <v>84</v>
      </c>
      <c r="D897" s="55" t="str">
        <f>IF('Prob PRB Summary Data'!A83&lt;&gt;"",('Prob PRB Summary Data'!A83),"")</f>
        <v/>
      </c>
    </row>
    <row r="898" spans="1:4" x14ac:dyDescent="0.25">
      <c r="C898" s="47" t="s">
        <v>85</v>
      </c>
      <c r="D898" s="48" t="str">
        <f>IFERROR(VLOOKUP(D897,'Prob PRB Summary Data'!A:AG,8,FALSE),"")</f>
        <v/>
      </c>
    </row>
    <row r="899" spans="1:4" x14ac:dyDescent="0.25">
      <c r="C899" s="49" t="s">
        <v>46</v>
      </c>
      <c r="D899" s="56" t="str">
        <f>IFERROR(VLOOKUP(D897,'Prob PRB Summary Data'!A:AG,5,FALSE),"")</f>
        <v/>
      </c>
    </row>
    <row r="900" spans="1:4" x14ac:dyDescent="0.25">
      <c r="C900" s="49" t="s">
        <v>47</v>
      </c>
      <c r="D900" s="57" t="str">
        <f>IFERROR(VLOOKUP(D897,'Prob PRB Summary Data'!A:AG,9,FALSE),"")</f>
        <v/>
      </c>
    </row>
    <row r="901" spans="1:4" x14ac:dyDescent="0.25">
      <c r="C901" s="49" t="s">
        <v>110</v>
      </c>
      <c r="D901" s="159" t="str">
        <f>IFERROR(VLOOKUP(D897,'Prob PRB Summary Data'!A:AG,32,FALSE),"")</f>
        <v/>
      </c>
    </row>
    <row r="902" spans="1:4" ht="30" x14ac:dyDescent="0.25">
      <c r="C902" s="49" t="s">
        <v>48</v>
      </c>
      <c r="D902" s="56" t="str">
        <f>IFERROR(VLOOKUP(D897,'Prob PRB Summary Data'!A:AG,24,FALSE),"")&amp;CHAR(10)</f>
        <v xml:space="preserve">
</v>
      </c>
    </row>
    <row r="903" spans="1:4" x14ac:dyDescent="0.25">
      <c r="C903" s="49" t="s">
        <v>82</v>
      </c>
      <c r="D903" s="56" t="str">
        <f>IFERROR(VLOOKUP(D897,'Prob PRB Summary Data'!A:AG,31,FALSE),"")</f>
        <v/>
      </c>
    </row>
    <row r="904" spans="1:4" x14ac:dyDescent="0.25">
      <c r="C904" s="49" t="s">
        <v>81</v>
      </c>
      <c r="D904" s="56" t="str">
        <f>IFERROR(VLOOKUP(D897,'Prob PRB Summary Data'!A:AG,16,FALSE),"")</f>
        <v/>
      </c>
    </row>
    <row r="905" spans="1:4" ht="30" x14ac:dyDescent="0.25">
      <c r="C905" s="49" t="s">
        <v>49</v>
      </c>
      <c r="D905" s="56" t="str">
        <f>IFERROR(VLOOKUP(D897,'Prob PRB Summary Data'!A:AG,25,FALSE),"")&amp;CHAR(10)</f>
        <v xml:space="preserve">
</v>
      </c>
    </row>
    <row r="906" spans="1:4" ht="30.75" thickBot="1" x14ac:dyDescent="0.3">
      <c r="C906" s="51" t="s">
        <v>50</v>
      </c>
      <c r="D906" s="52" t="str">
        <f>IFERROR(VLOOKUP(D897,'Prob PRB Summary Data'!A:AG,26,FALSE),"")&amp;CHAR(10)</f>
        <v xml:space="preserve">
</v>
      </c>
    </row>
    <row r="907" spans="1:4" ht="15.75" thickBot="1" x14ac:dyDescent="0.3">
      <c r="C907" s="53"/>
      <c r="D907" s="54"/>
    </row>
    <row r="908" spans="1:4" x14ac:dyDescent="0.25">
      <c r="A908" s="175" t="str">
        <f>IF(D908&lt;&gt;"","Comp","Blank")</f>
        <v>Blank</v>
      </c>
      <c r="C908" s="45" t="s">
        <v>84</v>
      </c>
      <c r="D908" s="55" t="str">
        <f>IF('Prob PRB Summary Data'!A84&lt;&gt;"",('Prob PRB Summary Data'!A84),"")</f>
        <v/>
      </c>
    </row>
    <row r="909" spans="1:4" x14ac:dyDescent="0.25">
      <c r="C909" s="47" t="s">
        <v>85</v>
      </c>
      <c r="D909" s="48" t="str">
        <f>IFERROR(VLOOKUP(D908,'Prob PRB Summary Data'!A:AG,8,FALSE),"")</f>
        <v/>
      </c>
    </row>
    <row r="910" spans="1:4" x14ac:dyDescent="0.25">
      <c r="C910" s="49" t="s">
        <v>46</v>
      </c>
      <c r="D910" s="56" t="str">
        <f>IFERROR(VLOOKUP(D908,'Prob PRB Summary Data'!A:AG,5,FALSE),"")</f>
        <v/>
      </c>
    </row>
    <row r="911" spans="1:4" x14ac:dyDescent="0.25">
      <c r="C911" s="49" t="s">
        <v>47</v>
      </c>
      <c r="D911" s="57" t="str">
        <f>IFERROR(VLOOKUP(D908,'Prob PRB Summary Data'!A:AG,9,FALSE),"")</f>
        <v/>
      </c>
    </row>
    <row r="912" spans="1:4" x14ac:dyDescent="0.25">
      <c r="C912" s="49" t="s">
        <v>110</v>
      </c>
      <c r="D912" s="159" t="str">
        <f>IFERROR(VLOOKUP(D908,'Prob PRB Summary Data'!A:AG,32,FALSE),"")</f>
        <v/>
      </c>
    </row>
    <row r="913" spans="1:4" ht="30" x14ac:dyDescent="0.25">
      <c r="C913" s="49" t="s">
        <v>48</v>
      </c>
      <c r="D913" s="56" t="str">
        <f>IFERROR(VLOOKUP(D908,'Prob PRB Summary Data'!A:AG,24,FALSE),"")&amp;CHAR(10)</f>
        <v xml:space="preserve">
</v>
      </c>
    </row>
    <row r="914" spans="1:4" x14ac:dyDescent="0.25">
      <c r="C914" s="49" t="s">
        <v>82</v>
      </c>
      <c r="D914" s="56" t="str">
        <f>IFERROR(VLOOKUP(D908,'Prob PRB Summary Data'!A:AG,31,FALSE),"")</f>
        <v/>
      </c>
    </row>
    <row r="915" spans="1:4" x14ac:dyDescent="0.25">
      <c r="C915" s="49" t="s">
        <v>81</v>
      </c>
      <c r="D915" s="56" t="str">
        <f>IFERROR(VLOOKUP(D908,'Prob PRB Summary Data'!A:AG,16,FALSE),"")</f>
        <v/>
      </c>
    </row>
    <row r="916" spans="1:4" ht="30" x14ac:dyDescent="0.25">
      <c r="C916" s="49" t="s">
        <v>49</v>
      </c>
      <c r="D916" s="56" t="str">
        <f>IFERROR(VLOOKUP(D908,'Prob PRB Summary Data'!A:AG,25,FALSE),"")&amp;CHAR(10)</f>
        <v xml:space="preserve">
</v>
      </c>
    </row>
    <row r="917" spans="1:4" ht="30.75" thickBot="1" x14ac:dyDescent="0.3">
      <c r="C917" s="51" t="s">
        <v>50</v>
      </c>
      <c r="D917" s="52" t="str">
        <f>IFERROR(VLOOKUP(D908,'Prob PRB Summary Data'!A:AG,26,FALSE),"")&amp;CHAR(10)</f>
        <v xml:space="preserve">
</v>
      </c>
    </row>
    <row r="918" spans="1:4" ht="15.75" thickBot="1" x14ac:dyDescent="0.3">
      <c r="C918" s="53"/>
      <c r="D918" s="54"/>
    </row>
    <row r="919" spans="1:4" x14ac:dyDescent="0.25">
      <c r="A919" s="175" t="str">
        <f>IF(D919&lt;&gt;"","Comp","Blank")</f>
        <v>Blank</v>
      </c>
      <c r="C919" s="45" t="s">
        <v>84</v>
      </c>
      <c r="D919" s="55" t="str">
        <f>IF('Prob PRB Summary Data'!A85&lt;&gt;"",('Prob PRB Summary Data'!A85),"")</f>
        <v/>
      </c>
    </row>
    <row r="920" spans="1:4" x14ac:dyDescent="0.25">
      <c r="C920" s="47" t="s">
        <v>85</v>
      </c>
      <c r="D920" s="48" t="str">
        <f>IFERROR(VLOOKUP(D919,'Prob PRB Summary Data'!A:AG,8,FALSE),"")</f>
        <v/>
      </c>
    </row>
    <row r="921" spans="1:4" x14ac:dyDescent="0.25">
      <c r="C921" s="49" t="s">
        <v>46</v>
      </c>
      <c r="D921" s="56" t="str">
        <f>IFERROR(VLOOKUP(D919,'Prob PRB Summary Data'!A:AG,5,FALSE),"")</f>
        <v/>
      </c>
    </row>
    <row r="922" spans="1:4" x14ac:dyDescent="0.25">
      <c r="C922" s="49" t="s">
        <v>47</v>
      </c>
      <c r="D922" s="57" t="str">
        <f>IFERROR(VLOOKUP(D919,'Prob PRB Summary Data'!A:AG,9,FALSE),"")</f>
        <v/>
      </c>
    </row>
    <row r="923" spans="1:4" x14ac:dyDescent="0.25">
      <c r="C923" s="49" t="s">
        <v>110</v>
      </c>
      <c r="D923" s="159" t="str">
        <f>IFERROR(VLOOKUP(D919,'Prob PRB Summary Data'!A:AG,32,FALSE),"")</f>
        <v/>
      </c>
    </row>
    <row r="924" spans="1:4" ht="30" x14ac:dyDescent="0.25">
      <c r="C924" s="49" t="s">
        <v>48</v>
      </c>
      <c r="D924" s="56" t="str">
        <f>IFERROR(VLOOKUP(D919,'Prob PRB Summary Data'!A:AG,24,FALSE),"")&amp;CHAR(10)</f>
        <v xml:space="preserve">
</v>
      </c>
    </row>
    <row r="925" spans="1:4" x14ac:dyDescent="0.25">
      <c r="C925" s="49" t="s">
        <v>82</v>
      </c>
      <c r="D925" s="56" t="str">
        <f>IFERROR(VLOOKUP(D919,'Prob PRB Summary Data'!A:AG,31,FALSE),"")</f>
        <v/>
      </c>
    </row>
    <row r="926" spans="1:4" x14ac:dyDescent="0.25">
      <c r="C926" s="49" t="s">
        <v>81</v>
      </c>
      <c r="D926" s="56" t="str">
        <f>IFERROR(VLOOKUP(D919,'Prob PRB Summary Data'!A:AG,16,FALSE),"")</f>
        <v/>
      </c>
    </row>
    <row r="927" spans="1:4" ht="30" x14ac:dyDescent="0.25">
      <c r="C927" s="49" t="s">
        <v>49</v>
      </c>
      <c r="D927" s="56" t="str">
        <f>IFERROR(VLOOKUP(D919,'Prob PRB Summary Data'!A:AG,25,FALSE),"")&amp;CHAR(10)</f>
        <v xml:space="preserve">
</v>
      </c>
    </row>
    <row r="928" spans="1:4" ht="30.75" thickBot="1" x14ac:dyDescent="0.3">
      <c r="C928" s="51" t="s">
        <v>50</v>
      </c>
      <c r="D928" s="52" t="str">
        <f>IFERROR(VLOOKUP(D919,'Prob PRB Summary Data'!A:AG,26,FALSE),"")&amp;CHAR(10)</f>
        <v xml:space="preserve">
</v>
      </c>
    </row>
    <row r="929" spans="1:4" ht="15.75" thickBot="1" x14ac:dyDescent="0.3">
      <c r="C929" s="53"/>
      <c r="D929" s="54"/>
    </row>
    <row r="930" spans="1:4" x14ac:dyDescent="0.25">
      <c r="A930" s="175" t="str">
        <f>IF(D930&lt;&gt;"","Comp","Blank")</f>
        <v>Blank</v>
      </c>
      <c r="C930" s="45" t="s">
        <v>84</v>
      </c>
      <c r="D930" s="55" t="str">
        <f>IF('Prob PRB Summary Data'!A86&lt;&gt;"",('Prob PRB Summary Data'!A86),"")</f>
        <v/>
      </c>
    </row>
    <row r="931" spans="1:4" x14ac:dyDescent="0.25">
      <c r="C931" s="47" t="s">
        <v>85</v>
      </c>
      <c r="D931" s="48" t="str">
        <f>IFERROR(VLOOKUP(D930,'Prob PRB Summary Data'!A:AG,8,FALSE),"")</f>
        <v/>
      </c>
    </row>
    <row r="932" spans="1:4" x14ac:dyDescent="0.25">
      <c r="C932" s="49" t="s">
        <v>46</v>
      </c>
      <c r="D932" s="56" t="str">
        <f>IFERROR(VLOOKUP(D930,'Prob PRB Summary Data'!A:AG,5,FALSE),"")</f>
        <v/>
      </c>
    </row>
    <row r="933" spans="1:4" x14ac:dyDescent="0.25">
      <c r="C933" s="49" t="s">
        <v>47</v>
      </c>
      <c r="D933" s="57" t="str">
        <f>IFERROR(VLOOKUP(D930,'Prob PRB Summary Data'!A:AG,9,FALSE),"")</f>
        <v/>
      </c>
    </row>
    <row r="934" spans="1:4" x14ac:dyDescent="0.25">
      <c r="C934" s="49" t="s">
        <v>110</v>
      </c>
      <c r="D934" s="159" t="str">
        <f>IFERROR(VLOOKUP(D930,'Prob PRB Summary Data'!A:AG,32,FALSE),"")</f>
        <v/>
      </c>
    </row>
    <row r="935" spans="1:4" ht="30" x14ac:dyDescent="0.25">
      <c r="C935" s="49" t="s">
        <v>48</v>
      </c>
      <c r="D935" s="56" t="str">
        <f>IFERROR(VLOOKUP(D930,'Prob PRB Summary Data'!A:AG,24,FALSE),"")&amp;CHAR(10)</f>
        <v xml:space="preserve">
</v>
      </c>
    </row>
    <row r="936" spans="1:4" x14ac:dyDescent="0.25">
      <c r="C936" s="49" t="s">
        <v>82</v>
      </c>
      <c r="D936" s="56" t="str">
        <f>IFERROR(VLOOKUP(D930,'Prob PRB Summary Data'!A:AG,31,FALSE),"")</f>
        <v/>
      </c>
    </row>
    <row r="937" spans="1:4" x14ac:dyDescent="0.25">
      <c r="C937" s="49" t="s">
        <v>81</v>
      </c>
      <c r="D937" s="56" t="str">
        <f>IFERROR(VLOOKUP(D930,'Prob PRB Summary Data'!A:AG,16,FALSE),"")</f>
        <v/>
      </c>
    </row>
    <row r="938" spans="1:4" ht="30" x14ac:dyDescent="0.25">
      <c r="C938" s="49" t="s">
        <v>49</v>
      </c>
      <c r="D938" s="56" t="str">
        <f>IFERROR(VLOOKUP(D930,'Prob PRB Summary Data'!A:AG,25,FALSE),"")&amp;CHAR(10)</f>
        <v xml:space="preserve">
</v>
      </c>
    </row>
    <row r="939" spans="1:4" ht="30.75" thickBot="1" x14ac:dyDescent="0.3">
      <c r="C939" s="51" t="s">
        <v>50</v>
      </c>
      <c r="D939" s="52" t="str">
        <f>IFERROR(VLOOKUP(D930,'Prob PRB Summary Data'!A:AG,26,FALSE),"")&amp;CHAR(10)</f>
        <v xml:space="preserve">
</v>
      </c>
    </row>
    <row r="940" spans="1:4" ht="15.75" thickBot="1" x14ac:dyDescent="0.3">
      <c r="C940" s="53"/>
      <c r="D940" s="54"/>
    </row>
    <row r="941" spans="1:4" x14ac:dyDescent="0.25">
      <c r="A941" s="175" t="str">
        <f>IF(D941&lt;&gt;"","Comp","Blank")</f>
        <v>Blank</v>
      </c>
      <c r="C941" s="45" t="s">
        <v>84</v>
      </c>
      <c r="D941" s="55" t="str">
        <f>IF('Prob PRB Summary Data'!A87&lt;&gt;"",('Prob PRB Summary Data'!A87),"")</f>
        <v/>
      </c>
    </row>
    <row r="942" spans="1:4" x14ac:dyDescent="0.25">
      <c r="C942" s="47" t="s">
        <v>85</v>
      </c>
      <c r="D942" s="48" t="str">
        <f>IFERROR(VLOOKUP(D941,'Prob PRB Summary Data'!A:AG,8,FALSE),"")</f>
        <v/>
      </c>
    </row>
    <row r="943" spans="1:4" x14ac:dyDescent="0.25">
      <c r="C943" s="49" t="s">
        <v>46</v>
      </c>
      <c r="D943" s="56" t="str">
        <f>IFERROR(VLOOKUP(D941,'Prob PRB Summary Data'!A:AG,5,FALSE),"")</f>
        <v/>
      </c>
    </row>
    <row r="944" spans="1:4" x14ac:dyDescent="0.25">
      <c r="C944" s="49" t="s">
        <v>47</v>
      </c>
      <c r="D944" s="57" t="str">
        <f>IFERROR(VLOOKUP(D941,'Prob PRB Summary Data'!A:AG,9,FALSE),"")</f>
        <v/>
      </c>
    </row>
    <row r="945" spans="1:4" x14ac:dyDescent="0.25">
      <c r="C945" s="49" t="s">
        <v>110</v>
      </c>
      <c r="D945" s="159" t="str">
        <f>IFERROR(VLOOKUP(D941,'Prob PRB Summary Data'!A:AG,32,FALSE),"")</f>
        <v/>
      </c>
    </row>
    <row r="946" spans="1:4" ht="30" x14ac:dyDescent="0.25">
      <c r="C946" s="49" t="s">
        <v>48</v>
      </c>
      <c r="D946" s="56" t="str">
        <f>IFERROR(VLOOKUP(D941,'Prob PRB Summary Data'!A:AG,24,FALSE),"")&amp;CHAR(10)</f>
        <v xml:space="preserve">
</v>
      </c>
    </row>
    <row r="947" spans="1:4" x14ac:dyDescent="0.25">
      <c r="C947" s="49" t="s">
        <v>82</v>
      </c>
      <c r="D947" s="56" t="str">
        <f>IFERROR(VLOOKUP(D941,'Prob PRB Summary Data'!A:AG,31,FALSE),"")</f>
        <v/>
      </c>
    </row>
    <row r="948" spans="1:4" x14ac:dyDescent="0.25">
      <c r="C948" s="49" t="s">
        <v>81</v>
      </c>
      <c r="D948" s="56" t="str">
        <f>IFERROR(VLOOKUP(D941,'Prob PRB Summary Data'!A:AG,16,FALSE),"")</f>
        <v/>
      </c>
    </row>
    <row r="949" spans="1:4" ht="30" x14ac:dyDescent="0.25">
      <c r="C949" s="49" t="s">
        <v>49</v>
      </c>
      <c r="D949" s="56" t="str">
        <f>IFERROR(VLOOKUP(D941,'Prob PRB Summary Data'!A:AG,25,FALSE),"")&amp;CHAR(10)</f>
        <v xml:space="preserve">
</v>
      </c>
    </row>
    <row r="950" spans="1:4" ht="30.75" thickBot="1" x14ac:dyDescent="0.3">
      <c r="C950" s="51" t="s">
        <v>50</v>
      </c>
      <c r="D950" s="52" t="str">
        <f>IFERROR(VLOOKUP(D941,'Prob PRB Summary Data'!A:AG,26,FALSE),"")&amp;CHAR(10)</f>
        <v xml:space="preserve">
</v>
      </c>
    </row>
    <row r="951" spans="1:4" ht="15.75" thickBot="1" x14ac:dyDescent="0.3">
      <c r="C951" s="53"/>
      <c r="D951" s="54"/>
    </row>
    <row r="952" spans="1:4" x14ac:dyDescent="0.25">
      <c r="A952" s="175" t="str">
        <f>IF(D952&lt;&gt;"","Comp","Blank")</f>
        <v>Blank</v>
      </c>
      <c r="C952" s="45" t="s">
        <v>84</v>
      </c>
      <c r="D952" s="55" t="str">
        <f>IF('Prob PRB Summary Data'!A88&lt;&gt;"",('Prob PRB Summary Data'!A88),"")</f>
        <v/>
      </c>
    </row>
    <row r="953" spans="1:4" x14ac:dyDescent="0.25">
      <c r="C953" s="47" t="s">
        <v>85</v>
      </c>
      <c r="D953" s="48" t="str">
        <f>IFERROR(VLOOKUP(D952,'Prob PRB Summary Data'!A:AG,8,FALSE),"")</f>
        <v/>
      </c>
    </row>
    <row r="954" spans="1:4" x14ac:dyDescent="0.25">
      <c r="C954" s="49" t="s">
        <v>46</v>
      </c>
      <c r="D954" s="56" t="str">
        <f>IFERROR(VLOOKUP(D952,'Prob PRB Summary Data'!A:AG,5,FALSE),"")</f>
        <v/>
      </c>
    </row>
    <row r="955" spans="1:4" x14ac:dyDescent="0.25">
      <c r="C955" s="49" t="s">
        <v>47</v>
      </c>
      <c r="D955" s="57" t="str">
        <f>IFERROR(VLOOKUP(D952,'Prob PRB Summary Data'!A:AG,9,FALSE),"")</f>
        <v/>
      </c>
    </row>
    <row r="956" spans="1:4" x14ac:dyDescent="0.25">
      <c r="C956" s="49" t="s">
        <v>110</v>
      </c>
      <c r="D956" s="159" t="str">
        <f>IFERROR(VLOOKUP(D952,'Prob PRB Summary Data'!A:AG,32,FALSE),"")</f>
        <v/>
      </c>
    </row>
    <row r="957" spans="1:4" ht="30" x14ac:dyDescent="0.25">
      <c r="C957" s="49" t="s">
        <v>48</v>
      </c>
      <c r="D957" s="56" t="str">
        <f>IFERROR(VLOOKUP(D952,'Prob PRB Summary Data'!A:AG,24,FALSE),"")&amp;CHAR(10)</f>
        <v xml:space="preserve">
</v>
      </c>
    </row>
    <row r="958" spans="1:4" x14ac:dyDescent="0.25">
      <c r="C958" s="49" t="s">
        <v>82</v>
      </c>
      <c r="D958" s="56" t="str">
        <f>IFERROR(VLOOKUP(D952,'Prob PRB Summary Data'!A:AG,31,FALSE),"")</f>
        <v/>
      </c>
    </row>
    <row r="959" spans="1:4" x14ac:dyDescent="0.25">
      <c r="C959" s="49" t="s">
        <v>81</v>
      </c>
      <c r="D959" s="56" t="str">
        <f>IFERROR(VLOOKUP(D952,'Prob PRB Summary Data'!A:AG,16,FALSE),"")</f>
        <v/>
      </c>
    </row>
    <row r="960" spans="1:4" ht="30" x14ac:dyDescent="0.25">
      <c r="C960" s="49" t="s">
        <v>49</v>
      </c>
      <c r="D960" s="56" t="str">
        <f>IFERROR(VLOOKUP(D952,'Prob PRB Summary Data'!A:AG,25,FALSE),"")&amp;CHAR(10)</f>
        <v xml:space="preserve">
</v>
      </c>
    </row>
    <row r="961" spans="1:4" ht="30.75" thickBot="1" x14ac:dyDescent="0.3">
      <c r="C961" s="51" t="s">
        <v>50</v>
      </c>
      <c r="D961" s="52" t="str">
        <f>IFERROR(VLOOKUP(D952,'Prob PRB Summary Data'!A:AG,26,FALSE),"")&amp;CHAR(10)</f>
        <v xml:space="preserve">
</v>
      </c>
    </row>
    <row r="962" spans="1:4" ht="15.75" thickBot="1" x14ac:dyDescent="0.3">
      <c r="C962" s="53"/>
      <c r="D962" s="54"/>
    </row>
    <row r="963" spans="1:4" x14ac:dyDescent="0.25">
      <c r="A963" s="175" t="str">
        <f>IF(D963&lt;&gt;"","Comp","Blank")</f>
        <v>Blank</v>
      </c>
      <c r="C963" s="45" t="s">
        <v>84</v>
      </c>
      <c r="D963" s="55" t="str">
        <f>IF('Prob PRB Summary Data'!A89&lt;&gt;"",('Prob PRB Summary Data'!A89),"")</f>
        <v/>
      </c>
    </row>
    <row r="964" spans="1:4" x14ac:dyDescent="0.25">
      <c r="C964" s="47" t="s">
        <v>85</v>
      </c>
      <c r="D964" s="48" t="str">
        <f>IFERROR(VLOOKUP(D963,'Prob PRB Summary Data'!A:AG,8,FALSE),"")</f>
        <v/>
      </c>
    </row>
    <row r="965" spans="1:4" x14ac:dyDescent="0.25">
      <c r="C965" s="49" t="s">
        <v>46</v>
      </c>
      <c r="D965" s="56" t="str">
        <f>IFERROR(VLOOKUP(D963,'Prob PRB Summary Data'!A:AG,5,FALSE),"")</f>
        <v/>
      </c>
    </row>
    <row r="966" spans="1:4" x14ac:dyDescent="0.25">
      <c r="C966" s="49" t="s">
        <v>47</v>
      </c>
      <c r="D966" s="57" t="str">
        <f>IFERROR(VLOOKUP(D963,'Prob PRB Summary Data'!A:AG,9,FALSE),"")</f>
        <v/>
      </c>
    </row>
    <row r="967" spans="1:4" x14ac:dyDescent="0.25">
      <c r="C967" s="49" t="s">
        <v>110</v>
      </c>
      <c r="D967" s="159" t="str">
        <f>IFERROR(VLOOKUP(D963,'Prob PRB Summary Data'!A:AG,32,FALSE),"")</f>
        <v/>
      </c>
    </row>
    <row r="968" spans="1:4" ht="30" x14ac:dyDescent="0.25">
      <c r="C968" s="49" t="s">
        <v>48</v>
      </c>
      <c r="D968" s="56" t="str">
        <f>IFERROR(VLOOKUP(D963,'Prob PRB Summary Data'!A:AG,24,FALSE),"")&amp;CHAR(10)</f>
        <v xml:space="preserve">
</v>
      </c>
    </row>
    <row r="969" spans="1:4" x14ac:dyDescent="0.25">
      <c r="C969" s="49" t="s">
        <v>82</v>
      </c>
      <c r="D969" s="56" t="str">
        <f>IFERROR(VLOOKUP(D963,'Prob PRB Summary Data'!A:AG,31,FALSE),"")</f>
        <v/>
      </c>
    </row>
    <row r="970" spans="1:4" x14ac:dyDescent="0.25">
      <c r="C970" s="49" t="s">
        <v>81</v>
      </c>
      <c r="D970" s="56" t="str">
        <f>IFERROR(VLOOKUP(D963,'Prob PRB Summary Data'!A:AG,16,FALSE),"")</f>
        <v/>
      </c>
    </row>
    <row r="971" spans="1:4" ht="30" x14ac:dyDescent="0.25">
      <c r="C971" s="49" t="s">
        <v>49</v>
      </c>
      <c r="D971" s="56" t="str">
        <f>IFERROR(VLOOKUP(D963,'Prob PRB Summary Data'!A:AG,25,FALSE),"")&amp;CHAR(10)</f>
        <v xml:space="preserve">
</v>
      </c>
    </row>
    <row r="972" spans="1:4" ht="30.75" thickBot="1" x14ac:dyDescent="0.3">
      <c r="C972" s="51" t="s">
        <v>50</v>
      </c>
      <c r="D972" s="64" t="str">
        <f>IFERROR(VLOOKUP(D963,'Prob PRB Summary Data'!A:AG,26,FALSE),"")&amp;CHAR(10)</f>
        <v xml:space="preserve">
</v>
      </c>
    </row>
    <row r="973" spans="1:4" ht="15.75" thickBot="1" x14ac:dyDescent="0.3">
      <c r="C973" s="53"/>
      <c r="D973" s="54"/>
    </row>
    <row r="974" spans="1:4" x14ac:dyDescent="0.25">
      <c r="A974" s="175" t="str">
        <f>IF(D974&lt;&gt;"","Comp","Blank")</f>
        <v>Blank</v>
      </c>
      <c r="C974" s="45" t="s">
        <v>84</v>
      </c>
      <c r="D974" s="55" t="str">
        <f>IF('Prob PRB Summary Data'!A90&lt;&gt;"",('Prob PRB Summary Data'!A90),"")</f>
        <v/>
      </c>
    </row>
    <row r="975" spans="1:4" x14ac:dyDescent="0.25">
      <c r="C975" s="47" t="s">
        <v>85</v>
      </c>
      <c r="D975" s="48" t="str">
        <f>IFERROR(VLOOKUP(D974,'Prob PRB Summary Data'!A:AG,8,FALSE),"")</f>
        <v/>
      </c>
    </row>
    <row r="976" spans="1:4" x14ac:dyDescent="0.25">
      <c r="C976" s="49" t="s">
        <v>46</v>
      </c>
      <c r="D976" s="56" t="str">
        <f>IFERROR(VLOOKUP(D974,'Prob PRB Summary Data'!A:AG,5,FALSE),"")</f>
        <v/>
      </c>
    </row>
    <row r="977" spans="1:4" x14ac:dyDescent="0.25">
      <c r="C977" s="49" t="s">
        <v>47</v>
      </c>
      <c r="D977" s="57" t="str">
        <f>IFERROR(VLOOKUP(D974,'Prob PRB Summary Data'!A:AG,9,FALSE),"")</f>
        <v/>
      </c>
    </row>
    <row r="978" spans="1:4" x14ac:dyDescent="0.25">
      <c r="C978" s="49" t="s">
        <v>110</v>
      </c>
      <c r="D978" s="159" t="str">
        <f>IFERROR(VLOOKUP(D974,'Prob PRB Summary Data'!A:AG,32,FALSE),"")</f>
        <v/>
      </c>
    </row>
    <row r="979" spans="1:4" ht="30" x14ac:dyDescent="0.25">
      <c r="C979" s="49" t="s">
        <v>48</v>
      </c>
      <c r="D979" s="56" t="str">
        <f>IFERROR(VLOOKUP(D974,'Prob PRB Summary Data'!A:AG,24,FALSE),"")&amp;CHAR(10)</f>
        <v xml:space="preserve">
</v>
      </c>
    </row>
    <row r="980" spans="1:4" x14ac:dyDescent="0.25">
      <c r="C980" s="49" t="s">
        <v>82</v>
      </c>
      <c r="D980" s="56" t="str">
        <f>IFERROR(VLOOKUP(D974,'Prob PRB Summary Data'!A:AG,31,FALSE),"")</f>
        <v/>
      </c>
    </row>
    <row r="981" spans="1:4" x14ac:dyDescent="0.25">
      <c r="C981" s="49" t="s">
        <v>81</v>
      </c>
      <c r="D981" s="56" t="str">
        <f>IFERROR(VLOOKUP(D974,'Prob PRB Summary Data'!A:AG,16,FALSE),"")</f>
        <v/>
      </c>
    </row>
    <row r="982" spans="1:4" ht="30" x14ac:dyDescent="0.25">
      <c r="C982" s="49" t="s">
        <v>49</v>
      </c>
      <c r="D982" s="56" t="str">
        <f>IFERROR(VLOOKUP(D974,'Prob PRB Summary Data'!A:AG,25,FALSE),"")&amp;CHAR(10)</f>
        <v xml:space="preserve">
</v>
      </c>
    </row>
    <row r="983" spans="1:4" ht="30.75" thickBot="1" x14ac:dyDescent="0.3">
      <c r="C983" s="51" t="s">
        <v>50</v>
      </c>
      <c r="D983" s="64" t="str">
        <f>IFERROR(VLOOKUP(D974,'Prob PRB Summary Data'!A:AG,26,FALSE),"")&amp;CHAR(10)</f>
        <v xml:space="preserve">
</v>
      </c>
    </row>
    <row r="984" spans="1:4" ht="15.75" thickBot="1" x14ac:dyDescent="0.3">
      <c r="C984" s="53"/>
      <c r="D984" s="54"/>
    </row>
    <row r="985" spans="1:4" x14ac:dyDescent="0.25">
      <c r="A985" s="175" t="str">
        <f>IF(D985&lt;&gt;"","Comp","Blank")</f>
        <v>Blank</v>
      </c>
      <c r="C985" s="45" t="s">
        <v>84</v>
      </c>
      <c r="D985" s="55" t="str">
        <f>IF('Prob PRB Summary Data'!A91&lt;&gt;"",('Prob PRB Summary Data'!A91),"")</f>
        <v/>
      </c>
    </row>
    <row r="986" spans="1:4" x14ac:dyDescent="0.25">
      <c r="C986" s="47" t="s">
        <v>85</v>
      </c>
      <c r="D986" s="48" t="str">
        <f>IFERROR(VLOOKUP(D985,'Prob PRB Summary Data'!A:AG,8,FALSE),"")</f>
        <v/>
      </c>
    </row>
    <row r="987" spans="1:4" x14ac:dyDescent="0.25">
      <c r="C987" s="49" t="s">
        <v>46</v>
      </c>
      <c r="D987" s="56" t="str">
        <f>IFERROR(VLOOKUP(D985,'Prob PRB Summary Data'!A:AG,5,FALSE),"")</f>
        <v/>
      </c>
    </row>
    <row r="988" spans="1:4" x14ac:dyDescent="0.25">
      <c r="C988" s="49" t="s">
        <v>47</v>
      </c>
      <c r="D988" s="57" t="str">
        <f>IFERROR(VLOOKUP(D985,'Prob PRB Summary Data'!A:AG,9,FALSE),"")</f>
        <v/>
      </c>
    </row>
    <row r="989" spans="1:4" x14ac:dyDescent="0.25">
      <c r="C989" s="49" t="s">
        <v>110</v>
      </c>
      <c r="D989" s="159" t="str">
        <f>IFERROR(VLOOKUP(D985,'Prob PRB Summary Data'!A:AG,32,FALSE),"")</f>
        <v/>
      </c>
    </row>
    <row r="990" spans="1:4" ht="30" x14ac:dyDescent="0.25">
      <c r="C990" s="49" t="s">
        <v>48</v>
      </c>
      <c r="D990" s="56" t="str">
        <f>IFERROR(VLOOKUP(D985,'Prob PRB Summary Data'!A:AG,24,FALSE),"")&amp;CHAR(10)</f>
        <v xml:space="preserve">
</v>
      </c>
    </row>
    <row r="991" spans="1:4" x14ac:dyDescent="0.25">
      <c r="C991" s="49" t="s">
        <v>82</v>
      </c>
      <c r="D991" s="56" t="str">
        <f>IFERROR(VLOOKUP(D985,'Prob PRB Summary Data'!A:AG,31,FALSE),"")</f>
        <v/>
      </c>
    </row>
    <row r="992" spans="1:4" x14ac:dyDescent="0.25">
      <c r="C992" s="49" t="s">
        <v>81</v>
      </c>
      <c r="D992" s="56" t="str">
        <f>IFERROR(VLOOKUP(D985,'Prob PRB Summary Data'!A:AG,16,FALSE),"")</f>
        <v/>
      </c>
    </row>
    <row r="993" spans="1:4" ht="30" x14ac:dyDescent="0.25">
      <c r="C993" s="49" t="s">
        <v>49</v>
      </c>
      <c r="D993" s="56" t="str">
        <f>IFERROR(VLOOKUP(D985,'Prob PRB Summary Data'!A:AG,25,FALSE),"")&amp;CHAR(10)</f>
        <v xml:space="preserve">
</v>
      </c>
    </row>
    <row r="994" spans="1:4" ht="30.75" thickBot="1" x14ac:dyDescent="0.3">
      <c r="C994" s="51" t="s">
        <v>50</v>
      </c>
      <c r="D994" s="64" t="str">
        <f>IFERROR(VLOOKUP(D985,'Prob PRB Summary Data'!A:AG,26,FALSE),"")&amp;CHAR(10)</f>
        <v xml:space="preserve">
</v>
      </c>
    </row>
    <row r="995" spans="1:4" ht="15.75" thickBot="1" x14ac:dyDescent="0.3">
      <c r="C995" s="53"/>
      <c r="D995" s="54"/>
    </row>
    <row r="996" spans="1:4" x14ac:dyDescent="0.25">
      <c r="A996" s="175" t="str">
        <f>IF(D996&lt;&gt;"","Comp","Blank")</f>
        <v>Blank</v>
      </c>
      <c r="C996" s="45" t="s">
        <v>84</v>
      </c>
      <c r="D996" s="55" t="str">
        <f>IF('Prob PRB Summary Data'!A92&lt;&gt;"",('Prob PRB Summary Data'!A92),"")</f>
        <v/>
      </c>
    </row>
    <row r="997" spans="1:4" x14ac:dyDescent="0.25">
      <c r="C997" s="47" t="s">
        <v>85</v>
      </c>
      <c r="D997" s="48" t="str">
        <f>IFERROR(VLOOKUP(D996,'Prob PRB Summary Data'!A:AG,8,FALSE),"")</f>
        <v/>
      </c>
    </row>
    <row r="998" spans="1:4" x14ac:dyDescent="0.25">
      <c r="C998" s="49" t="s">
        <v>46</v>
      </c>
      <c r="D998" s="56" t="str">
        <f>IFERROR(VLOOKUP(D996,'Prob PRB Summary Data'!A:AG,5,FALSE),"")</f>
        <v/>
      </c>
    </row>
    <row r="999" spans="1:4" x14ac:dyDescent="0.25">
      <c r="C999" s="49" t="s">
        <v>47</v>
      </c>
      <c r="D999" s="57" t="str">
        <f>IFERROR(VLOOKUP(D996,'Prob PRB Summary Data'!A:AG,9,FALSE),"")</f>
        <v/>
      </c>
    </row>
    <row r="1000" spans="1:4" x14ac:dyDescent="0.25">
      <c r="C1000" s="49" t="s">
        <v>110</v>
      </c>
      <c r="D1000" s="159" t="str">
        <f>IFERROR(VLOOKUP(D996,'Prob PRB Summary Data'!A:AG,32,FALSE),"")</f>
        <v/>
      </c>
    </row>
    <row r="1001" spans="1:4" ht="30" x14ac:dyDescent="0.25">
      <c r="C1001" s="49" t="s">
        <v>48</v>
      </c>
      <c r="D1001" s="56" t="str">
        <f>IFERROR(VLOOKUP(D996,'Prob PRB Summary Data'!A:AG,24,FALSE),"")&amp;CHAR(10)</f>
        <v xml:space="preserve">
</v>
      </c>
    </row>
    <row r="1002" spans="1:4" x14ac:dyDescent="0.25">
      <c r="C1002" s="49" t="s">
        <v>82</v>
      </c>
      <c r="D1002" s="56" t="str">
        <f>IFERROR(VLOOKUP(D996,'Prob PRB Summary Data'!A:AG,31,FALSE),"")</f>
        <v/>
      </c>
    </row>
    <row r="1003" spans="1:4" x14ac:dyDescent="0.25">
      <c r="C1003" s="49" t="s">
        <v>81</v>
      </c>
      <c r="D1003" s="56" t="str">
        <f>IFERROR(VLOOKUP(D996,'Prob PRB Summary Data'!A:AG,16,FALSE),"")</f>
        <v/>
      </c>
    </row>
    <row r="1004" spans="1:4" ht="30" x14ac:dyDescent="0.25">
      <c r="C1004" s="49" t="s">
        <v>49</v>
      </c>
      <c r="D1004" s="56" t="str">
        <f>IFERROR(VLOOKUP(D996,'Prob PRB Summary Data'!A:AG,25,FALSE),"")&amp;CHAR(10)</f>
        <v xml:space="preserve">
</v>
      </c>
    </row>
    <row r="1005" spans="1:4" ht="30.75" thickBot="1" x14ac:dyDescent="0.3">
      <c r="C1005" s="51" t="s">
        <v>50</v>
      </c>
      <c r="D1005" s="64" t="str">
        <f>IFERROR(VLOOKUP(D996,'Prob PRB Summary Data'!A:AG,26,FALSE),"")&amp;CHAR(10)</f>
        <v xml:space="preserve">
</v>
      </c>
    </row>
    <row r="1006" spans="1:4" ht="15.75" hidden="1" thickBot="1" x14ac:dyDescent="0.3">
      <c r="C1006" s="53"/>
      <c r="D1006" s="54"/>
    </row>
    <row r="1007" spans="1:4" hidden="1" x14ac:dyDescent="0.25">
      <c r="A1007" s="175" t="str">
        <f>IF(D1007&lt;&gt;"","Comp","Blank")</f>
        <v>Blank</v>
      </c>
      <c r="C1007" s="45" t="s">
        <v>84</v>
      </c>
      <c r="D1007" s="55" t="str">
        <f>IF('Prob PRB Summary Data'!A93&lt;&gt;"",('Prob PRB Summary Data'!A93),"")</f>
        <v/>
      </c>
    </row>
    <row r="1008" spans="1:4" hidden="1" x14ac:dyDescent="0.25">
      <c r="C1008" s="47" t="s">
        <v>85</v>
      </c>
      <c r="D1008" s="48" t="str">
        <f>IFERROR(VLOOKUP(D1007,'Prob PRB Summary Data'!A:AG,8,FALSE),"")</f>
        <v/>
      </c>
    </row>
    <row r="1009" spans="1:4" hidden="1" x14ac:dyDescent="0.25">
      <c r="C1009" s="49" t="s">
        <v>46</v>
      </c>
      <c r="D1009" s="56" t="str">
        <f>IFERROR(VLOOKUP(D1007,'Prob PRB Summary Data'!A:AG,5,FALSE),"")</f>
        <v/>
      </c>
    </row>
    <row r="1010" spans="1:4" hidden="1" x14ac:dyDescent="0.25">
      <c r="C1010" s="49" t="s">
        <v>47</v>
      </c>
      <c r="D1010" s="57" t="str">
        <f>IFERROR(VLOOKUP(D1007,'Prob PRB Summary Data'!A:AG,9,FALSE),"")</f>
        <v/>
      </c>
    </row>
    <row r="1011" spans="1:4" hidden="1" x14ac:dyDescent="0.25">
      <c r="C1011" s="49" t="s">
        <v>110</v>
      </c>
      <c r="D1011" s="159" t="str">
        <f>IFERROR(VLOOKUP(D1007,'Prob PRB Summary Data'!A:AG,32,FALSE),"")</f>
        <v/>
      </c>
    </row>
    <row r="1012" spans="1:4" ht="30" hidden="1" x14ac:dyDescent="0.25">
      <c r="C1012" s="49" t="s">
        <v>48</v>
      </c>
      <c r="D1012" s="56" t="str">
        <f>IFERROR(VLOOKUP(D1007,'Prob PRB Summary Data'!A:AG,24,FALSE),"")&amp;CHAR(10)</f>
        <v xml:space="preserve">
</v>
      </c>
    </row>
    <row r="1013" spans="1:4" hidden="1" x14ac:dyDescent="0.25">
      <c r="C1013" s="49" t="s">
        <v>82</v>
      </c>
      <c r="D1013" s="56" t="str">
        <f>IFERROR(VLOOKUP(D1007,'Prob PRB Summary Data'!A:AG,31,FALSE),"")</f>
        <v/>
      </c>
    </row>
    <row r="1014" spans="1:4" hidden="1" x14ac:dyDescent="0.25">
      <c r="C1014" s="49" t="s">
        <v>81</v>
      </c>
      <c r="D1014" s="56" t="str">
        <f>IFERROR(VLOOKUP(D1007,'Prob PRB Summary Data'!A:AG,16,FALSE),"")</f>
        <v/>
      </c>
    </row>
    <row r="1015" spans="1:4" ht="30" hidden="1" x14ac:dyDescent="0.25">
      <c r="C1015" s="49" t="s">
        <v>49</v>
      </c>
      <c r="D1015" s="56" t="str">
        <f>IFERROR(VLOOKUP(D1007,'Prob PRB Summary Data'!A:AG,25,FALSE),"")&amp;CHAR(10)</f>
        <v xml:space="preserve">
</v>
      </c>
    </row>
    <row r="1016" spans="1:4" ht="30.75" hidden="1" thickBot="1" x14ac:dyDescent="0.3">
      <c r="C1016" s="51" t="s">
        <v>50</v>
      </c>
      <c r="D1016" s="64" t="str">
        <f>IFERROR(VLOOKUP(D1007,'Prob PRB Summary Data'!A:AG,26,FALSE),"")&amp;CHAR(10)</f>
        <v xml:space="preserve">
</v>
      </c>
    </row>
    <row r="1017" spans="1:4" ht="15.75" hidden="1" thickBot="1" x14ac:dyDescent="0.3">
      <c r="C1017" s="53"/>
      <c r="D1017" s="54"/>
    </row>
    <row r="1018" spans="1:4" hidden="1" x14ac:dyDescent="0.25">
      <c r="A1018" s="175" t="str">
        <f>IF(D1018&lt;&gt;"","Comp","Blank")</f>
        <v>Blank</v>
      </c>
      <c r="C1018" s="45" t="s">
        <v>84</v>
      </c>
      <c r="D1018" s="55" t="str">
        <f>IF('Prob PRB Summary Data'!A94&lt;&gt;"",('Prob PRB Summary Data'!A94),"")</f>
        <v/>
      </c>
    </row>
    <row r="1019" spans="1:4" hidden="1" x14ac:dyDescent="0.25">
      <c r="C1019" s="47" t="s">
        <v>85</v>
      </c>
      <c r="D1019" s="48" t="str">
        <f>IFERROR(VLOOKUP(D1018,'Prob PRB Summary Data'!A:AG,8,FALSE),"")</f>
        <v/>
      </c>
    </row>
    <row r="1020" spans="1:4" hidden="1" x14ac:dyDescent="0.25">
      <c r="C1020" s="49" t="s">
        <v>46</v>
      </c>
      <c r="D1020" s="56" t="str">
        <f>IFERROR(VLOOKUP(D1018,'Prob PRB Summary Data'!A:AG,5,FALSE),"")</f>
        <v/>
      </c>
    </row>
    <row r="1021" spans="1:4" hidden="1" x14ac:dyDescent="0.25">
      <c r="C1021" s="49" t="s">
        <v>47</v>
      </c>
      <c r="D1021" s="57" t="str">
        <f>IFERROR(VLOOKUP(D1018,'Prob PRB Summary Data'!A:AG,9,FALSE),"")</f>
        <v/>
      </c>
    </row>
    <row r="1022" spans="1:4" hidden="1" x14ac:dyDescent="0.25">
      <c r="C1022" s="49" t="s">
        <v>110</v>
      </c>
      <c r="D1022" s="159" t="str">
        <f>IFERROR(VLOOKUP(D1018,'Prob PRB Summary Data'!A:AG,32,FALSE),"")</f>
        <v/>
      </c>
    </row>
    <row r="1023" spans="1:4" ht="30" hidden="1" x14ac:dyDescent="0.25">
      <c r="C1023" s="49" t="s">
        <v>48</v>
      </c>
      <c r="D1023" s="56" t="str">
        <f>IFERROR(VLOOKUP(D1018,'Prob PRB Summary Data'!A:AG,24,FALSE),"")&amp;CHAR(10)</f>
        <v xml:space="preserve">
</v>
      </c>
    </row>
    <row r="1024" spans="1:4" hidden="1" x14ac:dyDescent="0.25">
      <c r="C1024" s="49" t="s">
        <v>82</v>
      </c>
      <c r="D1024" s="56" t="str">
        <f>IFERROR(VLOOKUP(D1018,'Prob PRB Summary Data'!A:AG,31,FALSE),"")</f>
        <v/>
      </c>
    </row>
    <row r="1025" spans="1:4" hidden="1" x14ac:dyDescent="0.25">
      <c r="C1025" s="49" t="s">
        <v>81</v>
      </c>
      <c r="D1025" s="56" t="str">
        <f>IFERROR(VLOOKUP(D1018,'Prob PRB Summary Data'!A:AG,16,FALSE),"")</f>
        <v/>
      </c>
    </row>
    <row r="1026" spans="1:4" ht="30" hidden="1" x14ac:dyDescent="0.25">
      <c r="C1026" s="49" t="s">
        <v>49</v>
      </c>
      <c r="D1026" s="56" t="str">
        <f>IFERROR(VLOOKUP(D1018,'Prob PRB Summary Data'!A:AG,25,FALSE),"")&amp;CHAR(10)</f>
        <v xml:space="preserve">
</v>
      </c>
    </row>
    <row r="1027" spans="1:4" ht="30.75" hidden="1" thickBot="1" x14ac:dyDescent="0.3">
      <c r="C1027" s="51" t="s">
        <v>50</v>
      </c>
      <c r="D1027" s="64" t="str">
        <f>IFERROR(VLOOKUP(D1018,'Prob PRB Summary Data'!A:AG,26,FALSE),"")&amp;CHAR(10)</f>
        <v xml:space="preserve">
</v>
      </c>
    </row>
    <row r="1028" spans="1:4" ht="15.75" hidden="1" thickBot="1" x14ac:dyDescent="0.3">
      <c r="C1028" s="53"/>
      <c r="D1028" s="54"/>
    </row>
    <row r="1029" spans="1:4" hidden="1" x14ac:dyDescent="0.25">
      <c r="A1029" s="175" t="str">
        <f>IF(D1029&lt;&gt;"","Comp","Blank")</f>
        <v>Blank</v>
      </c>
      <c r="C1029" s="45" t="s">
        <v>84</v>
      </c>
      <c r="D1029" s="55" t="str">
        <f>IF('Prob PRB Summary Data'!A95&lt;&gt;"",('Prob PRB Summary Data'!A95),"")</f>
        <v/>
      </c>
    </row>
    <row r="1030" spans="1:4" hidden="1" x14ac:dyDescent="0.25">
      <c r="C1030" s="47" t="s">
        <v>85</v>
      </c>
      <c r="D1030" s="48" t="str">
        <f>IFERROR(VLOOKUP(D1029,'Prob PRB Summary Data'!A:AG,8,FALSE),"")</f>
        <v/>
      </c>
    </row>
    <row r="1031" spans="1:4" hidden="1" x14ac:dyDescent="0.25">
      <c r="C1031" s="49" t="s">
        <v>46</v>
      </c>
      <c r="D1031" s="56" t="str">
        <f>IFERROR(VLOOKUP(D1029,'Prob PRB Summary Data'!A:AG,5,FALSE),"")</f>
        <v/>
      </c>
    </row>
    <row r="1032" spans="1:4" hidden="1" x14ac:dyDescent="0.25">
      <c r="C1032" s="49" t="s">
        <v>47</v>
      </c>
      <c r="D1032" s="57" t="str">
        <f>IFERROR(VLOOKUP(D1029,'Prob PRB Summary Data'!A:AG,9,FALSE),"")</f>
        <v/>
      </c>
    </row>
    <row r="1033" spans="1:4" hidden="1" x14ac:dyDescent="0.25">
      <c r="C1033" s="49" t="s">
        <v>110</v>
      </c>
      <c r="D1033" s="159" t="str">
        <f>IFERROR(VLOOKUP(D1029,'Prob PRB Summary Data'!A:AG,32,FALSE),"")</f>
        <v/>
      </c>
    </row>
    <row r="1034" spans="1:4" ht="28.9" hidden="1" customHeight="1" x14ac:dyDescent="0.25">
      <c r="C1034" s="49" t="s">
        <v>48</v>
      </c>
      <c r="D1034" s="56" t="str">
        <f>IFERROR(VLOOKUP(D1029,'Prob PRB Summary Data'!A:AG,24,FALSE),"")&amp;CHAR(10)</f>
        <v xml:space="preserve">
</v>
      </c>
    </row>
    <row r="1035" spans="1:4" hidden="1" x14ac:dyDescent="0.25">
      <c r="C1035" s="49" t="s">
        <v>82</v>
      </c>
      <c r="D1035" s="56" t="str">
        <f>IFERROR(VLOOKUP(D1029,'Prob PRB Summary Data'!A:AG,31,FALSE),"")</f>
        <v/>
      </c>
    </row>
    <row r="1036" spans="1:4" hidden="1" x14ac:dyDescent="0.25">
      <c r="C1036" s="49" t="s">
        <v>81</v>
      </c>
      <c r="D1036" s="56" t="str">
        <f>IFERROR(VLOOKUP(D1029,'Prob PRB Summary Data'!A:AG,16,FALSE),"")</f>
        <v/>
      </c>
    </row>
    <row r="1037" spans="1:4" ht="30" hidden="1" x14ac:dyDescent="0.25">
      <c r="C1037" s="49" t="s">
        <v>49</v>
      </c>
      <c r="D1037" s="56" t="str">
        <f>IFERROR(VLOOKUP(D1029,'Prob PRB Summary Data'!A:AG,25,FALSE),"")&amp;CHAR(10)</f>
        <v xml:space="preserve">
</v>
      </c>
    </row>
    <row r="1038" spans="1:4" ht="30.75" hidden="1" thickBot="1" x14ac:dyDescent="0.3">
      <c r="C1038" s="51" t="s">
        <v>50</v>
      </c>
      <c r="D1038" s="64" t="str">
        <f>IFERROR(VLOOKUP(D1029,'Prob PRB Summary Data'!A:AG,26,FALSE),"")&amp;CHAR(10)</f>
        <v xml:space="preserve">
</v>
      </c>
    </row>
    <row r="1039" spans="1:4" ht="15.75" hidden="1" thickBot="1" x14ac:dyDescent="0.3">
      <c r="C1039" s="53"/>
      <c r="D1039" s="54"/>
    </row>
    <row r="1040" spans="1:4" hidden="1" x14ac:dyDescent="0.25">
      <c r="A1040" s="175" t="str">
        <f>IF(D1040&lt;&gt;"","Comp","Blank")</f>
        <v>Blank</v>
      </c>
      <c r="C1040" s="45" t="s">
        <v>84</v>
      </c>
      <c r="D1040" s="55" t="str">
        <f>IF('Prob PRB Summary Data'!A96&lt;&gt;"",('Prob PRB Summary Data'!A96),"")</f>
        <v/>
      </c>
    </row>
    <row r="1041" spans="1:4" hidden="1" x14ac:dyDescent="0.25">
      <c r="C1041" s="47" t="s">
        <v>85</v>
      </c>
      <c r="D1041" s="48" t="str">
        <f>IFERROR(VLOOKUP(D1040,'Prob PRB Summary Data'!A:AG,8,FALSE),"")</f>
        <v/>
      </c>
    </row>
    <row r="1042" spans="1:4" hidden="1" x14ac:dyDescent="0.25">
      <c r="C1042" s="49" t="s">
        <v>46</v>
      </c>
      <c r="D1042" s="56" t="str">
        <f>IFERROR(VLOOKUP(D1040,'Prob PRB Summary Data'!A:AG,5,FALSE),"")</f>
        <v/>
      </c>
    </row>
    <row r="1043" spans="1:4" hidden="1" x14ac:dyDescent="0.25">
      <c r="C1043" s="49" t="s">
        <v>47</v>
      </c>
      <c r="D1043" s="57" t="str">
        <f>IFERROR(VLOOKUP(D1040,'Prob PRB Summary Data'!A:AG,9,FALSE),"")</f>
        <v/>
      </c>
    </row>
    <row r="1044" spans="1:4" hidden="1" x14ac:dyDescent="0.25">
      <c r="C1044" s="49" t="s">
        <v>110</v>
      </c>
      <c r="D1044" s="159" t="str">
        <f>IFERROR(VLOOKUP(D1040,'Prob PRB Summary Data'!A:AG,32,FALSE),"")</f>
        <v/>
      </c>
    </row>
    <row r="1045" spans="1:4" ht="30" hidden="1" x14ac:dyDescent="0.25">
      <c r="C1045" s="49" t="s">
        <v>48</v>
      </c>
      <c r="D1045" s="56" t="str">
        <f>IFERROR(VLOOKUP(D1040,'Prob PRB Summary Data'!A:AG,24,FALSE),"")&amp;CHAR(10)</f>
        <v xml:space="preserve">
</v>
      </c>
    </row>
    <row r="1046" spans="1:4" hidden="1" x14ac:dyDescent="0.25">
      <c r="C1046" s="49" t="s">
        <v>82</v>
      </c>
      <c r="D1046" s="56" t="str">
        <f>IFERROR(VLOOKUP(D1040,'Prob PRB Summary Data'!A:AG,31,FALSE),"")</f>
        <v/>
      </c>
    </row>
    <row r="1047" spans="1:4" hidden="1" x14ac:dyDescent="0.25">
      <c r="C1047" s="49" t="s">
        <v>81</v>
      </c>
      <c r="D1047" s="56" t="str">
        <f>IFERROR(VLOOKUP(D1040,'Prob PRB Summary Data'!A:AG,16,FALSE),"")</f>
        <v/>
      </c>
    </row>
    <row r="1048" spans="1:4" ht="30" hidden="1" x14ac:dyDescent="0.25">
      <c r="C1048" s="49" t="s">
        <v>49</v>
      </c>
      <c r="D1048" s="56" t="str">
        <f>IFERROR(VLOOKUP(D1040,'Prob PRB Summary Data'!A:AG,25,FALSE),"")&amp;CHAR(10)</f>
        <v xml:space="preserve">
</v>
      </c>
    </row>
    <row r="1049" spans="1:4" ht="30.75" hidden="1" thickBot="1" x14ac:dyDescent="0.3">
      <c r="C1049" s="51" t="s">
        <v>50</v>
      </c>
      <c r="D1049" s="64" t="str">
        <f>IFERROR(VLOOKUP(D1040,'Prob PRB Summary Data'!A:AG,26,FALSE),"")&amp;CHAR(10)</f>
        <v xml:space="preserve">
</v>
      </c>
    </row>
    <row r="1050" spans="1:4" ht="15.75" hidden="1" thickBot="1" x14ac:dyDescent="0.3">
      <c r="C1050" s="53"/>
      <c r="D1050" s="54"/>
    </row>
    <row r="1051" spans="1:4" hidden="1" x14ac:dyDescent="0.25">
      <c r="A1051" s="175" t="str">
        <f>IF(D1051&lt;&gt;"","Comp","Blank")</f>
        <v>Blank</v>
      </c>
      <c r="C1051" s="45" t="s">
        <v>84</v>
      </c>
      <c r="D1051" s="55" t="str">
        <f>IF('Prob PRB Summary Data'!A97&lt;&gt;"",('Prob PRB Summary Data'!A97),"")</f>
        <v/>
      </c>
    </row>
    <row r="1052" spans="1:4" hidden="1" x14ac:dyDescent="0.25">
      <c r="C1052" s="47" t="s">
        <v>85</v>
      </c>
      <c r="D1052" s="48" t="str">
        <f>IFERROR(VLOOKUP(D1051,'Prob PRB Summary Data'!A:AG,8,FALSE),"")</f>
        <v/>
      </c>
    </row>
    <row r="1053" spans="1:4" hidden="1" x14ac:dyDescent="0.25">
      <c r="C1053" s="49" t="s">
        <v>46</v>
      </c>
      <c r="D1053" s="56" t="str">
        <f>IFERROR(VLOOKUP(D1051,'Prob PRB Summary Data'!A:AG,5,FALSE),"")</f>
        <v/>
      </c>
    </row>
    <row r="1054" spans="1:4" hidden="1" x14ac:dyDescent="0.25">
      <c r="C1054" s="49" t="s">
        <v>47</v>
      </c>
      <c r="D1054" s="57" t="str">
        <f>IFERROR(VLOOKUP(D1051,'Prob PRB Summary Data'!A:AG,9,FALSE),"")</f>
        <v/>
      </c>
    </row>
    <row r="1055" spans="1:4" hidden="1" x14ac:dyDescent="0.25">
      <c r="C1055" s="49" t="s">
        <v>110</v>
      </c>
      <c r="D1055" s="159" t="str">
        <f>IFERROR(VLOOKUP(D1051,'Prob PRB Summary Data'!A:AG,32,FALSE),"")</f>
        <v/>
      </c>
    </row>
    <row r="1056" spans="1:4" ht="30" hidden="1" x14ac:dyDescent="0.25">
      <c r="C1056" s="49" t="s">
        <v>48</v>
      </c>
      <c r="D1056" s="56" t="str">
        <f>IFERROR(VLOOKUP(D1051,'Prob PRB Summary Data'!A:AG,24,FALSE),"")&amp;CHAR(10)</f>
        <v xml:space="preserve">
</v>
      </c>
    </row>
    <row r="1057" spans="1:4" hidden="1" x14ac:dyDescent="0.25">
      <c r="C1057" s="49" t="s">
        <v>82</v>
      </c>
      <c r="D1057" s="56" t="str">
        <f>IFERROR(VLOOKUP(D1051,'Prob PRB Summary Data'!A:AG,31,FALSE),"")</f>
        <v/>
      </c>
    </row>
    <row r="1058" spans="1:4" hidden="1" x14ac:dyDescent="0.25">
      <c r="C1058" s="49" t="s">
        <v>81</v>
      </c>
      <c r="D1058" s="56" t="str">
        <f>IFERROR(VLOOKUP(D1051,'Prob PRB Summary Data'!A:AG,16,FALSE),"")</f>
        <v/>
      </c>
    </row>
    <row r="1059" spans="1:4" ht="30" hidden="1" x14ac:dyDescent="0.25">
      <c r="C1059" s="49" t="s">
        <v>49</v>
      </c>
      <c r="D1059" s="56" t="str">
        <f>IFERROR(VLOOKUP(D1051,'Prob PRB Summary Data'!A:AG,25,FALSE),"")&amp;CHAR(10)</f>
        <v xml:space="preserve">
</v>
      </c>
    </row>
    <row r="1060" spans="1:4" ht="30.75" hidden="1" thickBot="1" x14ac:dyDescent="0.3">
      <c r="C1060" s="51" t="s">
        <v>50</v>
      </c>
      <c r="D1060" s="64" t="str">
        <f>IFERROR(VLOOKUP(D1051,'Prob PRB Summary Data'!A:AG,26,FALSE),"")&amp;CHAR(10)</f>
        <v xml:space="preserve">
</v>
      </c>
    </row>
    <row r="1061" spans="1:4" ht="15.75" hidden="1" thickBot="1" x14ac:dyDescent="0.3">
      <c r="C1061" s="53"/>
      <c r="D1061" s="54"/>
    </row>
    <row r="1062" spans="1:4" hidden="1" x14ac:dyDescent="0.25">
      <c r="A1062" s="175" t="str">
        <f>IF(D1062&lt;&gt;"","Comp","Blank")</f>
        <v>Blank</v>
      </c>
      <c r="C1062" s="45" t="s">
        <v>84</v>
      </c>
      <c r="D1062" s="55" t="str">
        <f>IF('Prob PRB Summary Data'!A98&lt;&gt;"",('Prob PRB Summary Data'!A98),"")</f>
        <v/>
      </c>
    </row>
    <row r="1063" spans="1:4" hidden="1" x14ac:dyDescent="0.25">
      <c r="C1063" s="47" t="s">
        <v>85</v>
      </c>
      <c r="D1063" s="48" t="str">
        <f>IFERROR(VLOOKUP(D1062,'Prob PRB Summary Data'!A:AG,8,FALSE),"")</f>
        <v/>
      </c>
    </row>
    <row r="1064" spans="1:4" hidden="1" x14ac:dyDescent="0.25">
      <c r="C1064" s="49" t="s">
        <v>46</v>
      </c>
      <c r="D1064" s="56" t="str">
        <f>IFERROR(VLOOKUP(D1062,'Prob PRB Summary Data'!A:AG,5,FALSE),"")</f>
        <v/>
      </c>
    </row>
    <row r="1065" spans="1:4" hidden="1" x14ac:dyDescent="0.25">
      <c r="C1065" s="49" t="s">
        <v>47</v>
      </c>
      <c r="D1065" s="57" t="str">
        <f>IFERROR(VLOOKUP(D1062,'Prob PRB Summary Data'!A:AG,9,FALSE),"")</f>
        <v/>
      </c>
    </row>
    <row r="1066" spans="1:4" hidden="1" x14ac:dyDescent="0.25">
      <c r="C1066" s="49" t="s">
        <v>110</v>
      </c>
      <c r="D1066" s="159" t="str">
        <f>IFERROR(VLOOKUP(D1062,'Prob PRB Summary Data'!A:AG,32,FALSE),"")</f>
        <v/>
      </c>
    </row>
    <row r="1067" spans="1:4" ht="30" hidden="1" x14ac:dyDescent="0.25">
      <c r="C1067" s="49" t="s">
        <v>48</v>
      </c>
      <c r="D1067" s="56" t="str">
        <f>IFERROR(VLOOKUP(D1062,'Prob PRB Summary Data'!A:AG,24,FALSE),"")&amp;CHAR(10)</f>
        <v xml:space="preserve">
</v>
      </c>
    </row>
    <row r="1068" spans="1:4" hidden="1" x14ac:dyDescent="0.25">
      <c r="C1068" s="49" t="s">
        <v>82</v>
      </c>
      <c r="D1068" s="56" t="str">
        <f>IFERROR(VLOOKUP(D1062,'Prob PRB Summary Data'!A:AG,31,FALSE),"")</f>
        <v/>
      </c>
    </row>
    <row r="1069" spans="1:4" hidden="1" x14ac:dyDescent="0.25">
      <c r="C1069" s="49" t="s">
        <v>81</v>
      </c>
      <c r="D1069" s="56" t="str">
        <f>IFERROR(VLOOKUP(D1062,'Prob PRB Summary Data'!A:AG,16,FALSE),"")</f>
        <v/>
      </c>
    </row>
    <row r="1070" spans="1:4" ht="30" hidden="1" x14ac:dyDescent="0.25">
      <c r="C1070" s="49" t="s">
        <v>49</v>
      </c>
      <c r="D1070" s="56" t="str">
        <f>IFERROR(VLOOKUP(D1062,'Prob PRB Summary Data'!A:AG,25,FALSE),"")&amp;CHAR(10)</f>
        <v xml:space="preserve">
</v>
      </c>
    </row>
    <row r="1071" spans="1:4" ht="30.75" hidden="1" thickBot="1" x14ac:dyDescent="0.3">
      <c r="C1071" s="51" t="s">
        <v>50</v>
      </c>
      <c r="D1071" s="64" t="str">
        <f>IFERROR(VLOOKUP(D1062,'Prob PRB Summary Data'!A:AG,26,FALSE),"")&amp;CHAR(10)</f>
        <v xml:space="preserve">
</v>
      </c>
    </row>
    <row r="1072" spans="1:4" ht="15.75" hidden="1" thickBot="1" x14ac:dyDescent="0.3">
      <c r="C1072" s="53"/>
      <c r="D1072" s="54"/>
    </row>
    <row r="1073" spans="1:4" hidden="1" x14ac:dyDescent="0.25">
      <c r="A1073" s="175" t="str">
        <f>IF(D1073&lt;&gt;"","Comp","Blank")</f>
        <v>Blank</v>
      </c>
      <c r="C1073" s="45" t="s">
        <v>84</v>
      </c>
      <c r="D1073" s="55" t="str">
        <f>IF('Prob PRB Summary Data'!A99&lt;&gt;"",('Prob PRB Summary Data'!A99),"")</f>
        <v/>
      </c>
    </row>
    <row r="1074" spans="1:4" hidden="1" x14ac:dyDescent="0.25">
      <c r="C1074" s="47" t="s">
        <v>85</v>
      </c>
      <c r="D1074" s="48" t="str">
        <f>IFERROR(VLOOKUP(D1073,'Prob PRB Summary Data'!A:AG,8,FALSE),"")</f>
        <v/>
      </c>
    </row>
    <row r="1075" spans="1:4" hidden="1" x14ac:dyDescent="0.25">
      <c r="C1075" s="49" t="s">
        <v>46</v>
      </c>
      <c r="D1075" s="56" t="str">
        <f>IFERROR(VLOOKUP(D1073,'Prob PRB Summary Data'!A:AG,5,FALSE),"")</f>
        <v/>
      </c>
    </row>
    <row r="1076" spans="1:4" hidden="1" x14ac:dyDescent="0.25">
      <c r="C1076" s="49" t="s">
        <v>47</v>
      </c>
      <c r="D1076" s="57" t="str">
        <f>IFERROR(VLOOKUP(D1073,'Prob PRB Summary Data'!A:AG,9,FALSE),"")</f>
        <v/>
      </c>
    </row>
    <row r="1077" spans="1:4" hidden="1" x14ac:dyDescent="0.25">
      <c r="C1077" s="49" t="s">
        <v>110</v>
      </c>
      <c r="D1077" s="159" t="str">
        <f>IFERROR(VLOOKUP(D1073,'Prob PRB Summary Data'!A:AG,32,FALSE),"")</f>
        <v/>
      </c>
    </row>
    <row r="1078" spans="1:4" ht="30" hidden="1" x14ac:dyDescent="0.25">
      <c r="C1078" s="49" t="s">
        <v>48</v>
      </c>
      <c r="D1078" s="56" t="str">
        <f>IFERROR(VLOOKUP(D1073,'Prob PRB Summary Data'!A:AG,24,FALSE),"")&amp;CHAR(10)</f>
        <v xml:space="preserve">
</v>
      </c>
    </row>
    <row r="1079" spans="1:4" hidden="1" x14ac:dyDescent="0.25">
      <c r="C1079" s="49" t="s">
        <v>82</v>
      </c>
      <c r="D1079" s="56" t="str">
        <f>IFERROR(VLOOKUP(D1073,'Prob PRB Summary Data'!A:AG,31,FALSE),"")</f>
        <v/>
      </c>
    </row>
    <row r="1080" spans="1:4" hidden="1" x14ac:dyDescent="0.25">
      <c r="C1080" s="49" t="s">
        <v>81</v>
      </c>
      <c r="D1080" s="56" t="str">
        <f>IFERROR(VLOOKUP(D1073,'Prob PRB Summary Data'!A:AG,16,FALSE),"")</f>
        <v/>
      </c>
    </row>
    <row r="1081" spans="1:4" ht="30" hidden="1" x14ac:dyDescent="0.25">
      <c r="C1081" s="49" t="s">
        <v>49</v>
      </c>
      <c r="D1081" s="56" t="str">
        <f>IFERROR(VLOOKUP(D1073,'Prob PRB Summary Data'!A:AG,25,FALSE),"")&amp;CHAR(10)</f>
        <v xml:space="preserve">
</v>
      </c>
    </row>
    <row r="1082" spans="1:4" ht="30.75" hidden="1" thickBot="1" x14ac:dyDescent="0.3">
      <c r="C1082" s="51" t="s">
        <v>50</v>
      </c>
      <c r="D1082" s="64" t="str">
        <f>IFERROR(VLOOKUP(D1073,'Prob PRB Summary Data'!A:AG,26,FALSE),"")&amp;CHAR(10)</f>
        <v xml:space="preserve">
</v>
      </c>
    </row>
    <row r="1083" spans="1:4" ht="15.75" hidden="1" thickBot="1" x14ac:dyDescent="0.3">
      <c r="C1083" s="53"/>
      <c r="D1083" s="54"/>
    </row>
    <row r="1084" spans="1:4" hidden="1" x14ac:dyDescent="0.25">
      <c r="A1084" s="175" t="str">
        <f>IF(D1084&lt;&gt;"","Comp","Blank")</f>
        <v>Blank</v>
      </c>
      <c r="C1084" s="45" t="s">
        <v>84</v>
      </c>
      <c r="D1084" s="55" t="str">
        <f>IF('Prob PRB Summary Data'!A100&lt;&gt;"",('Prob PRB Summary Data'!A100),"")</f>
        <v/>
      </c>
    </row>
    <row r="1085" spans="1:4" hidden="1" x14ac:dyDescent="0.25">
      <c r="C1085" s="47" t="s">
        <v>85</v>
      </c>
      <c r="D1085" s="48" t="str">
        <f>IFERROR(VLOOKUP(D1084,'Prob PRB Summary Data'!A:AG,8,FALSE),"")</f>
        <v/>
      </c>
    </row>
    <row r="1086" spans="1:4" hidden="1" x14ac:dyDescent="0.25">
      <c r="C1086" s="49" t="s">
        <v>46</v>
      </c>
      <c r="D1086" s="56" t="str">
        <f>IFERROR(VLOOKUP(D1084,'Prob PRB Summary Data'!A:AG,5,FALSE),"")</f>
        <v/>
      </c>
    </row>
    <row r="1087" spans="1:4" hidden="1" x14ac:dyDescent="0.25">
      <c r="C1087" s="49" t="s">
        <v>47</v>
      </c>
      <c r="D1087" s="57" t="str">
        <f>IFERROR(VLOOKUP(D1084,'Prob PRB Summary Data'!A:AG,9,FALSE),"")</f>
        <v/>
      </c>
    </row>
    <row r="1088" spans="1:4" hidden="1" x14ac:dyDescent="0.25">
      <c r="C1088" s="49" t="s">
        <v>110</v>
      </c>
      <c r="D1088" s="159" t="str">
        <f>IFERROR(VLOOKUP(D1084,'Prob PRB Summary Data'!A:AG,32,FALSE),"")</f>
        <v/>
      </c>
    </row>
    <row r="1089" spans="1:4" ht="30" hidden="1" x14ac:dyDescent="0.25">
      <c r="C1089" s="49" t="s">
        <v>48</v>
      </c>
      <c r="D1089" s="56" t="str">
        <f>IFERROR(VLOOKUP(D1084,'Prob PRB Summary Data'!A:AG,24,FALSE),"")&amp;CHAR(10)</f>
        <v xml:space="preserve">
</v>
      </c>
    </row>
    <row r="1090" spans="1:4" hidden="1" x14ac:dyDescent="0.25">
      <c r="C1090" s="49" t="s">
        <v>82</v>
      </c>
      <c r="D1090" s="56" t="str">
        <f>IFERROR(VLOOKUP(D1084,'Prob PRB Summary Data'!A:AG,31,FALSE),"")</f>
        <v/>
      </c>
    </row>
    <row r="1091" spans="1:4" hidden="1" x14ac:dyDescent="0.25">
      <c r="C1091" s="49" t="s">
        <v>81</v>
      </c>
      <c r="D1091" s="56" t="str">
        <f>IFERROR(VLOOKUP(D1084,'Prob PRB Summary Data'!A:AG,16,FALSE),"")</f>
        <v/>
      </c>
    </row>
    <row r="1092" spans="1:4" ht="30" hidden="1" x14ac:dyDescent="0.25">
      <c r="C1092" s="49" t="s">
        <v>49</v>
      </c>
      <c r="D1092" s="56" t="str">
        <f>IFERROR(VLOOKUP(D1084,'Prob PRB Summary Data'!A:AG,25,FALSE),"")&amp;CHAR(10)</f>
        <v xml:space="preserve">
</v>
      </c>
    </row>
    <row r="1093" spans="1:4" ht="30.75" hidden="1" thickBot="1" x14ac:dyDescent="0.3">
      <c r="C1093" s="51" t="s">
        <v>50</v>
      </c>
      <c r="D1093" s="64" t="str">
        <f>IFERROR(VLOOKUP(D1084,'Prob PRB Summary Data'!A:AG,26,FALSE),"")&amp;CHAR(10)</f>
        <v xml:space="preserve">
</v>
      </c>
    </row>
    <row r="1094" spans="1:4" ht="15.75" hidden="1" thickBot="1" x14ac:dyDescent="0.3">
      <c r="C1094" s="53"/>
      <c r="D1094" s="54"/>
    </row>
    <row r="1095" spans="1:4" hidden="1" x14ac:dyDescent="0.25">
      <c r="A1095" s="175" t="str">
        <f>IF(D1095&lt;&gt;"","Comp","Blank")</f>
        <v>Blank</v>
      </c>
      <c r="C1095" s="45" t="s">
        <v>84</v>
      </c>
      <c r="D1095" s="55" t="str">
        <f>IF('Prob PRB Summary Data'!A101&lt;&gt;"",('Prob PRB Summary Data'!A101),"")</f>
        <v/>
      </c>
    </row>
    <row r="1096" spans="1:4" hidden="1" x14ac:dyDescent="0.25">
      <c r="C1096" s="47" t="s">
        <v>85</v>
      </c>
      <c r="D1096" s="48" t="str">
        <f>IFERROR(VLOOKUP(D1095,'Prob PRB Summary Data'!A:AG,8,FALSE),"")</f>
        <v/>
      </c>
    </row>
    <row r="1097" spans="1:4" hidden="1" x14ac:dyDescent="0.25">
      <c r="C1097" s="49" t="s">
        <v>46</v>
      </c>
      <c r="D1097" s="56" t="str">
        <f>IFERROR(VLOOKUP(D1095,'Prob PRB Summary Data'!A:AG,5,FALSE),"")</f>
        <v/>
      </c>
    </row>
    <row r="1098" spans="1:4" hidden="1" x14ac:dyDescent="0.25">
      <c r="C1098" s="49" t="s">
        <v>47</v>
      </c>
      <c r="D1098" s="57" t="str">
        <f>IFERROR(VLOOKUP(D1095,'Prob PRB Summary Data'!A:AG,9,FALSE),"")</f>
        <v/>
      </c>
    </row>
    <row r="1099" spans="1:4" hidden="1" x14ac:dyDescent="0.25">
      <c r="C1099" s="49" t="s">
        <v>110</v>
      </c>
      <c r="D1099" s="159" t="str">
        <f>IFERROR(VLOOKUP(D1095,'Prob PRB Summary Data'!A:AG,32,FALSE),"")</f>
        <v/>
      </c>
    </row>
    <row r="1100" spans="1:4" ht="30" hidden="1" x14ac:dyDescent="0.25">
      <c r="C1100" s="49" t="s">
        <v>48</v>
      </c>
      <c r="D1100" s="56" t="str">
        <f>IFERROR(VLOOKUP(D1095,'Prob PRB Summary Data'!A:AG,24,FALSE),"")&amp;CHAR(10)</f>
        <v xml:space="preserve">
</v>
      </c>
    </row>
    <row r="1101" spans="1:4" hidden="1" x14ac:dyDescent="0.25">
      <c r="C1101" s="49" t="s">
        <v>82</v>
      </c>
      <c r="D1101" s="56" t="str">
        <f>IFERROR(VLOOKUP(D1095,'Prob PRB Summary Data'!A:AG,31,FALSE),"")</f>
        <v/>
      </c>
    </row>
    <row r="1102" spans="1:4" hidden="1" x14ac:dyDescent="0.25">
      <c r="C1102" s="49" t="s">
        <v>81</v>
      </c>
      <c r="D1102" s="56" t="str">
        <f>IFERROR(VLOOKUP(D1095,'Prob PRB Summary Data'!A:AG,16,FALSE),"")</f>
        <v/>
      </c>
    </row>
    <row r="1103" spans="1:4" ht="30" hidden="1" x14ac:dyDescent="0.25">
      <c r="C1103" s="49" t="s">
        <v>49</v>
      </c>
      <c r="D1103" s="56" t="str">
        <f>IFERROR(VLOOKUP(D1095,'Prob PRB Summary Data'!A:AG,25,FALSE),"")&amp;CHAR(10)</f>
        <v xml:space="preserve">
</v>
      </c>
    </row>
    <row r="1104" spans="1:4" ht="30.75" hidden="1" thickBot="1" x14ac:dyDescent="0.3">
      <c r="C1104" s="51" t="s">
        <v>50</v>
      </c>
      <c r="D1104" s="64" t="str">
        <f>IFERROR(VLOOKUP(D1095,'Prob PRB Summary Data'!A:AG,26,FALSE),"")&amp;CHAR(10)</f>
        <v xml:space="preserve">
</v>
      </c>
    </row>
    <row r="1105" spans="3:4" hidden="1" x14ac:dyDescent="0.25">
      <c r="C1105" s="39"/>
      <c r="D1105" s="40"/>
    </row>
  </sheetData>
  <sheetProtection selectLockedCells="1"/>
  <mergeCells count="1">
    <mergeCell ref="C2:D3"/>
  </mergeCells>
  <pageMargins left="0.25" right="0.25" top="0.75" bottom="0.75" header="0.3" footer="0.3"/>
  <pageSetup paperSize="9" scale="91" fitToHeight="0" orientation="landscape" r:id="rId1"/>
  <headerFooter>
    <oddFooter>&amp;LPRB Problem Summary&amp;C_x000D_&amp;1#&amp;"Arial"&amp;9&amp;K000000 Confidential&amp;RCONFIDENTIAL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>
    <tabColor rgb="FF991F3D"/>
    <pageSetUpPr autoPageBreaks="0" fitToPage="1"/>
  </sheetPr>
  <dimension ref="A1:AH1107"/>
  <sheetViews>
    <sheetView showGridLines="0" zoomScaleNormal="100" workbookViewId="0">
      <selection activeCell="D1107" sqref="D1107"/>
    </sheetView>
  </sheetViews>
  <sheetFormatPr defaultColWidth="9.140625" defaultRowHeight="15" x14ac:dyDescent="0.25"/>
  <cols>
    <col min="1" max="2" width="2.7109375" style="32" customWidth="1"/>
    <col min="3" max="3" width="30.7109375" style="32" customWidth="1"/>
    <col min="4" max="4" width="120.7109375" style="32" customWidth="1"/>
    <col min="5" max="6" width="2.7109375" style="32" customWidth="1"/>
    <col min="7" max="33" width="9.140625" style="32"/>
    <col min="34" max="34" width="9.140625" style="34" hidden="1" customWidth="1"/>
    <col min="35" max="16384" width="9.140625" style="32"/>
  </cols>
  <sheetData>
    <row r="1" spans="1:34" x14ac:dyDescent="0.25">
      <c r="AH1" s="33" t="s">
        <v>45</v>
      </c>
    </row>
    <row r="2" spans="1:34" ht="18.75" customHeight="1" x14ac:dyDescent="0.25">
      <c r="C2" s="198" t="str">
        <f>IF(Lookups!$C$2&lt;&gt;"",(Lookups!$C$2&amp;" "&amp;"Known Error Summary"&amp;" "&amp;Lookups!$E$2),"")</f>
        <v/>
      </c>
      <c r="D2" s="198"/>
    </row>
    <row r="3" spans="1:34" ht="18.75" customHeight="1" x14ac:dyDescent="0.25">
      <c r="C3" s="198"/>
      <c r="D3" s="198"/>
    </row>
    <row r="5" spans="1:34" ht="9.9499999999999993" hidden="1" customHeight="1" thickBot="1" x14ac:dyDescent="0.3"/>
    <row r="6" spans="1:34" hidden="1" x14ac:dyDescent="0.25">
      <c r="A6" s="160" t="str">
        <f>IF(D6&lt;&gt;"","Comp","Blank")</f>
        <v>Blank</v>
      </c>
      <c r="C6" s="45" t="s">
        <v>87</v>
      </c>
      <c r="D6" s="46" t="str">
        <f>IF('KE PRB Summary Data'!A2&lt;&gt;"",('KE PRB Summary Data'!A2),"")</f>
        <v/>
      </c>
    </row>
    <row r="7" spans="1:34" hidden="1" x14ac:dyDescent="0.25">
      <c r="C7" s="49" t="s">
        <v>47</v>
      </c>
      <c r="D7" s="50" t="str">
        <f>IFERROR(VLOOKUP(D6,'KE PRB Summary Data'!A:U,6,FALSE),"")</f>
        <v/>
      </c>
    </row>
    <row r="8" spans="1:34" ht="30" hidden="1" x14ac:dyDescent="0.25">
      <c r="C8" s="49" t="s">
        <v>88</v>
      </c>
      <c r="D8" s="48" t="str">
        <f>IFERROR(VLOOKUP(D6,'KE PRB Summary Data'!A:U,15,FALSE),"")&amp;CHAR(10)</f>
        <v xml:space="preserve">
</v>
      </c>
    </row>
    <row r="9" spans="1:34" ht="30" hidden="1" x14ac:dyDescent="0.25">
      <c r="C9" s="49" t="s">
        <v>89</v>
      </c>
      <c r="D9" s="48" t="str">
        <f>IFERROR(VLOOKUP(D6,'KE PRB Summary Data'!A:U,11,FALSE),"")&amp;CHAR(10)</f>
        <v xml:space="preserve">
</v>
      </c>
    </row>
    <row r="10" spans="1:34" ht="30" hidden="1" x14ac:dyDescent="0.25">
      <c r="C10" s="49" t="s">
        <v>90</v>
      </c>
      <c r="D10" s="48" t="str">
        <f>IFERROR(VLOOKUP(D6,'KE PRB Summary Data'!A:U,12,FALSE),"")&amp;CHAR(10)</f>
        <v xml:space="preserve">
</v>
      </c>
    </row>
    <row r="11" spans="1:34" ht="30.75" hidden="1" thickBot="1" x14ac:dyDescent="0.3">
      <c r="C11" s="51" t="s">
        <v>49</v>
      </c>
      <c r="D11" s="52" t="str">
        <f>IFERROR(VLOOKUP(D6,'KE PRB Summary Data'!A:U,16,FALSE),"")&amp;CHAR(10)</f>
        <v xml:space="preserve">
</v>
      </c>
    </row>
    <row r="12" spans="1:34" ht="15.75" hidden="1" thickBot="1" x14ac:dyDescent="0.3">
      <c r="C12" s="65"/>
      <c r="D12" s="66"/>
    </row>
    <row r="13" spans="1:34" hidden="1" x14ac:dyDescent="0.25">
      <c r="A13" s="160" t="str">
        <f>IF(D13&lt;&gt;"","Comp","Blank")</f>
        <v>Blank</v>
      </c>
      <c r="C13" s="45" t="s">
        <v>87</v>
      </c>
      <c r="D13" s="46" t="str">
        <f>IF('KE PRB Summary Data'!A3&lt;&gt;"",('KE PRB Summary Data'!A3),"")</f>
        <v/>
      </c>
    </row>
    <row r="14" spans="1:34" hidden="1" x14ac:dyDescent="0.25">
      <c r="C14" s="49" t="s">
        <v>47</v>
      </c>
      <c r="D14" s="50" t="str">
        <f>IFERROR(VLOOKUP(D13,'KE PRB Summary Data'!A:U,6,FALSE),"")</f>
        <v/>
      </c>
    </row>
    <row r="15" spans="1:34" ht="30" hidden="1" x14ac:dyDescent="0.25">
      <c r="C15" s="49" t="s">
        <v>88</v>
      </c>
      <c r="D15" s="48" t="str">
        <f>IFERROR(VLOOKUP(D13,'KE PRB Summary Data'!A:U,15,FALSE),"")&amp;CHAR(10)</f>
        <v xml:space="preserve">
</v>
      </c>
    </row>
    <row r="16" spans="1:34" ht="30" hidden="1" x14ac:dyDescent="0.25">
      <c r="C16" s="49" t="s">
        <v>89</v>
      </c>
      <c r="D16" s="48" t="str">
        <f>IFERROR(VLOOKUP(D13,'KE PRB Summary Data'!A:U,11,FALSE),"")&amp;CHAR(10)</f>
        <v xml:space="preserve">
</v>
      </c>
    </row>
    <row r="17" spans="1:4" ht="30" hidden="1" x14ac:dyDescent="0.25">
      <c r="C17" s="49" t="s">
        <v>90</v>
      </c>
      <c r="D17" s="48" t="str">
        <f>IFERROR(VLOOKUP(D13,'KE PRB Summary Data'!A:U,12,FALSE),"")&amp;CHAR(10)</f>
        <v xml:space="preserve">
</v>
      </c>
    </row>
    <row r="18" spans="1:4" ht="30.75" hidden="1" thickBot="1" x14ac:dyDescent="0.3">
      <c r="C18" s="51" t="s">
        <v>49</v>
      </c>
      <c r="D18" s="52" t="str">
        <f>IFERROR(VLOOKUP(D13,'KE PRB Summary Data'!A:U,16,FALSE),"")&amp;CHAR(10)</f>
        <v xml:space="preserve">
</v>
      </c>
    </row>
    <row r="19" spans="1:4" ht="15.75" hidden="1" thickBot="1" x14ac:dyDescent="0.3">
      <c r="C19" s="65"/>
      <c r="D19" s="66"/>
    </row>
    <row r="20" spans="1:4" hidden="1" x14ac:dyDescent="0.25">
      <c r="A20" s="160" t="str">
        <f>IF(D20&lt;&gt;"","Comp","Blank")</f>
        <v>Blank</v>
      </c>
      <c r="C20" s="45" t="s">
        <v>87</v>
      </c>
      <c r="D20" s="46" t="str">
        <f>IF('KE PRB Summary Data'!A4&lt;&gt;"",('KE PRB Summary Data'!A4),"")</f>
        <v/>
      </c>
    </row>
    <row r="21" spans="1:4" hidden="1" x14ac:dyDescent="0.25">
      <c r="C21" s="49" t="s">
        <v>47</v>
      </c>
      <c r="D21" s="50" t="str">
        <f>IFERROR(VLOOKUP(D20,'KE PRB Summary Data'!A:U,6,FALSE),"")</f>
        <v/>
      </c>
    </row>
    <row r="22" spans="1:4" ht="30" hidden="1" x14ac:dyDescent="0.25">
      <c r="C22" s="49" t="s">
        <v>88</v>
      </c>
      <c r="D22" s="48" t="str">
        <f>IFERROR(VLOOKUP(D20,'KE PRB Summary Data'!A:U,15,FALSE),"")&amp;CHAR(10)</f>
        <v xml:space="preserve">
</v>
      </c>
    </row>
    <row r="23" spans="1:4" ht="30" hidden="1" x14ac:dyDescent="0.25">
      <c r="C23" s="49" t="s">
        <v>89</v>
      </c>
      <c r="D23" s="48" t="str">
        <f>IFERROR(VLOOKUP(D20,'KE PRB Summary Data'!A:U,11,FALSE),"")&amp;CHAR(10)</f>
        <v xml:space="preserve">
</v>
      </c>
    </row>
    <row r="24" spans="1:4" ht="30" hidden="1" x14ac:dyDescent="0.25">
      <c r="C24" s="49" t="s">
        <v>90</v>
      </c>
      <c r="D24" s="48" t="str">
        <f>IFERROR(VLOOKUP(D20,'KE PRB Summary Data'!A:U,12,FALSE),"")&amp;CHAR(10)</f>
        <v xml:space="preserve">
</v>
      </c>
    </row>
    <row r="25" spans="1:4" ht="30.75" hidden="1" thickBot="1" x14ac:dyDescent="0.3">
      <c r="C25" s="51" t="s">
        <v>49</v>
      </c>
      <c r="D25" s="52" t="str">
        <f>IFERROR(VLOOKUP(D20,'KE PRB Summary Data'!A:U,16,FALSE),"")&amp;CHAR(10)</f>
        <v xml:space="preserve">
</v>
      </c>
    </row>
    <row r="26" spans="1:4" ht="15.75" hidden="1" thickBot="1" x14ac:dyDescent="0.3">
      <c r="C26" s="65"/>
      <c r="D26" s="66"/>
    </row>
    <row r="27" spans="1:4" hidden="1" x14ac:dyDescent="0.25">
      <c r="A27" s="160" t="str">
        <f>IF(D27&lt;&gt;"","Comp","Blank")</f>
        <v>Blank</v>
      </c>
      <c r="C27" s="45" t="s">
        <v>87</v>
      </c>
      <c r="D27" s="46" t="str">
        <f>IF('KE PRB Summary Data'!A5&lt;&gt;"",('KE PRB Summary Data'!A5),"")</f>
        <v/>
      </c>
    </row>
    <row r="28" spans="1:4" hidden="1" x14ac:dyDescent="0.25">
      <c r="C28" s="49" t="s">
        <v>47</v>
      </c>
      <c r="D28" s="50" t="str">
        <f>IFERROR(VLOOKUP(D27,'KE PRB Summary Data'!A:U,6,FALSE),"")</f>
        <v/>
      </c>
    </row>
    <row r="29" spans="1:4" ht="30" hidden="1" x14ac:dyDescent="0.25">
      <c r="C29" s="49" t="s">
        <v>88</v>
      </c>
      <c r="D29" s="48" t="str">
        <f>IFERROR(VLOOKUP(D27,'KE PRB Summary Data'!A:U,15,FALSE),"")&amp;CHAR(10)</f>
        <v xml:space="preserve">
</v>
      </c>
    </row>
    <row r="30" spans="1:4" ht="30" hidden="1" x14ac:dyDescent="0.25">
      <c r="C30" s="49" t="s">
        <v>89</v>
      </c>
      <c r="D30" s="48" t="str">
        <f>IFERROR(VLOOKUP(D27,'KE PRB Summary Data'!A:U,11,FALSE),"")&amp;CHAR(10)</f>
        <v xml:space="preserve">
</v>
      </c>
    </row>
    <row r="31" spans="1:4" ht="30" hidden="1" x14ac:dyDescent="0.25">
      <c r="C31" s="49" t="s">
        <v>90</v>
      </c>
      <c r="D31" s="48" t="str">
        <f>IFERROR(VLOOKUP(D27,'KE PRB Summary Data'!A:U,12,FALSE),"")&amp;CHAR(10)</f>
        <v xml:space="preserve">
</v>
      </c>
    </row>
    <row r="32" spans="1:4" ht="30.75" hidden="1" thickBot="1" x14ac:dyDescent="0.3">
      <c r="C32" s="51" t="s">
        <v>49</v>
      </c>
      <c r="D32" s="52" t="str">
        <f>IFERROR(VLOOKUP(D27,'KE PRB Summary Data'!A:U,16,FALSE),"")&amp;CHAR(10)</f>
        <v xml:space="preserve">
</v>
      </c>
    </row>
    <row r="33" spans="1:4" ht="15.75" hidden="1" thickBot="1" x14ac:dyDescent="0.3">
      <c r="C33" s="65"/>
      <c r="D33" s="66"/>
    </row>
    <row r="34" spans="1:4" hidden="1" x14ac:dyDescent="0.25">
      <c r="A34" s="160" t="str">
        <f>IF(D34&lt;&gt;"","Comp","Blank")</f>
        <v>Blank</v>
      </c>
      <c r="C34" s="45" t="s">
        <v>87</v>
      </c>
      <c r="D34" s="46" t="str">
        <f>IF('KE PRB Summary Data'!A6&lt;&gt;"",('KE PRB Summary Data'!A6),"")</f>
        <v/>
      </c>
    </row>
    <row r="35" spans="1:4" hidden="1" x14ac:dyDescent="0.25">
      <c r="C35" s="49" t="s">
        <v>47</v>
      </c>
      <c r="D35" s="50" t="str">
        <f>IFERROR(VLOOKUP(D34,'KE PRB Summary Data'!A:U,6,FALSE),"")</f>
        <v/>
      </c>
    </row>
    <row r="36" spans="1:4" ht="30" hidden="1" x14ac:dyDescent="0.25">
      <c r="C36" s="49" t="s">
        <v>88</v>
      </c>
      <c r="D36" s="48" t="str">
        <f>IFERROR(VLOOKUP(D34,'KE PRB Summary Data'!A:U,15,FALSE),"")&amp;CHAR(10)</f>
        <v xml:space="preserve">
</v>
      </c>
    </row>
    <row r="37" spans="1:4" ht="30" hidden="1" x14ac:dyDescent="0.25">
      <c r="C37" s="49" t="s">
        <v>89</v>
      </c>
      <c r="D37" s="48" t="str">
        <f>IFERROR(VLOOKUP(D34,'KE PRB Summary Data'!A:U,11,FALSE),"")&amp;CHAR(10)</f>
        <v xml:space="preserve">
</v>
      </c>
    </row>
    <row r="38" spans="1:4" ht="30" hidden="1" x14ac:dyDescent="0.25">
      <c r="C38" s="49" t="s">
        <v>90</v>
      </c>
      <c r="D38" s="48" t="str">
        <f>IFERROR(VLOOKUP(D34,'KE PRB Summary Data'!A:U,12,FALSE),"")&amp;CHAR(10)</f>
        <v xml:space="preserve">
</v>
      </c>
    </row>
    <row r="39" spans="1:4" ht="30.75" hidden="1" thickBot="1" x14ac:dyDescent="0.3">
      <c r="C39" s="51" t="s">
        <v>49</v>
      </c>
      <c r="D39" s="52" t="str">
        <f>IFERROR(VLOOKUP(D34,'KE PRB Summary Data'!A:U,16,FALSE),"")&amp;CHAR(10)</f>
        <v xml:space="preserve">
</v>
      </c>
    </row>
    <row r="40" spans="1:4" ht="15.75" hidden="1" thickBot="1" x14ac:dyDescent="0.3">
      <c r="C40" s="65"/>
      <c r="D40" s="66"/>
    </row>
    <row r="41" spans="1:4" hidden="1" x14ac:dyDescent="0.25">
      <c r="A41" s="160" t="str">
        <f>IF(D41&lt;&gt;"","Comp","Blank")</f>
        <v>Blank</v>
      </c>
      <c r="C41" s="45" t="s">
        <v>87</v>
      </c>
      <c r="D41" s="46" t="str">
        <f>IF('KE PRB Summary Data'!A7&lt;&gt;"",('KE PRB Summary Data'!A7),"")</f>
        <v/>
      </c>
    </row>
    <row r="42" spans="1:4" hidden="1" x14ac:dyDescent="0.25">
      <c r="C42" s="49" t="s">
        <v>47</v>
      </c>
      <c r="D42" s="50" t="str">
        <f>IFERROR(VLOOKUP(D41,'KE PRB Summary Data'!A:U,6,FALSE),"")</f>
        <v/>
      </c>
    </row>
    <row r="43" spans="1:4" ht="30" hidden="1" x14ac:dyDescent="0.25">
      <c r="C43" s="49" t="s">
        <v>88</v>
      </c>
      <c r="D43" s="48" t="str">
        <f>IFERROR(VLOOKUP(D41,'KE PRB Summary Data'!A:U,15,FALSE),"")&amp;CHAR(10)</f>
        <v xml:space="preserve">
</v>
      </c>
    </row>
    <row r="44" spans="1:4" ht="30" hidden="1" x14ac:dyDescent="0.25">
      <c r="C44" s="49" t="s">
        <v>89</v>
      </c>
      <c r="D44" s="48" t="str">
        <f>IFERROR(VLOOKUP(D41,'KE PRB Summary Data'!A:U,11,FALSE),"")&amp;CHAR(10)</f>
        <v xml:space="preserve">
</v>
      </c>
    </row>
    <row r="45" spans="1:4" ht="30" hidden="1" x14ac:dyDescent="0.25">
      <c r="C45" s="49" t="s">
        <v>90</v>
      </c>
      <c r="D45" s="48" t="str">
        <f>IFERROR(VLOOKUP(D41,'KE PRB Summary Data'!A:U,12,FALSE),"")&amp;CHAR(10)</f>
        <v xml:space="preserve">
</v>
      </c>
    </row>
    <row r="46" spans="1:4" ht="30.75" hidden="1" thickBot="1" x14ac:dyDescent="0.3">
      <c r="C46" s="51" t="s">
        <v>49</v>
      </c>
      <c r="D46" s="52" t="str">
        <f>IFERROR(VLOOKUP(D41,'KE PRB Summary Data'!A:U,16,FALSE),"")&amp;CHAR(10)</f>
        <v xml:space="preserve">
</v>
      </c>
    </row>
    <row r="47" spans="1:4" ht="15.75" hidden="1" thickBot="1" x14ac:dyDescent="0.3">
      <c r="C47" s="65"/>
      <c r="D47" s="66"/>
    </row>
    <row r="48" spans="1:4" hidden="1" x14ac:dyDescent="0.25">
      <c r="A48" s="160" t="str">
        <f>IF(D48&lt;&gt;"","Comp","Blank")</f>
        <v>Blank</v>
      </c>
      <c r="C48" s="45" t="s">
        <v>87</v>
      </c>
      <c r="D48" s="46" t="str">
        <f>IF('KE PRB Summary Data'!A8&lt;&gt;"",('KE PRB Summary Data'!A8),"")</f>
        <v/>
      </c>
    </row>
    <row r="49" spans="1:4" hidden="1" x14ac:dyDescent="0.25">
      <c r="C49" s="49" t="s">
        <v>47</v>
      </c>
      <c r="D49" s="50" t="str">
        <f>IFERROR(VLOOKUP(D48,'KE PRB Summary Data'!A:U,6,FALSE),"")</f>
        <v/>
      </c>
    </row>
    <row r="50" spans="1:4" ht="30" hidden="1" x14ac:dyDescent="0.25">
      <c r="C50" s="49" t="s">
        <v>88</v>
      </c>
      <c r="D50" s="48" t="str">
        <f>IFERROR(VLOOKUP(D48,'KE PRB Summary Data'!A:U,15,FALSE),"")&amp;CHAR(10)</f>
        <v xml:space="preserve">
</v>
      </c>
    </row>
    <row r="51" spans="1:4" ht="30" hidden="1" x14ac:dyDescent="0.25">
      <c r="C51" s="49" t="s">
        <v>89</v>
      </c>
      <c r="D51" s="48" t="str">
        <f>IFERROR(VLOOKUP(D48,'KE PRB Summary Data'!A:U,11,FALSE),"")&amp;CHAR(10)</f>
        <v xml:space="preserve">
</v>
      </c>
    </row>
    <row r="52" spans="1:4" ht="30" hidden="1" x14ac:dyDescent="0.25">
      <c r="C52" s="49" t="s">
        <v>90</v>
      </c>
      <c r="D52" s="48" t="str">
        <f>IFERROR(VLOOKUP(D48,'KE PRB Summary Data'!A:U,12,FALSE),"")&amp;CHAR(10)</f>
        <v xml:space="preserve">
</v>
      </c>
    </row>
    <row r="53" spans="1:4" ht="30.75" hidden="1" thickBot="1" x14ac:dyDescent="0.3">
      <c r="C53" s="51" t="s">
        <v>49</v>
      </c>
      <c r="D53" s="52" t="str">
        <f>IFERROR(VLOOKUP(D48,'KE PRB Summary Data'!A:U,16,FALSE),"")&amp;CHAR(10)</f>
        <v xml:space="preserve">
</v>
      </c>
    </row>
    <row r="54" spans="1:4" ht="15.75" hidden="1" thickBot="1" x14ac:dyDescent="0.3">
      <c r="C54" s="65"/>
      <c r="D54" s="66"/>
    </row>
    <row r="55" spans="1:4" hidden="1" x14ac:dyDescent="0.25">
      <c r="A55" s="160" t="str">
        <f>IF(D55&lt;&gt;"","Comp","Blank")</f>
        <v>Blank</v>
      </c>
      <c r="C55" s="45" t="s">
        <v>87</v>
      </c>
      <c r="D55" s="46" t="str">
        <f>IF('KE PRB Summary Data'!A9&lt;&gt;"",('KE PRB Summary Data'!A9),"")</f>
        <v/>
      </c>
    </row>
    <row r="56" spans="1:4" hidden="1" x14ac:dyDescent="0.25">
      <c r="C56" s="49" t="s">
        <v>47</v>
      </c>
      <c r="D56" s="50" t="str">
        <f>IFERROR(VLOOKUP(D55,'KE PRB Summary Data'!A:U,6,FALSE),"")</f>
        <v/>
      </c>
    </row>
    <row r="57" spans="1:4" ht="30" hidden="1" x14ac:dyDescent="0.25">
      <c r="C57" s="49" t="s">
        <v>88</v>
      </c>
      <c r="D57" s="48" t="str">
        <f>IFERROR(VLOOKUP(D55,'KE PRB Summary Data'!A:U,15,FALSE),"")&amp;CHAR(10)</f>
        <v xml:space="preserve">
</v>
      </c>
    </row>
    <row r="58" spans="1:4" ht="30" hidden="1" x14ac:dyDescent="0.25">
      <c r="C58" s="49" t="s">
        <v>89</v>
      </c>
      <c r="D58" s="48" t="str">
        <f>IFERROR(VLOOKUP(D55,'KE PRB Summary Data'!A:U,11,FALSE),"")&amp;CHAR(10)</f>
        <v xml:space="preserve">
</v>
      </c>
    </row>
    <row r="59" spans="1:4" ht="30" hidden="1" x14ac:dyDescent="0.25">
      <c r="C59" s="49" t="s">
        <v>90</v>
      </c>
      <c r="D59" s="48" t="str">
        <f>IFERROR(VLOOKUP(D55,'KE PRB Summary Data'!A:U,12,FALSE),"")&amp;CHAR(10)</f>
        <v xml:space="preserve">
</v>
      </c>
    </row>
    <row r="60" spans="1:4" ht="30.75" hidden="1" thickBot="1" x14ac:dyDescent="0.3">
      <c r="C60" s="51" t="s">
        <v>49</v>
      </c>
      <c r="D60" s="52" t="str">
        <f>IFERROR(VLOOKUP(D55,'KE PRB Summary Data'!A:U,16,FALSE),"")&amp;CHAR(10)</f>
        <v xml:space="preserve">
</v>
      </c>
    </row>
    <row r="61" spans="1:4" ht="15.75" hidden="1" thickBot="1" x14ac:dyDescent="0.3">
      <c r="C61" s="65"/>
      <c r="D61" s="66"/>
    </row>
    <row r="62" spans="1:4" hidden="1" x14ac:dyDescent="0.25">
      <c r="A62" s="160" t="str">
        <f>IF(D62&lt;&gt;"","Comp","Blank")</f>
        <v>Blank</v>
      </c>
      <c r="C62" s="45" t="s">
        <v>87</v>
      </c>
      <c r="D62" s="46" t="str">
        <f>IF('KE PRB Summary Data'!A10&lt;&gt;"",('KE PRB Summary Data'!A10),"")</f>
        <v/>
      </c>
    </row>
    <row r="63" spans="1:4" hidden="1" x14ac:dyDescent="0.25">
      <c r="C63" s="49" t="s">
        <v>47</v>
      </c>
      <c r="D63" s="50" t="str">
        <f>IFERROR(VLOOKUP(D62,'KE PRB Summary Data'!A:U,6,FALSE),"")</f>
        <v/>
      </c>
    </row>
    <row r="64" spans="1:4" ht="30" hidden="1" x14ac:dyDescent="0.25">
      <c r="C64" s="49" t="s">
        <v>88</v>
      </c>
      <c r="D64" s="48" t="str">
        <f>IFERROR(VLOOKUP(D62,'KE PRB Summary Data'!A:U,15,FALSE),"")&amp;CHAR(10)</f>
        <v xml:space="preserve">
</v>
      </c>
    </row>
    <row r="65" spans="1:4" ht="30" hidden="1" x14ac:dyDescent="0.25">
      <c r="C65" s="49" t="s">
        <v>89</v>
      </c>
      <c r="D65" s="48" t="str">
        <f>IFERROR(VLOOKUP(D62,'KE PRB Summary Data'!A:U,11,FALSE),"")&amp;CHAR(10)</f>
        <v xml:space="preserve">
</v>
      </c>
    </row>
    <row r="66" spans="1:4" ht="30" hidden="1" x14ac:dyDescent="0.25">
      <c r="C66" s="49" t="s">
        <v>90</v>
      </c>
      <c r="D66" s="48" t="str">
        <f>IFERROR(VLOOKUP(D62,'KE PRB Summary Data'!A:U,12,FALSE),"")&amp;CHAR(10)</f>
        <v xml:space="preserve">
</v>
      </c>
    </row>
    <row r="67" spans="1:4" ht="30.75" hidden="1" thickBot="1" x14ac:dyDescent="0.3">
      <c r="C67" s="51" t="s">
        <v>49</v>
      </c>
      <c r="D67" s="52" t="str">
        <f>IFERROR(VLOOKUP(D62,'KE PRB Summary Data'!A:U,16,FALSE),"")&amp;CHAR(10)</f>
        <v xml:space="preserve">
</v>
      </c>
    </row>
    <row r="68" spans="1:4" ht="15.75" hidden="1" thickBot="1" x14ac:dyDescent="0.3">
      <c r="C68" s="65"/>
      <c r="D68" s="66"/>
    </row>
    <row r="69" spans="1:4" hidden="1" x14ac:dyDescent="0.25">
      <c r="A69" s="160" t="str">
        <f>IF(D69&lt;&gt;"","Comp","Blank")</f>
        <v>Blank</v>
      </c>
      <c r="C69" s="45" t="s">
        <v>87</v>
      </c>
      <c r="D69" s="46" t="str">
        <f>IF('KE PRB Summary Data'!A11&lt;&gt;"",('KE PRB Summary Data'!A11),"")</f>
        <v/>
      </c>
    </row>
    <row r="70" spans="1:4" hidden="1" x14ac:dyDescent="0.25">
      <c r="C70" s="49" t="s">
        <v>47</v>
      </c>
      <c r="D70" s="50" t="str">
        <f>IFERROR(VLOOKUP(D69,'KE PRB Summary Data'!A:U,6,FALSE),"")</f>
        <v/>
      </c>
    </row>
    <row r="71" spans="1:4" ht="30" hidden="1" x14ac:dyDescent="0.25">
      <c r="C71" s="49" t="s">
        <v>88</v>
      </c>
      <c r="D71" s="48" t="str">
        <f>IFERROR(VLOOKUP(D69,'KE PRB Summary Data'!A:U,15,FALSE),"")&amp;CHAR(10)</f>
        <v xml:space="preserve">
</v>
      </c>
    </row>
    <row r="72" spans="1:4" ht="30" hidden="1" x14ac:dyDescent="0.25">
      <c r="C72" s="49" t="s">
        <v>89</v>
      </c>
      <c r="D72" s="48" t="str">
        <f>IFERROR(VLOOKUP(D69,'KE PRB Summary Data'!A:U,11,FALSE),"")&amp;CHAR(10)</f>
        <v xml:space="preserve">
</v>
      </c>
    </row>
    <row r="73" spans="1:4" ht="30" hidden="1" x14ac:dyDescent="0.25">
      <c r="C73" s="49" t="s">
        <v>90</v>
      </c>
      <c r="D73" s="48" t="str">
        <f>IFERROR(VLOOKUP(D69,'KE PRB Summary Data'!A:U,12,FALSE),"")&amp;CHAR(10)</f>
        <v xml:space="preserve">
</v>
      </c>
    </row>
    <row r="74" spans="1:4" ht="30.75" hidden="1" thickBot="1" x14ac:dyDescent="0.3">
      <c r="C74" s="51" t="s">
        <v>49</v>
      </c>
      <c r="D74" s="52" t="str">
        <f>IFERROR(VLOOKUP(D69,'KE PRB Summary Data'!A:U,16,FALSE),"")&amp;CHAR(10)</f>
        <v xml:space="preserve">
</v>
      </c>
    </row>
    <row r="75" spans="1:4" ht="15.75" hidden="1" thickBot="1" x14ac:dyDescent="0.3">
      <c r="C75" s="65"/>
      <c r="D75" s="66"/>
    </row>
    <row r="76" spans="1:4" hidden="1" x14ac:dyDescent="0.25">
      <c r="A76" s="160" t="str">
        <f>IF(D76&lt;&gt;"","Comp","Blank")</f>
        <v>Blank</v>
      </c>
      <c r="C76" s="45" t="s">
        <v>87</v>
      </c>
      <c r="D76" s="46" t="str">
        <f>IF('KE PRB Summary Data'!A12&lt;&gt;"",('KE PRB Summary Data'!A12),"")</f>
        <v/>
      </c>
    </row>
    <row r="77" spans="1:4" hidden="1" x14ac:dyDescent="0.25">
      <c r="C77" s="49" t="s">
        <v>47</v>
      </c>
      <c r="D77" s="50" t="str">
        <f>IFERROR(VLOOKUP(D76,'KE PRB Summary Data'!A:U,6,FALSE),"")</f>
        <v/>
      </c>
    </row>
    <row r="78" spans="1:4" ht="30" hidden="1" x14ac:dyDescent="0.25">
      <c r="C78" s="49" t="s">
        <v>88</v>
      </c>
      <c r="D78" s="48" t="str">
        <f>IFERROR(VLOOKUP(D76,'KE PRB Summary Data'!A:U,15,FALSE),"")&amp;CHAR(10)</f>
        <v xml:space="preserve">
</v>
      </c>
    </row>
    <row r="79" spans="1:4" ht="30" hidden="1" x14ac:dyDescent="0.25">
      <c r="C79" s="49" t="s">
        <v>89</v>
      </c>
      <c r="D79" s="48" t="str">
        <f>IFERROR(VLOOKUP(D76,'KE PRB Summary Data'!A:U,11,FALSE),"")&amp;CHAR(10)</f>
        <v xml:space="preserve">
</v>
      </c>
    </row>
    <row r="80" spans="1:4" ht="30" hidden="1" x14ac:dyDescent="0.25">
      <c r="C80" s="49" t="s">
        <v>90</v>
      </c>
      <c r="D80" s="48" t="str">
        <f>IFERROR(VLOOKUP(D76,'KE PRB Summary Data'!A:U,12,FALSE),"")&amp;CHAR(10)</f>
        <v xml:space="preserve">
</v>
      </c>
    </row>
    <row r="81" spans="1:4" ht="30.75" hidden="1" thickBot="1" x14ac:dyDescent="0.3">
      <c r="C81" s="51" t="s">
        <v>49</v>
      </c>
      <c r="D81" s="52" t="str">
        <f>IFERROR(VLOOKUP(D76,'KE PRB Summary Data'!A:U,16,FALSE),"")&amp;CHAR(10)</f>
        <v xml:space="preserve">
</v>
      </c>
    </row>
    <row r="82" spans="1:4" ht="15.75" hidden="1" thickBot="1" x14ac:dyDescent="0.3">
      <c r="C82" s="65"/>
      <c r="D82" s="66"/>
    </row>
    <row r="83" spans="1:4" hidden="1" x14ac:dyDescent="0.25">
      <c r="A83" s="160" t="str">
        <f>IF(D83&lt;&gt;"","Comp","Blank")</f>
        <v>Blank</v>
      </c>
      <c r="C83" s="45" t="s">
        <v>87</v>
      </c>
      <c r="D83" s="46" t="str">
        <f>IF('KE PRB Summary Data'!A13&lt;&gt;"",('KE PRB Summary Data'!A13),"")</f>
        <v/>
      </c>
    </row>
    <row r="84" spans="1:4" hidden="1" x14ac:dyDescent="0.25">
      <c r="C84" s="49" t="s">
        <v>47</v>
      </c>
      <c r="D84" s="50" t="str">
        <f>IFERROR(VLOOKUP(D83,'KE PRB Summary Data'!A:U,6,FALSE),"")</f>
        <v/>
      </c>
    </row>
    <row r="85" spans="1:4" ht="30" hidden="1" x14ac:dyDescent="0.25">
      <c r="C85" s="49" t="s">
        <v>88</v>
      </c>
      <c r="D85" s="48" t="str">
        <f>IFERROR(VLOOKUP(D83,'KE PRB Summary Data'!A:U,15,FALSE),"")&amp;CHAR(10)</f>
        <v xml:space="preserve">
</v>
      </c>
    </row>
    <row r="86" spans="1:4" ht="30" hidden="1" x14ac:dyDescent="0.25">
      <c r="C86" s="49" t="s">
        <v>89</v>
      </c>
      <c r="D86" s="48" t="str">
        <f>IFERROR(VLOOKUP(D83,'KE PRB Summary Data'!A:U,11,FALSE),"")&amp;CHAR(10)</f>
        <v xml:space="preserve">
</v>
      </c>
    </row>
    <row r="87" spans="1:4" ht="30" hidden="1" x14ac:dyDescent="0.25">
      <c r="C87" s="49" t="s">
        <v>90</v>
      </c>
      <c r="D87" s="48" t="str">
        <f>IFERROR(VLOOKUP(D83,'KE PRB Summary Data'!A:U,12,FALSE),"")&amp;CHAR(10)</f>
        <v xml:space="preserve">
</v>
      </c>
    </row>
    <row r="88" spans="1:4" ht="30.75" hidden="1" thickBot="1" x14ac:dyDescent="0.3">
      <c r="C88" s="51" t="s">
        <v>49</v>
      </c>
      <c r="D88" s="52" t="str">
        <f>IFERROR(VLOOKUP(D83,'KE PRB Summary Data'!A:U,16,FALSE),"")&amp;CHAR(10)</f>
        <v xml:space="preserve">
</v>
      </c>
    </row>
    <row r="89" spans="1:4" ht="15.75" hidden="1" thickBot="1" x14ac:dyDescent="0.3">
      <c r="C89" s="65"/>
      <c r="D89" s="66"/>
    </row>
    <row r="90" spans="1:4" hidden="1" x14ac:dyDescent="0.25">
      <c r="A90" s="160" t="str">
        <f>IF(D90&lt;&gt;"","Comp","Blank")</f>
        <v>Blank</v>
      </c>
      <c r="C90" s="45" t="s">
        <v>87</v>
      </c>
      <c r="D90" s="46" t="str">
        <f>IF('KE PRB Summary Data'!A14&lt;&gt;"",('KE PRB Summary Data'!A14),"")</f>
        <v/>
      </c>
    </row>
    <row r="91" spans="1:4" hidden="1" x14ac:dyDescent="0.25">
      <c r="C91" s="49" t="s">
        <v>47</v>
      </c>
      <c r="D91" s="50" t="str">
        <f>IFERROR(VLOOKUP(D90,'KE PRB Summary Data'!A:U,6,FALSE),"")</f>
        <v/>
      </c>
    </row>
    <row r="92" spans="1:4" ht="30" hidden="1" x14ac:dyDescent="0.25">
      <c r="C92" s="49" t="s">
        <v>88</v>
      </c>
      <c r="D92" s="48" t="str">
        <f>IFERROR(VLOOKUP(D90,'KE PRB Summary Data'!A:U,15,FALSE),"")&amp;CHAR(10)</f>
        <v xml:space="preserve">
</v>
      </c>
    </row>
    <row r="93" spans="1:4" ht="30" hidden="1" x14ac:dyDescent="0.25">
      <c r="C93" s="49" t="s">
        <v>89</v>
      </c>
      <c r="D93" s="48" t="str">
        <f>IFERROR(VLOOKUP(D90,'KE PRB Summary Data'!A:U,11,FALSE),"")&amp;CHAR(10)</f>
        <v xml:space="preserve">
</v>
      </c>
    </row>
    <row r="94" spans="1:4" ht="30" hidden="1" x14ac:dyDescent="0.25">
      <c r="C94" s="49" t="s">
        <v>90</v>
      </c>
      <c r="D94" s="48" t="str">
        <f>IFERROR(VLOOKUP(D90,'KE PRB Summary Data'!A:U,12,FALSE),"")&amp;CHAR(10)</f>
        <v xml:space="preserve">
</v>
      </c>
    </row>
    <row r="95" spans="1:4" ht="30.75" hidden="1" thickBot="1" x14ac:dyDescent="0.3">
      <c r="C95" s="51" t="s">
        <v>49</v>
      </c>
      <c r="D95" s="52" t="str">
        <f>IFERROR(VLOOKUP(D90,'KE PRB Summary Data'!A:U,16,FALSE),"")&amp;CHAR(10)</f>
        <v xml:space="preserve">
</v>
      </c>
    </row>
    <row r="96" spans="1:4" ht="15.75" hidden="1" thickBot="1" x14ac:dyDescent="0.3">
      <c r="C96" s="65"/>
      <c r="D96" s="66"/>
    </row>
    <row r="97" spans="1:4" hidden="1" x14ac:dyDescent="0.25">
      <c r="A97" s="160" t="str">
        <f>IF(D97&lt;&gt;"","Comp","Blank")</f>
        <v>Blank</v>
      </c>
      <c r="C97" s="45" t="s">
        <v>87</v>
      </c>
      <c r="D97" s="46" t="str">
        <f>IF('KE PRB Summary Data'!A15&lt;&gt;"",('KE PRB Summary Data'!A15),"")</f>
        <v/>
      </c>
    </row>
    <row r="98" spans="1:4" hidden="1" x14ac:dyDescent="0.25">
      <c r="C98" s="49" t="s">
        <v>47</v>
      </c>
      <c r="D98" s="50" t="str">
        <f>IFERROR(VLOOKUP(D97,'KE PRB Summary Data'!A:U,6,FALSE),"")</f>
        <v/>
      </c>
    </row>
    <row r="99" spans="1:4" ht="30" hidden="1" x14ac:dyDescent="0.25">
      <c r="C99" s="49" t="s">
        <v>88</v>
      </c>
      <c r="D99" s="48" t="str">
        <f>IFERROR(VLOOKUP(D97,'KE PRB Summary Data'!A:U,15,FALSE),"")&amp;CHAR(10)</f>
        <v xml:space="preserve">
</v>
      </c>
    </row>
    <row r="100" spans="1:4" ht="30" hidden="1" x14ac:dyDescent="0.25">
      <c r="C100" s="49" t="s">
        <v>89</v>
      </c>
      <c r="D100" s="48" t="str">
        <f>IFERROR(VLOOKUP(D97,'KE PRB Summary Data'!A:U,11,FALSE),"")&amp;CHAR(10)</f>
        <v xml:space="preserve">
</v>
      </c>
    </row>
    <row r="101" spans="1:4" ht="30" hidden="1" x14ac:dyDescent="0.25">
      <c r="C101" s="49" t="s">
        <v>90</v>
      </c>
      <c r="D101" s="48" t="str">
        <f>IFERROR(VLOOKUP(D97,'KE PRB Summary Data'!A:U,12,FALSE),"")&amp;CHAR(10)</f>
        <v xml:space="preserve">
</v>
      </c>
    </row>
    <row r="102" spans="1:4" ht="30.75" hidden="1" thickBot="1" x14ac:dyDescent="0.3">
      <c r="C102" s="51" t="s">
        <v>49</v>
      </c>
      <c r="D102" s="52" t="str">
        <f>IFERROR(VLOOKUP(D97,'KE PRB Summary Data'!A:U,16,FALSE),"")&amp;CHAR(10)</f>
        <v xml:space="preserve">
</v>
      </c>
    </row>
    <row r="103" spans="1:4" ht="15.75" hidden="1" thickBot="1" x14ac:dyDescent="0.3">
      <c r="C103" s="65"/>
      <c r="D103" s="66"/>
    </row>
    <row r="104" spans="1:4" hidden="1" x14ac:dyDescent="0.25">
      <c r="A104" s="160" t="str">
        <f>IF(D104&lt;&gt;"","Comp","Blank")</f>
        <v>Blank</v>
      </c>
      <c r="C104" s="45" t="s">
        <v>87</v>
      </c>
      <c r="D104" s="46" t="str">
        <f>IF('KE PRB Summary Data'!A16&lt;&gt;"",('KE PRB Summary Data'!A16),"")</f>
        <v/>
      </c>
    </row>
    <row r="105" spans="1:4" hidden="1" x14ac:dyDescent="0.25">
      <c r="C105" s="49" t="s">
        <v>47</v>
      </c>
      <c r="D105" s="50" t="str">
        <f>IFERROR(VLOOKUP(D104,'KE PRB Summary Data'!A:U,6,FALSE),"")</f>
        <v/>
      </c>
    </row>
    <row r="106" spans="1:4" ht="30" hidden="1" x14ac:dyDescent="0.25">
      <c r="C106" s="49" t="s">
        <v>88</v>
      </c>
      <c r="D106" s="48" t="str">
        <f>IFERROR(VLOOKUP(D104,'KE PRB Summary Data'!A:U,15,FALSE),"")&amp;CHAR(10)</f>
        <v xml:space="preserve">
</v>
      </c>
    </row>
    <row r="107" spans="1:4" ht="30" hidden="1" x14ac:dyDescent="0.25">
      <c r="C107" s="49" t="s">
        <v>89</v>
      </c>
      <c r="D107" s="48" t="str">
        <f>IFERROR(VLOOKUP(D104,'KE PRB Summary Data'!A:U,11,FALSE),"")&amp;CHAR(10)</f>
        <v xml:space="preserve">
</v>
      </c>
    </row>
    <row r="108" spans="1:4" ht="30" hidden="1" x14ac:dyDescent="0.25">
      <c r="C108" s="49" t="s">
        <v>90</v>
      </c>
      <c r="D108" s="48" t="str">
        <f>IFERROR(VLOOKUP(D104,'KE PRB Summary Data'!A:U,12,FALSE),"")&amp;CHAR(10)</f>
        <v xml:space="preserve">
</v>
      </c>
    </row>
    <row r="109" spans="1:4" ht="30.75" hidden="1" thickBot="1" x14ac:dyDescent="0.3">
      <c r="C109" s="51" t="s">
        <v>49</v>
      </c>
      <c r="D109" s="52" t="str">
        <f>IFERROR(VLOOKUP(D104,'KE PRB Summary Data'!A:U,16,FALSE),"")&amp;CHAR(10)</f>
        <v xml:space="preserve">
</v>
      </c>
    </row>
    <row r="110" spans="1:4" ht="15.75" hidden="1" thickBot="1" x14ac:dyDescent="0.3">
      <c r="C110" s="65"/>
      <c r="D110" s="66"/>
    </row>
    <row r="111" spans="1:4" hidden="1" x14ac:dyDescent="0.25">
      <c r="A111" s="160" t="str">
        <f>IF(D111&lt;&gt;"","Comp","Blank")</f>
        <v>Blank</v>
      </c>
      <c r="C111" s="45" t="s">
        <v>87</v>
      </c>
      <c r="D111" s="46" t="str">
        <f>IF('KE PRB Summary Data'!A17&lt;&gt;"",('KE PRB Summary Data'!A17),"")</f>
        <v/>
      </c>
    </row>
    <row r="112" spans="1:4" hidden="1" x14ac:dyDescent="0.25">
      <c r="C112" s="49" t="s">
        <v>47</v>
      </c>
      <c r="D112" s="50" t="str">
        <f>IFERROR(VLOOKUP(D111,'KE PRB Summary Data'!A:U,6,FALSE),"")</f>
        <v/>
      </c>
    </row>
    <row r="113" spans="1:4" ht="30" hidden="1" x14ac:dyDescent="0.25">
      <c r="C113" s="49" t="s">
        <v>88</v>
      </c>
      <c r="D113" s="48" t="str">
        <f>IFERROR(VLOOKUP(D111,'KE PRB Summary Data'!A:U,15,FALSE),"")&amp;CHAR(10)</f>
        <v xml:space="preserve">
</v>
      </c>
    </row>
    <row r="114" spans="1:4" ht="30" hidden="1" x14ac:dyDescent="0.25">
      <c r="C114" s="49" t="s">
        <v>89</v>
      </c>
      <c r="D114" s="48" t="str">
        <f>IFERROR(VLOOKUP(D111,'KE PRB Summary Data'!A:U,11,FALSE),"")&amp;CHAR(10)</f>
        <v xml:space="preserve">
</v>
      </c>
    </row>
    <row r="115" spans="1:4" ht="30" hidden="1" x14ac:dyDescent="0.25">
      <c r="C115" s="49" t="s">
        <v>90</v>
      </c>
      <c r="D115" s="48" t="str">
        <f>IFERROR(VLOOKUP(D111,'KE PRB Summary Data'!A:U,12,FALSE),"")&amp;CHAR(10)</f>
        <v xml:space="preserve">
</v>
      </c>
    </row>
    <row r="116" spans="1:4" ht="30.75" hidden="1" thickBot="1" x14ac:dyDescent="0.3">
      <c r="C116" s="51" t="s">
        <v>49</v>
      </c>
      <c r="D116" s="52" t="str">
        <f>IFERROR(VLOOKUP(D111,'KE PRB Summary Data'!A:U,16,FALSE),"")&amp;CHAR(10)</f>
        <v xml:space="preserve">
</v>
      </c>
    </row>
    <row r="117" spans="1:4" ht="15.75" hidden="1" thickBot="1" x14ac:dyDescent="0.3">
      <c r="C117" s="65"/>
      <c r="D117" s="66"/>
    </row>
    <row r="118" spans="1:4" hidden="1" x14ac:dyDescent="0.25">
      <c r="A118" s="160" t="str">
        <f>IF(D118&lt;&gt;"","Comp","Blank")</f>
        <v>Blank</v>
      </c>
      <c r="C118" s="45" t="s">
        <v>87</v>
      </c>
      <c r="D118" s="46" t="str">
        <f>IF('KE PRB Summary Data'!A18&lt;&gt;"",('KE PRB Summary Data'!A18),"")</f>
        <v/>
      </c>
    </row>
    <row r="119" spans="1:4" hidden="1" x14ac:dyDescent="0.25">
      <c r="C119" s="49" t="s">
        <v>47</v>
      </c>
      <c r="D119" s="50" t="str">
        <f>IFERROR(VLOOKUP(D118,'KE PRB Summary Data'!A:U,6,FALSE),"")</f>
        <v/>
      </c>
    </row>
    <row r="120" spans="1:4" ht="30" hidden="1" x14ac:dyDescent="0.25">
      <c r="C120" s="49" t="s">
        <v>88</v>
      </c>
      <c r="D120" s="48" t="str">
        <f>IFERROR(VLOOKUP(D118,'KE PRB Summary Data'!A:U,15,FALSE),"")&amp;CHAR(10)</f>
        <v xml:space="preserve">
</v>
      </c>
    </row>
    <row r="121" spans="1:4" ht="30" hidden="1" x14ac:dyDescent="0.25">
      <c r="C121" s="49" t="s">
        <v>89</v>
      </c>
      <c r="D121" s="48" t="str">
        <f>IFERROR(VLOOKUP(D118,'KE PRB Summary Data'!A:U,11,FALSE),"")&amp;CHAR(10)</f>
        <v xml:space="preserve">
</v>
      </c>
    </row>
    <row r="122" spans="1:4" ht="30" hidden="1" x14ac:dyDescent="0.25">
      <c r="C122" s="49" t="s">
        <v>90</v>
      </c>
      <c r="D122" s="48" t="str">
        <f>IFERROR(VLOOKUP(D118,'KE PRB Summary Data'!A:U,12,FALSE),"")&amp;CHAR(10)</f>
        <v xml:space="preserve">
</v>
      </c>
    </row>
    <row r="123" spans="1:4" ht="30.75" hidden="1" thickBot="1" x14ac:dyDescent="0.3">
      <c r="C123" s="51" t="s">
        <v>49</v>
      </c>
      <c r="D123" s="52" t="str">
        <f>IFERROR(VLOOKUP(D118,'KE PRB Summary Data'!A:U,16,FALSE),"")&amp;CHAR(10)</f>
        <v xml:space="preserve">
</v>
      </c>
    </row>
    <row r="124" spans="1:4" ht="15.75" hidden="1" thickBot="1" x14ac:dyDescent="0.3">
      <c r="C124" s="65"/>
      <c r="D124" s="66"/>
    </row>
    <row r="125" spans="1:4" hidden="1" x14ac:dyDescent="0.25">
      <c r="A125" s="160" t="str">
        <f>IF(D125&lt;&gt;"","Comp","Blank")</f>
        <v>Blank</v>
      </c>
      <c r="C125" s="45" t="s">
        <v>87</v>
      </c>
      <c r="D125" s="46" t="str">
        <f>IF('KE PRB Summary Data'!A19&lt;&gt;"",('KE PRB Summary Data'!A19),"")</f>
        <v/>
      </c>
    </row>
    <row r="126" spans="1:4" hidden="1" x14ac:dyDescent="0.25">
      <c r="C126" s="49" t="s">
        <v>47</v>
      </c>
      <c r="D126" s="50" t="str">
        <f>IFERROR(VLOOKUP(D125,'KE PRB Summary Data'!A:U,6,FALSE),"")</f>
        <v/>
      </c>
    </row>
    <row r="127" spans="1:4" ht="30" hidden="1" x14ac:dyDescent="0.25">
      <c r="C127" s="49" t="s">
        <v>88</v>
      </c>
      <c r="D127" s="48" t="str">
        <f>IFERROR(VLOOKUP(D125,'KE PRB Summary Data'!A:U,15,FALSE),"")&amp;CHAR(10)</f>
        <v xml:space="preserve">
</v>
      </c>
    </row>
    <row r="128" spans="1:4" ht="30" hidden="1" x14ac:dyDescent="0.25">
      <c r="C128" s="49" t="s">
        <v>89</v>
      </c>
      <c r="D128" s="48" t="str">
        <f>IFERROR(VLOOKUP(D125,'KE PRB Summary Data'!A:U,11,FALSE),"")&amp;CHAR(10)</f>
        <v xml:space="preserve">
</v>
      </c>
    </row>
    <row r="129" spans="1:4" ht="30" hidden="1" x14ac:dyDescent="0.25">
      <c r="C129" s="49" t="s">
        <v>90</v>
      </c>
      <c r="D129" s="48" t="str">
        <f>IFERROR(VLOOKUP(D125,'KE PRB Summary Data'!A:U,12,FALSE),"")&amp;CHAR(10)</f>
        <v xml:space="preserve">
</v>
      </c>
    </row>
    <row r="130" spans="1:4" ht="30.75" hidden="1" thickBot="1" x14ac:dyDescent="0.3">
      <c r="C130" s="51" t="s">
        <v>49</v>
      </c>
      <c r="D130" s="52" t="str">
        <f>IFERROR(VLOOKUP(D125,'KE PRB Summary Data'!A:U,16,FALSE),"")&amp;CHAR(10)</f>
        <v xml:space="preserve">
</v>
      </c>
    </row>
    <row r="131" spans="1:4" ht="15.75" hidden="1" thickBot="1" x14ac:dyDescent="0.3">
      <c r="C131" s="65"/>
      <c r="D131" s="66"/>
    </row>
    <row r="132" spans="1:4" hidden="1" x14ac:dyDescent="0.25">
      <c r="A132" s="160" t="str">
        <f>IF(D132&lt;&gt;"","Comp","Blank")</f>
        <v>Blank</v>
      </c>
      <c r="C132" s="45" t="s">
        <v>87</v>
      </c>
      <c r="D132" s="46" t="str">
        <f>IF('KE PRB Summary Data'!A20&lt;&gt;"",('KE PRB Summary Data'!A20),"")</f>
        <v/>
      </c>
    </row>
    <row r="133" spans="1:4" hidden="1" x14ac:dyDescent="0.25">
      <c r="C133" s="49" t="s">
        <v>47</v>
      </c>
      <c r="D133" s="50" t="str">
        <f>IFERROR(VLOOKUP(D132,'KE PRB Summary Data'!A:U,6,FALSE),"")</f>
        <v/>
      </c>
    </row>
    <row r="134" spans="1:4" ht="30" hidden="1" x14ac:dyDescent="0.25">
      <c r="C134" s="49" t="s">
        <v>88</v>
      </c>
      <c r="D134" s="48" t="str">
        <f>IFERROR(VLOOKUP(D132,'KE PRB Summary Data'!A:U,15,FALSE),"")&amp;CHAR(10)</f>
        <v xml:space="preserve">
</v>
      </c>
    </row>
    <row r="135" spans="1:4" ht="30" hidden="1" x14ac:dyDescent="0.25">
      <c r="C135" s="49" t="s">
        <v>89</v>
      </c>
      <c r="D135" s="48" t="str">
        <f>IFERROR(VLOOKUP(D132,'KE PRB Summary Data'!A:U,11,FALSE),"")&amp;CHAR(10)</f>
        <v xml:space="preserve">
</v>
      </c>
    </row>
    <row r="136" spans="1:4" ht="30" hidden="1" x14ac:dyDescent="0.25">
      <c r="C136" s="49" t="s">
        <v>90</v>
      </c>
      <c r="D136" s="48" t="str">
        <f>IFERROR(VLOOKUP(D132,'KE PRB Summary Data'!A:U,12,FALSE),"")&amp;CHAR(10)</f>
        <v xml:space="preserve">
</v>
      </c>
    </row>
    <row r="137" spans="1:4" ht="30.75" hidden="1" thickBot="1" x14ac:dyDescent="0.3">
      <c r="C137" s="51" t="s">
        <v>49</v>
      </c>
      <c r="D137" s="52" t="str">
        <f>IFERROR(VLOOKUP(D132,'KE PRB Summary Data'!A:U,16,FALSE),"")&amp;CHAR(10)</f>
        <v xml:space="preserve">
</v>
      </c>
    </row>
    <row r="138" spans="1:4" ht="15.75" hidden="1" thickBot="1" x14ac:dyDescent="0.3">
      <c r="C138" s="65"/>
      <c r="D138" s="66"/>
    </row>
    <row r="139" spans="1:4" hidden="1" x14ac:dyDescent="0.25">
      <c r="A139" s="160" t="str">
        <f>IF(D139&lt;&gt;"","Comp","Blank")</f>
        <v>Blank</v>
      </c>
      <c r="C139" s="45" t="s">
        <v>87</v>
      </c>
      <c r="D139" s="46" t="str">
        <f>IF('KE PRB Summary Data'!A21&lt;&gt;"",('KE PRB Summary Data'!A21),"")</f>
        <v/>
      </c>
    </row>
    <row r="140" spans="1:4" hidden="1" x14ac:dyDescent="0.25">
      <c r="C140" s="49" t="s">
        <v>47</v>
      </c>
      <c r="D140" s="50" t="str">
        <f>IFERROR(VLOOKUP(D139,'KE PRB Summary Data'!A:U,6,FALSE),"")</f>
        <v/>
      </c>
    </row>
    <row r="141" spans="1:4" ht="30" hidden="1" x14ac:dyDescent="0.25">
      <c r="C141" s="49" t="s">
        <v>88</v>
      </c>
      <c r="D141" s="48" t="str">
        <f>IFERROR(VLOOKUP(D139,'KE PRB Summary Data'!A:U,15,FALSE),"")&amp;CHAR(10)</f>
        <v xml:space="preserve">
</v>
      </c>
    </row>
    <row r="142" spans="1:4" ht="30" hidden="1" x14ac:dyDescent="0.25">
      <c r="C142" s="49" t="s">
        <v>89</v>
      </c>
      <c r="D142" s="48" t="str">
        <f>IFERROR(VLOOKUP(D139,'KE PRB Summary Data'!A:U,11,FALSE),"")&amp;CHAR(10)</f>
        <v xml:space="preserve">
</v>
      </c>
    </row>
    <row r="143" spans="1:4" ht="30" hidden="1" x14ac:dyDescent="0.25">
      <c r="C143" s="49" t="s">
        <v>90</v>
      </c>
      <c r="D143" s="48" t="str">
        <f>IFERROR(VLOOKUP(D139,'KE PRB Summary Data'!A:U,12,FALSE),"")&amp;CHAR(10)</f>
        <v xml:space="preserve">
</v>
      </c>
    </row>
    <row r="144" spans="1:4" ht="30.75" hidden="1" thickBot="1" x14ac:dyDescent="0.3">
      <c r="C144" s="51" t="s">
        <v>49</v>
      </c>
      <c r="D144" s="52" t="str">
        <f>IFERROR(VLOOKUP(D139,'KE PRB Summary Data'!A:U,16,FALSE),"")&amp;CHAR(10)</f>
        <v xml:space="preserve">
</v>
      </c>
    </row>
    <row r="145" spans="1:4" ht="15.75" hidden="1" thickBot="1" x14ac:dyDescent="0.3">
      <c r="C145" s="65"/>
      <c r="D145" s="66"/>
    </row>
    <row r="146" spans="1:4" hidden="1" x14ac:dyDescent="0.25">
      <c r="A146" s="160" t="str">
        <f>IF(D146&lt;&gt;"","Comp","Blank")</f>
        <v>Blank</v>
      </c>
      <c r="C146" s="45" t="s">
        <v>87</v>
      </c>
      <c r="D146" s="46" t="str">
        <f>IF('KE PRB Summary Data'!A22&lt;&gt;"",('KE PRB Summary Data'!A22),"")</f>
        <v/>
      </c>
    </row>
    <row r="147" spans="1:4" hidden="1" x14ac:dyDescent="0.25">
      <c r="C147" s="49" t="s">
        <v>47</v>
      </c>
      <c r="D147" s="50" t="str">
        <f>IFERROR(VLOOKUP(D146,'KE PRB Summary Data'!A:U,6,FALSE),"")</f>
        <v/>
      </c>
    </row>
    <row r="148" spans="1:4" ht="30" hidden="1" x14ac:dyDescent="0.25">
      <c r="C148" s="49" t="s">
        <v>88</v>
      </c>
      <c r="D148" s="48" t="str">
        <f>IFERROR(VLOOKUP(D146,'KE PRB Summary Data'!A:U,15,FALSE),"")&amp;CHAR(10)</f>
        <v xml:space="preserve">
</v>
      </c>
    </row>
    <row r="149" spans="1:4" ht="30" hidden="1" x14ac:dyDescent="0.25">
      <c r="C149" s="49" t="s">
        <v>89</v>
      </c>
      <c r="D149" s="48" t="str">
        <f>IFERROR(VLOOKUP(D146,'KE PRB Summary Data'!A:U,11,FALSE),"")&amp;CHAR(10)</f>
        <v xml:space="preserve">
</v>
      </c>
    </row>
    <row r="150" spans="1:4" ht="30" hidden="1" x14ac:dyDescent="0.25">
      <c r="C150" s="49" t="s">
        <v>90</v>
      </c>
      <c r="D150" s="48" t="str">
        <f>IFERROR(VLOOKUP(D146,'KE PRB Summary Data'!A:U,12,FALSE),"")&amp;CHAR(10)</f>
        <v xml:space="preserve">
</v>
      </c>
    </row>
    <row r="151" spans="1:4" ht="30.75" hidden="1" thickBot="1" x14ac:dyDescent="0.3">
      <c r="C151" s="51" t="s">
        <v>49</v>
      </c>
      <c r="D151" s="52" t="str">
        <f>IFERROR(VLOOKUP(D146,'KE PRB Summary Data'!A:U,16,FALSE),"")&amp;CHAR(10)</f>
        <v xml:space="preserve">
</v>
      </c>
    </row>
    <row r="152" spans="1:4" ht="15.75" hidden="1" thickBot="1" x14ac:dyDescent="0.3">
      <c r="C152" s="65"/>
      <c r="D152" s="66"/>
    </row>
    <row r="153" spans="1:4" hidden="1" x14ac:dyDescent="0.25">
      <c r="A153" s="160" t="str">
        <f>IF(D153&lt;&gt;"","Comp","Blank")</f>
        <v>Blank</v>
      </c>
      <c r="C153" s="45" t="s">
        <v>87</v>
      </c>
      <c r="D153" s="46" t="str">
        <f>IF('KE PRB Summary Data'!A23&lt;&gt;"",('KE PRB Summary Data'!A23),"")</f>
        <v/>
      </c>
    </row>
    <row r="154" spans="1:4" hidden="1" x14ac:dyDescent="0.25">
      <c r="C154" s="49" t="s">
        <v>47</v>
      </c>
      <c r="D154" s="50" t="str">
        <f>IFERROR(VLOOKUP(D153,'KE PRB Summary Data'!A:U,6,FALSE),"")</f>
        <v/>
      </c>
    </row>
    <row r="155" spans="1:4" ht="30" hidden="1" x14ac:dyDescent="0.25">
      <c r="C155" s="49" t="s">
        <v>88</v>
      </c>
      <c r="D155" s="48" t="str">
        <f>IFERROR(VLOOKUP(D153,'KE PRB Summary Data'!A:U,15,FALSE),"")&amp;CHAR(10)</f>
        <v xml:space="preserve">
</v>
      </c>
    </row>
    <row r="156" spans="1:4" ht="30" hidden="1" x14ac:dyDescent="0.25">
      <c r="C156" s="49" t="s">
        <v>89</v>
      </c>
      <c r="D156" s="48" t="str">
        <f>IFERROR(VLOOKUP(D153,'KE PRB Summary Data'!A:U,11,FALSE),"")&amp;CHAR(10)</f>
        <v xml:space="preserve">
</v>
      </c>
    </row>
    <row r="157" spans="1:4" ht="30" hidden="1" x14ac:dyDescent="0.25">
      <c r="C157" s="49" t="s">
        <v>90</v>
      </c>
      <c r="D157" s="48" t="str">
        <f>IFERROR(VLOOKUP(D153,'KE PRB Summary Data'!A:U,12,FALSE),"")&amp;CHAR(10)</f>
        <v xml:space="preserve">
</v>
      </c>
    </row>
    <row r="158" spans="1:4" ht="30.75" hidden="1" thickBot="1" x14ac:dyDescent="0.3">
      <c r="C158" s="51" t="s">
        <v>49</v>
      </c>
      <c r="D158" s="52" t="str">
        <f>IFERROR(VLOOKUP(D153,'KE PRB Summary Data'!A:U,16,FALSE),"")&amp;CHAR(10)</f>
        <v xml:space="preserve">
</v>
      </c>
    </row>
    <row r="159" spans="1:4" ht="15.75" hidden="1" thickBot="1" x14ac:dyDescent="0.3">
      <c r="C159" s="65"/>
      <c r="D159" s="66"/>
    </row>
    <row r="160" spans="1:4" hidden="1" x14ac:dyDescent="0.25">
      <c r="A160" s="160" t="str">
        <f>IF(D160&lt;&gt;"","Comp","Blank")</f>
        <v>Blank</v>
      </c>
      <c r="C160" s="45" t="s">
        <v>87</v>
      </c>
      <c r="D160" s="46" t="str">
        <f>IF('KE PRB Summary Data'!A24&lt;&gt;"",('KE PRB Summary Data'!A24),"")</f>
        <v/>
      </c>
    </row>
    <row r="161" spans="1:4" hidden="1" x14ac:dyDescent="0.25">
      <c r="C161" s="49" t="s">
        <v>47</v>
      </c>
      <c r="D161" s="50" t="str">
        <f>IFERROR(VLOOKUP(D160,'KE PRB Summary Data'!A:U,6,FALSE),"")</f>
        <v/>
      </c>
    </row>
    <row r="162" spans="1:4" ht="30" hidden="1" x14ac:dyDescent="0.25">
      <c r="C162" s="49" t="s">
        <v>88</v>
      </c>
      <c r="D162" s="48" t="str">
        <f>IFERROR(VLOOKUP(D160,'KE PRB Summary Data'!A:U,15,FALSE),"")&amp;CHAR(10)</f>
        <v xml:space="preserve">
</v>
      </c>
    </row>
    <row r="163" spans="1:4" ht="30" hidden="1" x14ac:dyDescent="0.25">
      <c r="C163" s="49" t="s">
        <v>89</v>
      </c>
      <c r="D163" s="48" t="str">
        <f>IFERROR(VLOOKUP(D160,'KE PRB Summary Data'!A:U,11,FALSE),"")&amp;CHAR(10)</f>
        <v xml:space="preserve">
</v>
      </c>
    </row>
    <row r="164" spans="1:4" ht="30" hidden="1" x14ac:dyDescent="0.25">
      <c r="C164" s="49" t="s">
        <v>90</v>
      </c>
      <c r="D164" s="48" t="str">
        <f>IFERROR(VLOOKUP(D160,'KE PRB Summary Data'!A:U,12,FALSE),"")&amp;CHAR(10)</f>
        <v xml:space="preserve">
</v>
      </c>
    </row>
    <row r="165" spans="1:4" ht="30.75" hidden="1" thickBot="1" x14ac:dyDescent="0.3">
      <c r="C165" s="51" t="s">
        <v>49</v>
      </c>
      <c r="D165" s="52" t="str">
        <f>IFERROR(VLOOKUP(D160,'KE PRB Summary Data'!A:U,16,FALSE),"")&amp;CHAR(10)</f>
        <v xml:space="preserve">
</v>
      </c>
    </row>
    <row r="166" spans="1:4" ht="15.75" hidden="1" thickBot="1" x14ac:dyDescent="0.3">
      <c r="C166" s="65"/>
      <c r="D166" s="66"/>
    </row>
    <row r="167" spans="1:4" hidden="1" x14ac:dyDescent="0.25">
      <c r="A167" s="160" t="str">
        <f>IF(D167&lt;&gt;"","Comp","Blank")</f>
        <v>Blank</v>
      </c>
      <c r="C167" s="45" t="s">
        <v>87</v>
      </c>
      <c r="D167" s="46" t="str">
        <f>IF('KE PRB Summary Data'!A25&lt;&gt;"",('KE PRB Summary Data'!A25),"")</f>
        <v/>
      </c>
    </row>
    <row r="168" spans="1:4" hidden="1" x14ac:dyDescent="0.25">
      <c r="C168" s="49" t="s">
        <v>47</v>
      </c>
      <c r="D168" s="50" t="str">
        <f>IFERROR(VLOOKUP(D167,'KE PRB Summary Data'!A:U,6,FALSE),"")</f>
        <v/>
      </c>
    </row>
    <row r="169" spans="1:4" ht="30" hidden="1" x14ac:dyDescent="0.25">
      <c r="C169" s="49" t="s">
        <v>88</v>
      </c>
      <c r="D169" s="48" t="str">
        <f>IFERROR(VLOOKUP(D167,'KE PRB Summary Data'!A:U,15,FALSE),"")&amp;CHAR(10)</f>
        <v xml:space="preserve">
</v>
      </c>
    </row>
    <row r="170" spans="1:4" ht="30" hidden="1" x14ac:dyDescent="0.25">
      <c r="C170" s="49" t="s">
        <v>89</v>
      </c>
      <c r="D170" s="48" t="str">
        <f>IFERROR(VLOOKUP(D167,'KE PRB Summary Data'!A:U,11,FALSE),"")&amp;CHAR(10)</f>
        <v xml:space="preserve">
</v>
      </c>
    </row>
    <row r="171" spans="1:4" ht="30" hidden="1" x14ac:dyDescent="0.25">
      <c r="C171" s="49" t="s">
        <v>90</v>
      </c>
      <c r="D171" s="48" t="str">
        <f>IFERROR(VLOOKUP(D167,'KE PRB Summary Data'!A:U,12,FALSE),"")&amp;CHAR(10)</f>
        <v xml:space="preserve">
</v>
      </c>
    </row>
    <row r="172" spans="1:4" ht="30.75" hidden="1" thickBot="1" x14ac:dyDescent="0.3">
      <c r="C172" s="51" t="s">
        <v>49</v>
      </c>
      <c r="D172" s="52" t="str">
        <f>IFERROR(VLOOKUP(D167,'KE PRB Summary Data'!A:U,16,FALSE),"")&amp;CHAR(10)</f>
        <v xml:space="preserve">
</v>
      </c>
    </row>
    <row r="173" spans="1:4" ht="15.75" hidden="1" thickBot="1" x14ac:dyDescent="0.3">
      <c r="C173" s="65"/>
      <c r="D173" s="66"/>
    </row>
    <row r="174" spans="1:4" hidden="1" x14ac:dyDescent="0.25">
      <c r="A174" s="160" t="str">
        <f>IF(D174&lt;&gt;"","Comp","Blank")</f>
        <v>Blank</v>
      </c>
      <c r="C174" s="45" t="s">
        <v>87</v>
      </c>
      <c r="D174" s="46" t="str">
        <f>IF('KE PRB Summary Data'!A26&lt;&gt;"",('KE PRB Summary Data'!A26),"")</f>
        <v/>
      </c>
    </row>
    <row r="175" spans="1:4" hidden="1" x14ac:dyDescent="0.25">
      <c r="C175" s="49" t="s">
        <v>47</v>
      </c>
      <c r="D175" s="50" t="str">
        <f>IFERROR(VLOOKUP(D174,'KE PRB Summary Data'!A:U,6,FALSE),"")</f>
        <v/>
      </c>
    </row>
    <row r="176" spans="1:4" ht="30" hidden="1" x14ac:dyDescent="0.25">
      <c r="C176" s="49" t="s">
        <v>88</v>
      </c>
      <c r="D176" s="48" t="str">
        <f>IFERROR(VLOOKUP(D174,'KE PRB Summary Data'!A:U,15,FALSE),"")&amp;CHAR(10)</f>
        <v xml:space="preserve">
</v>
      </c>
    </row>
    <row r="177" spans="1:4" ht="30" hidden="1" x14ac:dyDescent="0.25">
      <c r="C177" s="49" t="s">
        <v>89</v>
      </c>
      <c r="D177" s="48" t="str">
        <f>IFERROR(VLOOKUP(D174,'KE PRB Summary Data'!A:U,11,FALSE),"")&amp;CHAR(10)</f>
        <v xml:space="preserve">
</v>
      </c>
    </row>
    <row r="178" spans="1:4" ht="30" hidden="1" x14ac:dyDescent="0.25">
      <c r="C178" s="49" t="s">
        <v>90</v>
      </c>
      <c r="D178" s="48" t="str">
        <f>IFERROR(VLOOKUP(D174,'KE PRB Summary Data'!A:U,12,FALSE),"")&amp;CHAR(10)</f>
        <v xml:space="preserve">
</v>
      </c>
    </row>
    <row r="179" spans="1:4" ht="30.75" hidden="1" thickBot="1" x14ac:dyDescent="0.3">
      <c r="C179" s="51" t="s">
        <v>49</v>
      </c>
      <c r="D179" s="52" t="str">
        <f>IFERROR(VLOOKUP(D174,'KE PRB Summary Data'!A:U,16,FALSE),"")&amp;CHAR(10)</f>
        <v xml:space="preserve">
</v>
      </c>
    </row>
    <row r="180" spans="1:4" ht="15.75" hidden="1" thickBot="1" x14ac:dyDescent="0.3">
      <c r="C180" s="65"/>
      <c r="D180" s="66"/>
    </row>
    <row r="181" spans="1:4" hidden="1" x14ac:dyDescent="0.25">
      <c r="A181" s="160" t="str">
        <f>IF(D181&lt;&gt;"","Comp","Blank")</f>
        <v>Blank</v>
      </c>
      <c r="C181" s="45" t="s">
        <v>87</v>
      </c>
      <c r="D181" s="46" t="str">
        <f>IF('KE PRB Summary Data'!A27&lt;&gt;"",('KE PRB Summary Data'!A27),"")</f>
        <v/>
      </c>
    </row>
    <row r="182" spans="1:4" hidden="1" x14ac:dyDescent="0.25">
      <c r="C182" s="49" t="s">
        <v>47</v>
      </c>
      <c r="D182" s="50" t="str">
        <f>IFERROR(VLOOKUP(D181,'KE PRB Summary Data'!A:U,6,FALSE),"")</f>
        <v/>
      </c>
    </row>
    <row r="183" spans="1:4" ht="30" hidden="1" x14ac:dyDescent="0.25">
      <c r="C183" s="49" t="s">
        <v>88</v>
      </c>
      <c r="D183" s="48" t="str">
        <f>IFERROR(VLOOKUP(D181,'KE PRB Summary Data'!A:U,15,FALSE),"")&amp;CHAR(10)</f>
        <v xml:space="preserve">
</v>
      </c>
    </row>
    <row r="184" spans="1:4" ht="30" hidden="1" x14ac:dyDescent="0.25">
      <c r="C184" s="49" t="s">
        <v>89</v>
      </c>
      <c r="D184" s="48" t="str">
        <f>IFERROR(VLOOKUP(D181,'KE PRB Summary Data'!A:U,11,FALSE),"")&amp;CHAR(10)</f>
        <v xml:space="preserve">
</v>
      </c>
    </row>
    <row r="185" spans="1:4" ht="30" hidden="1" x14ac:dyDescent="0.25">
      <c r="C185" s="49" t="s">
        <v>90</v>
      </c>
      <c r="D185" s="48" t="str">
        <f>IFERROR(VLOOKUP(D181,'KE PRB Summary Data'!A:U,12,FALSE),"")&amp;CHAR(10)</f>
        <v xml:space="preserve">
</v>
      </c>
    </row>
    <row r="186" spans="1:4" ht="30.75" hidden="1" thickBot="1" x14ac:dyDescent="0.3">
      <c r="C186" s="51" t="s">
        <v>49</v>
      </c>
      <c r="D186" s="52" t="str">
        <f>IFERROR(VLOOKUP(D181,'KE PRB Summary Data'!A:U,16,FALSE),"")&amp;CHAR(10)</f>
        <v xml:space="preserve">
</v>
      </c>
    </row>
    <row r="187" spans="1:4" ht="15.75" hidden="1" thickBot="1" x14ac:dyDescent="0.3">
      <c r="C187" s="65"/>
      <c r="D187" s="66"/>
    </row>
    <row r="188" spans="1:4" hidden="1" x14ac:dyDescent="0.25">
      <c r="A188" s="160" t="str">
        <f>IF(D188&lt;&gt;"","Comp","Blank")</f>
        <v>Blank</v>
      </c>
      <c r="C188" s="45" t="s">
        <v>87</v>
      </c>
      <c r="D188" s="46" t="str">
        <f>IF('KE PRB Summary Data'!A28&lt;&gt;"",('KE PRB Summary Data'!A28),"")</f>
        <v/>
      </c>
    </row>
    <row r="189" spans="1:4" hidden="1" x14ac:dyDescent="0.25">
      <c r="C189" s="49" t="s">
        <v>47</v>
      </c>
      <c r="D189" s="50" t="str">
        <f>IFERROR(VLOOKUP(D188,'KE PRB Summary Data'!A:U,6,FALSE),"")</f>
        <v/>
      </c>
    </row>
    <row r="190" spans="1:4" ht="30" hidden="1" x14ac:dyDescent="0.25">
      <c r="C190" s="49" t="s">
        <v>88</v>
      </c>
      <c r="D190" s="48" t="str">
        <f>IFERROR(VLOOKUP(D188,'KE PRB Summary Data'!A:U,15,FALSE),"")&amp;CHAR(10)</f>
        <v xml:space="preserve">
</v>
      </c>
    </row>
    <row r="191" spans="1:4" ht="30" hidden="1" x14ac:dyDescent="0.25">
      <c r="C191" s="49" t="s">
        <v>89</v>
      </c>
      <c r="D191" s="48" t="str">
        <f>IFERROR(VLOOKUP(D188,'KE PRB Summary Data'!A:U,11,FALSE),"")&amp;CHAR(10)</f>
        <v xml:space="preserve">
</v>
      </c>
    </row>
    <row r="192" spans="1:4" ht="30" hidden="1" x14ac:dyDescent="0.25">
      <c r="C192" s="49" t="s">
        <v>90</v>
      </c>
      <c r="D192" s="48" t="str">
        <f>IFERROR(VLOOKUP(D188,'KE PRB Summary Data'!A:U,12,FALSE),"")&amp;CHAR(10)</f>
        <v xml:space="preserve">
</v>
      </c>
    </row>
    <row r="193" spans="1:4" ht="30.75" hidden="1" thickBot="1" x14ac:dyDescent="0.3">
      <c r="C193" s="51" t="s">
        <v>49</v>
      </c>
      <c r="D193" s="52" t="str">
        <f>IFERROR(VLOOKUP(D188,'KE PRB Summary Data'!A:U,16,FALSE),"")&amp;CHAR(10)</f>
        <v xml:space="preserve">
</v>
      </c>
    </row>
    <row r="194" spans="1:4" ht="15.75" hidden="1" thickBot="1" x14ac:dyDescent="0.3">
      <c r="C194" s="65"/>
      <c r="D194" s="66"/>
    </row>
    <row r="195" spans="1:4" hidden="1" x14ac:dyDescent="0.25">
      <c r="A195" s="160" t="str">
        <f>IF(D195&lt;&gt;"","Comp","Blank")</f>
        <v>Blank</v>
      </c>
      <c r="C195" s="45" t="s">
        <v>87</v>
      </c>
      <c r="D195" s="46" t="str">
        <f>IF('KE PRB Summary Data'!A29&lt;&gt;"",('KE PRB Summary Data'!A29),"")</f>
        <v/>
      </c>
    </row>
    <row r="196" spans="1:4" hidden="1" x14ac:dyDescent="0.25">
      <c r="C196" s="49" t="s">
        <v>47</v>
      </c>
      <c r="D196" s="50" t="str">
        <f>IFERROR(VLOOKUP(D195,'KE PRB Summary Data'!A:U,6,FALSE),"")</f>
        <v/>
      </c>
    </row>
    <row r="197" spans="1:4" ht="30" hidden="1" x14ac:dyDescent="0.25">
      <c r="C197" s="49" t="s">
        <v>88</v>
      </c>
      <c r="D197" s="48" t="str">
        <f>IFERROR(VLOOKUP(D195,'KE PRB Summary Data'!A:U,15,FALSE),"")&amp;CHAR(10)</f>
        <v xml:space="preserve">
</v>
      </c>
    </row>
    <row r="198" spans="1:4" ht="30" hidden="1" x14ac:dyDescent="0.25">
      <c r="C198" s="49" t="s">
        <v>89</v>
      </c>
      <c r="D198" s="48" t="str">
        <f>IFERROR(VLOOKUP(D195,'KE PRB Summary Data'!A:U,11,FALSE),"")&amp;CHAR(10)</f>
        <v xml:space="preserve">
</v>
      </c>
    </row>
    <row r="199" spans="1:4" ht="30" hidden="1" x14ac:dyDescent="0.25">
      <c r="C199" s="49" t="s">
        <v>90</v>
      </c>
      <c r="D199" s="48" t="str">
        <f>IFERROR(VLOOKUP(D195,'KE PRB Summary Data'!A:U,12,FALSE),"")&amp;CHAR(10)</f>
        <v xml:space="preserve">
</v>
      </c>
    </row>
    <row r="200" spans="1:4" ht="30.75" hidden="1" thickBot="1" x14ac:dyDescent="0.3">
      <c r="C200" s="51" t="s">
        <v>49</v>
      </c>
      <c r="D200" s="52" t="str">
        <f>IFERROR(VLOOKUP(D195,'KE PRB Summary Data'!A:U,16,FALSE),"")&amp;CHAR(10)</f>
        <v xml:space="preserve">
</v>
      </c>
    </row>
    <row r="201" spans="1:4" ht="15.75" hidden="1" thickBot="1" x14ac:dyDescent="0.3">
      <c r="C201" s="65"/>
      <c r="D201" s="66"/>
    </row>
    <row r="202" spans="1:4" hidden="1" x14ac:dyDescent="0.25">
      <c r="A202" s="160" t="str">
        <f>IF(D202&lt;&gt;"","Comp","Blank")</f>
        <v>Blank</v>
      </c>
      <c r="C202" s="45" t="s">
        <v>87</v>
      </c>
      <c r="D202" s="46" t="str">
        <f>IF('KE PRB Summary Data'!A30&lt;&gt;"",('KE PRB Summary Data'!A30),"")</f>
        <v/>
      </c>
    </row>
    <row r="203" spans="1:4" hidden="1" x14ac:dyDescent="0.25">
      <c r="C203" s="49" t="s">
        <v>47</v>
      </c>
      <c r="D203" s="50" t="str">
        <f>IFERROR(VLOOKUP(D202,'KE PRB Summary Data'!A:U,6,FALSE),"")</f>
        <v/>
      </c>
    </row>
    <row r="204" spans="1:4" ht="30" hidden="1" x14ac:dyDescent="0.25">
      <c r="C204" s="49" t="s">
        <v>88</v>
      </c>
      <c r="D204" s="48" t="str">
        <f>IFERROR(VLOOKUP(D202,'KE PRB Summary Data'!A:U,15,FALSE),"")&amp;CHAR(10)</f>
        <v xml:space="preserve">
</v>
      </c>
    </row>
    <row r="205" spans="1:4" ht="30" hidden="1" x14ac:dyDescent="0.25">
      <c r="C205" s="49" t="s">
        <v>89</v>
      </c>
      <c r="D205" s="48" t="str">
        <f>IFERROR(VLOOKUP(D202,'KE PRB Summary Data'!A:U,11,FALSE),"")&amp;CHAR(10)</f>
        <v xml:space="preserve">
</v>
      </c>
    </row>
    <row r="206" spans="1:4" ht="30" hidden="1" x14ac:dyDescent="0.25">
      <c r="C206" s="49" t="s">
        <v>90</v>
      </c>
      <c r="D206" s="48" t="str">
        <f>IFERROR(VLOOKUP(D202,'KE PRB Summary Data'!A:U,12,FALSE),"")&amp;CHAR(10)</f>
        <v xml:space="preserve">
</v>
      </c>
    </row>
    <row r="207" spans="1:4" ht="30.75" hidden="1" thickBot="1" x14ac:dyDescent="0.3">
      <c r="C207" s="51" t="s">
        <v>49</v>
      </c>
      <c r="D207" s="52" t="str">
        <f>IFERROR(VLOOKUP(D202,'KE PRB Summary Data'!A:U,16,FALSE),"")&amp;CHAR(10)</f>
        <v xml:space="preserve">
</v>
      </c>
    </row>
    <row r="208" spans="1:4" ht="15.75" hidden="1" thickBot="1" x14ac:dyDescent="0.3">
      <c r="C208" s="65"/>
      <c r="D208" s="66"/>
    </row>
    <row r="209" spans="1:4" hidden="1" x14ac:dyDescent="0.25">
      <c r="A209" s="160" t="str">
        <f>IF(D209&lt;&gt;"","Comp","Blank")</f>
        <v>Blank</v>
      </c>
      <c r="C209" s="45" t="s">
        <v>87</v>
      </c>
      <c r="D209" s="46" t="str">
        <f>IF('KE PRB Summary Data'!A31&lt;&gt;"",('KE PRB Summary Data'!A31),"")</f>
        <v/>
      </c>
    </row>
    <row r="210" spans="1:4" hidden="1" x14ac:dyDescent="0.25">
      <c r="C210" s="49" t="s">
        <v>47</v>
      </c>
      <c r="D210" s="50" t="str">
        <f>IFERROR(VLOOKUP(D209,'KE PRB Summary Data'!A:U,6,FALSE),"")</f>
        <v/>
      </c>
    </row>
    <row r="211" spans="1:4" ht="30" hidden="1" x14ac:dyDescent="0.25">
      <c r="C211" s="49" t="s">
        <v>88</v>
      </c>
      <c r="D211" s="48" t="str">
        <f>IFERROR(VLOOKUP(D209,'KE PRB Summary Data'!A:U,15,FALSE),"")&amp;CHAR(10)</f>
        <v xml:space="preserve">
</v>
      </c>
    </row>
    <row r="212" spans="1:4" ht="30" hidden="1" x14ac:dyDescent="0.25">
      <c r="C212" s="49" t="s">
        <v>89</v>
      </c>
      <c r="D212" s="48" t="str">
        <f>IFERROR(VLOOKUP(D209,'KE PRB Summary Data'!A:U,11,FALSE),"")&amp;CHAR(10)</f>
        <v xml:space="preserve">
</v>
      </c>
    </row>
    <row r="213" spans="1:4" ht="30" hidden="1" x14ac:dyDescent="0.25">
      <c r="C213" s="49" t="s">
        <v>90</v>
      </c>
      <c r="D213" s="48" t="str">
        <f>IFERROR(VLOOKUP(D209,'KE PRB Summary Data'!A:U,12,FALSE),"")&amp;CHAR(10)</f>
        <v xml:space="preserve">
</v>
      </c>
    </row>
    <row r="214" spans="1:4" ht="30.75" hidden="1" thickBot="1" x14ac:dyDescent="0.3">
      <c r="C214" s="51" t="s">
        <v>49</v>
      </c>
      <c r="D214" s="52" t="str">
        <f>IFERROR(VLOOKUP(D209,'KE PRB Summary Data'!A:U,16,FALSE),"")&amp;CHAR(10)</f>
        <v xml:space="preserve">
</v>
      </c>
    </row>
    <row r="215" spans="1:4" ht="15.75" hidden="1" thickBot="1" x14ac:dyDescent="0.3">
      <c r="C215" s="65"/>
      <c r="D215" s="66"/>
    </row>
    <row r="216" spans="1:4" hidden="1" x14ac:dyDescent="0.25">
      <c r="A216" s="160" t="str">
        <f>IF(D216&lt;&gt;"","Comp","Blank")</f>
        <v>Blank</v>
      </c>
      <c r="C216" s="45" t="s">
        <v>87</v>
      </c>
      <c r="D216" s="46" t="str">
        <f>IF('KE PRB Summary Data'!A32&lt;&gt;"",('KE PRB Summary Data'!A32),"")</f>
        <v/>
      </c>
    </row>
    <row r="217" spans="1:4" hidden="1" x14ac:dyDescent="0.25">
      <c r="C217" s="49" t="s">
        <v>47</v>
      </c>
      <c r="D217" s="50" t="str">
        <f>IFERROR(VLOOKUP(D216,'KE PRB Summary Data'!A:U,6,FALSE),"")</f>
        <v/>
      </c>
    </row>
    <row r="218" spans="1:4" ht="30" hidden="1" x14ac:dyDescent="0.25">
      <c r="C218" s="49" t="s">
        <v>88</v>
      </c>
      <c r="D218" s="48" t="str">
        <f>IFERROR(VLOOKUP(D216,'KE PRB Summary Data'!A:U,15,FALSE),"")&amp;CHAR(10)</f>
        <v xml:space="preserve">
</v>
      </c>
    </row>
    <row r="219" spans="1:4" ht="30" hidden="1" x14ac:dyDescent="0.25">
      <c r="C219" s="49" t="s">
        <v>89</v>
      </c>
      <c r="D219" s="48" t="str">
        <f>IFERROR(VLOOKUP(D216,'KE PRB Summary Data'!A:U,11,FALSE),"")&amp;CHAR(10)</f>
        <v xml:space="preserve">
</v>
      </c>
    </row>
    <row r="220" spans="1:4" ht="30" hidden="1" x14ac:dyDescent="0.25">
      <c r="C220" s="49" t="s">
        <v>90</v>
      </c>
      <c r="D220" s="48" t="str">
        <f>IFERROR(VLOOKUP(D216,'KE PRB Summary Data'!A:U,12,FALSE),"")&amp;CHAR(10)</f>
        <v xml:space="preserve">
</v>
      </c>
    </row>
    <row r="221" spans="1:4" ht="30.75" hidden="1" thickBot="1" x14ac:dyDescent="0.3">
      <c r="C221" s="51" t="s">
        <v>49</v>
      </c>
      <c r="D221" s="52" t="str">
        <f>IFERROR(VLOOKUP(D216,'KE PRB Summary Data'!A:U,16,FALSE),"")&amp;CHAR(10)</f>
        <v xml:space="preserve">
</v>
      </c>
    </row>
    <row r="222" spans="1:4" ht="15.75" hidden="1" thickBot="1" x14ac:dyDescent="0.3">
      <c r="C222" s="65"/>
      <c r="D222" s="66"/>
    </row>
    <row r="223" spans="1:4" hidden="1" x14ac:dyDescent="0.25">
      <c r="A223" s="160" t="str">
        <f>IF(D223&lt;&gt;"","Comp","Blank")</f>
        <v>Blank</v>
      </c>
      <c r="C223" s="45" t="s">
        <v>87</v>
      </c>
      <c r="D223" s="46" t="str">
        <f>IF('KE PRB Summary Data'!A33&lt;&gt;"",('KE PRB Summary Data'!A33),"")</f>
        <v/>
      </c>
    </row>
    <row r="224" spans="1:4" hidden="1" x14ac:dyDescent="0.25">
      <c r="C224" s="49" t="s">
        <v>47</v>
      </c>
      <c r="D224" s="50" t="str">
        <f>IFERROR(VLOOKUP(D223,'KE PRB Summary Data'!A:U,6,FALSE),"")</f>
        <v/>
      </c>
    </row>
    <row r="225" spans="1:4" ht="30" hidden="1" x14ac:dyDescent="0.25">
      <c r="C225" s="49" t="s">
        <v>88</v>
      </c>
      <c r="D225" s="48" t="str">
        <f>IFERROR(VLOOKUP(D223,'KE PRB Summary Data'!A:U,15,FALSE),"")&amp;CHAR(10)</f>
        <v xml:space="preserve">
</v>
      </c>
    </row>
    <row r="226" spans="1:4" ht="30" hidden="1" x14ac:dyDescent="0.25">
      <c r="C226" s="49" t="s">
        <v>89</v>
      </c>
      <c r="D226" s="48" t="str">
        <f>IFERROR(VLOOKUP(D223,'KE PRB Summary Data'!A:U,11,FALSE),"")&amp;CHAR(10)</f>
        <v xml:space="preserve">
</v>
      </c>
    </row>
    <row r="227" spans="1:4" ht="30" hidden="1" x14ac:dyDescent="0.25">
      <c r="C227" s="49" t="s">
        <v>90</v>
      </c>
      <c r="D227" s="48" t="str">
        <f>IFERROR(VLOOKUP(D223,'KE PRB Summary Data'!A:U,12,FALSE),"")&amp;CHAR(10)</f>
        <v xml:space="preserve">
</v>
      </c>
    </row>
    <row r="228" spans="1:4" ht="30.75" hidden="1" thickBot="1" x14ac:dyDescent="0.3">
      <c r="C228" s="51" t="s">
        <v>49</v>
      </c>
      <c r="D228" s="52" t="str">
        <f>IFERROR(VLOOKUP(D223,'KE PRB Summary Data'!A:U,16,FALSE),"")&amp;CHAR(10)</f>
        <v xml:space="preserve">
</v>
      </c>
    </row>
    <row r="229" spans="1:4" ht="15.75" hidden="1" thickBot="1" x14ac:dyDescent="0.3">
      <c r="C229" s="65"/>
      <c r="D229" s="66"/>
    </row>
    <row r="230" spans="1:4" hidden="1" x14ac:dyDescent="0.25">
      <c r="A230" s="160" t="str">
        <f>IF(D230&lt;&gt;"","Comp","Blank")</f>
        <v>Blank</v>
      </c>
      <c r="C230" s="45" t="s">
        <v>87</v>
      </c>
      <c r="D230" s="46" t="str">
        <f>IF('KE PRB Summary Data'!A34&lt;&gt;"",('KE PRB Summary Data'!A34),"")</f>
        <v/>
      </c>
    </row>
    <row r="231" spans="1:4" hidden="1" x14ac:dyDescent="0.25">
      <c r="C231" s="49" t="s">
        <v>47</v>
      </c>
      <c r="D231" s="50" t="str">
        <f>IFERROR(VLOOKUP(D230,'KE PRB Summary Data'!A:U,6,FALSE),"")</f>
        <v/>
      </c>
    </row>
    <row r="232" spans="1:4" ht="30" hidden="1" x14ac:dyDescent="0.25">
      <c r="C232" s="49" t="s">
        <v>88</v>
      </c>
      <c r="D232" s="48" t="str">
        <f>IFERROR(VLOOKUP(D230,'KE PRB Summary Data'!A:U,15,FALSE),"")&amp;CHAR(10)</f>
        <v xml:space="preserve">
</v>
      </c>
    </row>
    <row r="233" spans="1:4" ht="30" hidden="1" x14ac:dyDescent="0.25">
      <c r="C233" s="49" t="s">
        <v>89</v>
      </c>
      <c r="D233" s="48" t="str">
        <f>IFERROR(VLOOKUP(D230,'KE PRB Summary Data'!A:U,11,FALSE),"")&amp;CHAR(10)</f>
        <v xml:space="preserve">
</v>
      </c>
    </row>
    <row r="234" spans="1:4" ht="30" hidden="1" x14ac:dyDescent="0.25">
      <c r="C234" s="49" t="s">
        <v>90</v>
      </c>
      <c r="D234" s="48" t="str">
        <f>IFERROR(VLOOKUP(D230,'KE PRB Summary Data'!A:U,12,FALSE),"")&amp;CHAR(10)</f>
        <v xml:space="preserve">
</v>
      </c>
    </row>
    <row r="235" spans="1:4" ht="30.75" hidden="1" thickBot="1" x14ac:dyDescent="0.3">
      <c r="C235" s="51" t="s">
        <v>49</v>
      </c>
      <c r="D235" s="52" t="str">
        <f>IFERROR(VLOOKUP(D230,'KE PRB Summary Data'!A:U,16,FALSE),"")&amp;CHAR(10)</f>
        <v xml:space="preserve">
</v>
      </c>
    </row>
    <row r="236" spans="1:4" ht="15.75" hidden="1" thickBot="1" x14ac:dyDescent="0.3">
      <c r="C236" s="65"/>
      <c r="D236" s="66"/>
    </row>
    <row r="237" spans="1:4" hidden="1" x14ac:dyDescent="0.25">
      <c r="A237" s="160" t="str">
        <f>IF(D237&lt;&gt;"","Comp","Blank")</f>
        <v>Blank</v>
      </c>
      <c r="C237" s="45" t="s">
        <v>87</v>
      </c>
      <c r="D237" s="46" t="str">
        <f>IF('KE PRB Summary Data'!A35&lt;&gt;"",('KE PRB Summary Data'!A35),"")</f>
        <v/>
      </c>
    </row>
    <row r="238" spans="1:4" hidden="1" x14ac:dyDescent="0.25">
      <c r="C238" s="49" t="s">
        <v>47</v>
      </c>
      <c r="D238" s="50" t="str">
        <f>IFERROR(VLOOKUP(D237,'KE PRB Summary Data'!A:U,6,FALSE),"")</f>
        <v/>
      </c>
    </row>
    <row r="239" spans="1:4" ht="30" hidden="1" x14ac:dyDescent="0.25">
      <c r="C239" s="49" t="s">
        <v>88</v>
      </c>
      <c r="D239" s="48" t="str">
        <f>IFERROR(VLOOKUP(D237,'KE PRB Summary Data'!A:U,15,FALSE),"")&amp;CHAR(10)</f>
        <v xml:space="preserve">
</v>
      </c>
    </row>
    <row r="240" spans="1:4" ht="30" hidden="1" x14ac:dyDescent="0.25">
      <c r="C240" s="49" t="s">
        <v>89</v>
      </c>
      <c r="D240" s="48" t="str">
        <f>IFERROR(VLOOKUP(D237,'KE PRB Summary Data'!A:U,11,FALSE),"")&amp;CHAR(10)</f>
        <v xml:space="preserve">
</v>
      </c>
    </row>
    <row r="241" spans="1:4" ht="30" hidden="1" x14ac:dyDescent="0.25">
      <c r="C241" s="49" t="s">
        <v>90</v>
      </c>
      <c r="D241" s="48" t="str">
        <f>IFERROR(VLOOKUP(D237,'KE PRB Summary Data'!A:U,12,FALSE),"")&amp;CHAR(10)</f>
        <v xml:space="preserve">
</v>
      </c>
    </row>
    <row r="242" spans="1:4" ht="30.75" hidden="1" thickBot="1" x14ac:dyDescent="0.3">
      <c r="C242" s="51" t="s">
        <v>49</v>
      </c>
      <c r="D242" s="52" t="str">
        <f>IFERROR(VLOOKUP(D237,'KE PRB Summary Data'!A:U,16,FALSE),"")&amp;CHAR(10)</f>
        <v xml:space="preserve">
</v>
      </c>
    </row>
    <row r="243" spans="1:4" ht="15.75" hidden="1" thickBot="1" x14ac:dyDescent="0.3">
      <c r="C243" s="65"/>
      <c r="D243" s="66"/>
    </row>
    <row r="244" spans="1:4" hidden="1" x14ac:dyDescent="0.25">
      <c r="A244" s="160" t="str">
        <f>IF(D244&lt;&gt;"","Comp","Blank")</f>
        <v>Blank</v>
      </c>
      <c r="C244" s="45" t="s">
        <v>87</v>
      </c>
      <c r="D244" s="46" t="str">
        <f>IF('KE PRB Summary Data'!A36&lt;&gt;"",('KE PRB Summary Data'!A36),"")</f>
        <v/>
      </c>
    </row>
    <row r="245" spans="1:4" hidden="1" x14ac:dyDescent="0.25">
      <c r="C245" s="49" t="s">
        <v>47</v>
      </c>
      <c r="D245" s="50" t="str">
        <f>IFERROR(VLOOKUP(D244,'KE PRB Summary Data'!A:U,6,FALSE),"")</f>
        <v/>
      </c>
    </row>
    <row r="246" spans="1:4" ht="30" hidden="1" x14ac:dyDescent="0.25">
      <c r="C246" s="49" t="s">
        <v>88</v>
      </c>
      <c r="D246" s="48" t="str">
        <f>IFERROR(VLOOKUP(D244,'KE PRB Summary Data'!A:U,15,FALSE),"")&amp;CHAR(10)</f>
        <v xml:space="preserve">
</v>
      </c>
    </row>
    <row r="247" spans="1:4" ht="30" hidden="1" x14ac:dyDescent="0.25">
      <c r="C247" s="49" t="s">
        <v>89</v>
      </c>
      <c r="D247" s="48" t="str">
        <f>IFERROR(VLOOKUP(D244,'KE PRB Summary Data'!A:U,11,FALSE),"")&amp;CHAR(10)</f>
        <v xml:space="preserve">
</v>
      </c>
    </row>
    <row r="248" spans="1:4" ht="30" hidden="1" x14ac:dyDescent="0.25">
      <c r="C248" s="49" t="s">
        <v>90</v>
      </c>
      <c r="D248" s="48" t="str">
        <f>IFERROR(VLOOKUP(D244,'KE PRB Summary Data'!A:U,12,FALSE),"")&amp;CHAR(10)</f>
        <v xml:space="preserve">
</v>
      </c>
    </row>
    <row r="249" spans="1:4" ht="30.75" hidden="1" thickBot="1" x14ac:dyDescent="0.3">
      <c r="C249" s="51" t="s">
        <v>49</v>
      </c>
      <c r="D249" s="52" t="str">
        <f>IFERROR(VLOOKUP(D244,'KE PRB Summary Data'!A:U,16,FALSE),"")&amp;CHAR(10)</f>
        <v xml:space="preserve">
</v>
      </c>
    </row>
    <row r="250" spans="1:4" ht="15.75" hidden="1" thickBot="1" x14ac:dyDescent="0.3">
      <c r="C250" s="65"/>
      <c r="D250" s="66"/>
    </row>
    <row r="251" spans="1:4" hidden="1" x14ac:dyDescent="0.25">
      <c r="A251" s="160" t="str">
        <f>IF(D251&lt;&gt;"","Comp","Blank")</f>
        <v>Blank</v>
      </c>
      <c r="C251" s="45" t="s">
        <v>87</v>
      </c>
      <c r="D251" s="46" t="str">
        <f>IF('KE PRB Summary Data'!A37&lt;&gt;"",('KE PRB Summary Data'!A37),"")</f>
        <v/>
      </c>
    </row>
    <row r="252" spans="1:4" hidden="1" x14ac:dyDescent="0.25">
      <c r="C252" s="49" t="s">
        <v>47</v>
      </c>
      <c r="D252" s="50" t="str">
        <f>IFERROR(VLOOKUP(D251,'KE PRB Summary Data'!A:U,6,FALSE),"")</f>
        <v/>
      </c>
    </row>
    <row r="253" spans="1:4" ht="30" hidden="1" x14ac:dyDescent="0.25">
      <c r="C253" s="49" t="s">
        <v>88</v>
      </c>
      <c r="D253" s="48" t="str">
        <f>IFERROR(VLOOKUP(D251,'KE PRB Summary Data'!A:U,15,FALSE),"")&amp;CHAR(10)</f>
        <v xml:space="preserve">
</v>
      </c>
    </row>
    <row r="254" spans="1:4" ht="30" hidden="1" x14ac:dyDescent="0.25">
      <c r="C254" s="49" t="s">
        <v>89</v>
      </c>
      <c r="D254" s="48" t="str">
        <f>IFERROR(VLOOKUP(D251,'KE PRB Summary Data'!A:U,11,FALSE),"")&amp;CHAR(10)</f>
        <v xml:space="preserve">
</v>
      </c>
    </row>
    <row r="255" spans="1:4" ht="30" hidden="1" x14ac:dyDescent="0.25">
      <c r="C255" s="49" t="s">
        <v>90</v>
      </c>
      <c r="D255" s="48" t="str">
        <f>IFERROR(VLOOKUP(D251,'KE PRB Summary Data'!A:U,12,FALSE),"")&amp;CHAR(10)</f>
        <v xml:space="preserve">
</v>
      </c>
    </row>
    <row r="256" spans="1:4" ht="30.75" hidden="1" thickBot="1" x14ac:dyDescent="0.3">
      <c r="C256" s="51" t="s">
        <v>49</v>
      </c>
      <c r="D256" s="52" t="str">
        <f>IFERROR(VLOOKUP(D251,'KE PRB Summary Data'!A:U,16,FALSE),"")&amp;CHAR(10)</f>
        <v xml:space="preserve">
</v>
      </c>
    </row>
    <row r="257" spans="1:4" ht="15.75" hidden="1" thickBot="1" x14ac:dyDescent="0.3">
      <c r="C257" s="65"/>
      <c r="D257" s="66"/>
    </row>
    <row r="258" spans="1:4" hidden="1" x14ac:dyDescent="0.25">
      <c r="A258" s="160" t="str">
        <f>IF(D258&lt;&gt;"","Comp","Blank")</f>
        <v>Blank</v>
      </c>
      <c r="C258" s="45" t="s">
        <v>87</v>
      </c>
      <c r="D258" s="46" t="str">
        <f>IF('KE PRB Summary Data'!A38&lt;&gt;"",('KE PRB Summary Data'!A38),"")</f>
        <v/>
      </c>
    </row>
    <row r="259" spans="1:4" hidden="1" x14ac:dyDescent="0.25">
      <c r="C259" s="49" t="s">
        <v>47</v>
      </c>
      <c r="D259" s="50" t="str">
        <f>IFERROR(VLOOKUP(D258,'KE PRB Summary Data'!A:U,6,FALSE),"")</f>
        <v/>
      </c>
    </row>
    <row r="260" spans="1:4" ht="30" hidden="1" x14ac:dyDescent="0.25">
      <c r="C260" s="49" t="s">
        <v>88</v>
      </c>
      <c r="D260" s="48" t="str">
        <f>IFERROR(VLOOKUP(D258,'KE PRB Summary Data'!A:U,15,FALSE),"")&amp;CHAR(10)</f>
        <v xml:space="preserve">
</v>
      </c>
    </row>
    <row r="261" spans="1:4" ht="30" hidden="1" x14ac:dyDescent="0.25">
      <c r="C261" s="49" t="s">
        <v>89</v>
      </c>
      <c r="D261" s="48" t="str">
        <f>IFERROR(VLOOKUP(D258,'KE PRB Summary Data'!A:U,11,FALSE),"")&amp;CHAR(10)</f>
        <v xml:space="preserve">
</v>
      </c>
    </row>
    <row r="262" spans="1:4" ht="30" hidden="1" x14ac:dyDescent="0.25">
      <c r="C262" s="49" t="s">
        <v>90</v>
      </c>
      <c r="D262" s="48" t="str">
        <f>IFERROR(VLOOKUP(D258,'KE PRB Summary Data'!A:U,12,FALSE),"")&amp;CHAR(10)</f>
        <v xml:space="preserve">
</v>
      </c>
    </row>
    <row r="263" spans="1:4" ht="30.75" hidden="1" thickBot="1" x14ac:dyDescent="0.3">
      <c r="C263" s="51" t="s">
        <v>49</v>
      </c>
      <c r="D263" s="52" t="str">
        <f>IFERROR(VLOOKUP(D258,'KE PRB Summary Data'!A:U,16,FALSE),"")&amp;CHAR(10)</f>
        <v xml:space="preserve">
</v>
      </c>
    </row>
    <row r="264" spans="1:4" ht="15.75" hidden="1" thickBot="1" x14ac:dyDescent="0.3">
      <c r="C264" s="65"/>
      <c r="D264" s="66"/>
    </row>
    <row r="265" spans="1:4" hidden="1" x14ac:dyDescent="0.25">
      <c r="A265" s="160" t="str">
        <f>IF(D265&lt;&gt;"","Comp","Blank")</f>
        <v>Blank</v>
      </c>
      <c r="C265" s="45" t="s">
        <v>87</v>
      </c>
      <c r="D265" s="46" t="str">
        <f>IF('KE PRB Summary Data'!A39&lt;&gt;"",('KE PRB Summary Data'!A39),"")</f>
        <v/>
      </c>
    </row>
    <row r="266" spans="1:4" hidden="1" x14ac:dyDescent="0.25">
      <c r="C266" s="49" t="s">
        <v>47</v>
      </c>
      <c r="D266" s="50" t="str">
        <f>IFERROR(VLOOKUP(D265,'KE PRB Summary Data'!A:U,6,FALSE),"")</f>
        <v/>
      </c>
    </row>
    <row r="267" spans="1:4" ht="30" hidden="1" x14ac:dyDescent="0.25">
      <c r="C267" s="49" t="s">
        <v>88</v>
      </c>
      <c r="D267" s="48" t="str">
        <f>IFERROR(VLOOKUP(D265,'KE PRB Summary Data'!A:U,15,FALSE),"")&amp;CHAR(10)</f>
        <v xml:space="preserve">
</v>
      </c>
    </row>
    <row r="268" spans="1:4" ht="30" hidden="1" x14ac:dyDescent="0.25">
      <c r="C268" s="49" t="s">
        <v>89</v>
      </c>
      <c r="D268" s="48" t="str">
        <f>IFERROR(VLOOKUP(D265,'KE PRB Summary Data'!A:U,11,FALSE),"")&amp;CHAR(10)</f>
        <v xml:space="preserve">
</v>
      </c>
    </row>
    <row r="269" spans="1:4" ht="30" hidden="1" x14ac:dyDescent="0.25">
      <c r="C269" s="49" t="s">
        <v>90</v>
      </c>
      <c r="D269" s="48" t="str">
        <f>IFERROR(VLOOKUP(D265,'KE PRB Summary Data'!A:U,12,FALSE),"")&amp;CHAR(10)</f>
        <v xml:space="preserve">
</v>
      </c>
    </row>
    <row r="270" spans="1:4" ht="30.75" hidden="1" thickBot="1" x14ac:dyDescent="0.3">
      <c r="C270" s="51" t="s">
        <v>49</v>
      </c>
      <c r="D270" s="52" t="str">
        <f>IFERROR(VLOOKUP(D265,'KE PRB Summary Data'!A:U,16,FALSE),"")&amp;CHAR(10)</f>
        <v xml:space="preserve">
</v>
      </c>
    </row>
    <row r="271" spans="1:4" ht="15.75" hidden="1" thickBot="1" x14ac:dyDescent="0.3">
      <c r="C271" s="65"/>
      <c r="D271" s="66"/>
    </row>
    <row r="272" spans="1:4" hidden="1" x14ac:dyDescent="0.25">
      <c r="A272" s="160" t="str">
        <f>IF(D272&lt;&gt;"","Comp","Blank")</f>
        <v>Blank</v>
      </c>
      <c r="C272" s="45" t="s">
        <v>87</v>
      </c>
      <c r="D272" s="46" t="str">
        <f>IF('KE PRB Summary Data'!A40&lt;&gt;"",('KE PRB Summary Data'!A40),"")</f>
        <v/>
      </c>
    </row>
    <row r="273" spans="1:4" hidden="1" x14ac:dyDescent="0.25">
      <c r="C273" s="49" t="s">
        <v>47</v>
      </c>
      <c r="D273" s="50" t="str">
        <f>IFERROR(VLOOKUP(D272,'KE PRB Summary Data'!A:U,6,FALSE),"")</f>
        <v/>
      </c>
    </row>
    <row r="274" spans="1:4" ht="30" hidden="1" x14ac:dyDescent="0.25">
      <c r="C274" s="49" t="s">
        <v>88</v>
      </c>
      <c r="D274" s="48" t="str">
        <f>IFERROR(VLOOKUP(D272,'KE PRB Summary Data'!A:U,15,FALSE),"")&amp;CHAR(10)</f>
        <v xml:space="preserve">
</v>
      </c>
    </row>
    <row r="275" spans="1:4" ht="30" hidden="1" x14ac:dyDescent="0.25">
      <c r="C275" s="49" t="s">
        <v>89</v>
      </c>
      <c r="D275" s="48" t="str">
        <f>IFERROR(VLOOKUP(D272,'KE PRB Summary Data'!A:U,11,FALSE),"")&amp;CHAR(10)</f>
        <v xml:space="preserve">
</v>
      </c>
    </row>
    <row r="276" spans="1:4" ht="30" hidden="1" x14ac:dyDescent="0.25">
      <c r="C276" s="49" t="s">
        <v>90</v>
      </c>
      <c r="D276" s="48" t="str">
        <f>IFERROR(VLOOKUP(D272,'KE PRB Summary Data'!A:U,12,FALSE),"")&amp;CHAR(10)</f>
        <v xml:space="preserve">
</v>
      </c>
    </row>
    <row r="277" spans="1:4" ht="30.75" hidden="1" thickBot="1" x14ac:dyDescent="0.3">
      <c r="C277" s="51" t="s">
        <v>49</v>
      </c>
      <c r="D277" s="52" t="str">
        <f>IFERROR(VLOOKUP(D272,'KE PRB Summary Data'!A:U,16,FALSE),"")&amp;CHAR(10)</f>
        <v xml:space="preserve">
</v>
      </c>
    </row>
    <row r="278" spans="1:4" ht="15.75" hidden="1" thickBot="1" x14ac:dyDescent="0.3">
      <c r="C278" s="65"/>
      <c r="D278" s="66"/>
    </row>
    <row r="279" spans="1:4" hidden="1" x14ac:dyDescent="0.25">
      <c r="A279" s="160" t="str">
        <f>IF(D279&lt;&gt;"","Comp","Blank")</f>
        <v>Blank</v>
      </c>
      <c r="C279" s="45" t="s">
        <v>87</v>
      </c>
      <c r="D279" s="46" t="str">
        <f>IF('KE PRB Summary Data'!A41&lt;&gt;"",('KE PRB Summary Data'!A41),"")</f>
        <v/>
      </c>
    </row>
    <row r="280" spans="1:4" hidden="1" x14ac:dyDescent="0.25">
      <c r="C280" s="49" t="s">
        <v>47</v>
      </c>
      <c r="D280" s="50" t="str">
        <f>IFERROR(VLOOKUP(D279,'KE PRB Summary Data'!A:U,6,FALSE),"")</f>
        <v/>
      </c>
    </row>
    <row r="281" spans="1:4" ht="30" hidden="1" x14ac:dyDescent="0.25">
      <c r="C281" s="49" t="s">
        <v>88</v>
      </c>
      <c r="D281" s="48" t="str">
        <f>IFERROR(VLOOKUP(D279,'KE PRB Summary Data'!A:U,15,FALSE),"")&amp;CHAR(10)</f>
        <v xml:space="preserve">
</v>
      </c>
    </row>
    <row r="282" spans="1:4" ht="30" hidden="1" x14ac:dyDescent="0.25">
      <c r="C282" s="49" t="s">
        <v>89</v>
      </c>
      <c r="D282" s="48" t="str">
        <f>IFERROR(VLOOKUP(D279,'KE PRB Summary Data'!A:U,11,FALSE),"")&amp;CHAR(10)</f>
        <v xml:space="preserve">
</v>
      </c>
    </row>
    <row r="283" spans="1:4" ht="30" hidden="1" x14ac:dyDescent="0.25">
      <c r="C283" s="49" t="s">
        <v>90</v>
      </c>
      <c r="D283" s="48" t="str">
        <f>IFERROR(VLOOKUP(D279,'KE PRB Summary Data'!A:U,12,FALSE),"")&amp;CHAR(10)</f>
        <v xml:space="preserve">
</v>
      </c>
    </row>
    <row r="284" spans="1:4" ht="30.75" hidden="1" thickBot="1" x14ac:dyDescent="0.3">
      <c r="C284" s="51" t="s">
        <v>49</v>
      </c>
      <c r="D284" s="52" t="str">
        <f>IFERROR(VLOOKUP(D279,'KE PRB Summary Data'!A:U,16,FALSE),"")&amp;CHAR(10)</f>
        <v xml:space="preserve">
</v>
      </c>
    </row>
    <row r="285" spans="1:4" ht="15.75" hidden="1" thickBot="1" x14ac:dyDescent="0.3">
      <c r="C285" s="65"/>
      <c r="D285" s="66"/>
    </row>
    <row r="286" spans="1:4" hidden="1" x14ac:dyDescent="0.25">
      <c r="A286" s="160" t="str">
        <f>IF(D286&lt;&gt;"","Comp","Blank")</f>
        <v>Blank</v>
      </c>
      <c r="C286" s="45" t="s">
        <v>87</v>
      </c>
      <c r="D286" s="46" t="str">
        <f>IF('KE PRB Summary Data'!A42&lt;&gt;"",('KE PRB Summary Data'!A42),"")</f>
        <v/>
      </c>
    </row>
    <row r="287" spans="1:4" hidden="1" x14ac:dyDescent="0.25">
      <c r="C287" s="49" t="s">
        <v>47</v>
      </c>
      <c r="D287" s="50" t="str">
        <f>IFERROR(VLOOKUP(D286,'KE PRB Summary Data'!A:U,6,FALSE),"")</f>
        <v/>
      </c>
    </row>
    <row r="288" spans="1:4" ht="30" hidden="1" x14ac:dyDescent="0.25">
      <c r="C288" s="49" t="s">
        <v>88</v>
      </c>
      <c r="D288" s="48" t="str">
        <f>IFERROR(VLOOKUP(D286,'KE PRB Summary Data'!A:U,15,FALSE),"")&amp;CHAR(10)</f>
        <v xml:space="preserve">
</v>
      </c>
    </row>
    <row r="289" spans="1:4" ht="30" hidden="1" x14ac:dyDescent="0.25">
      <c r="C289" s="49" t="s">
        <v>89</v>
      </c>
      <c r="D289" s="48" t="str">
        <f>IFERROR(VLOOKUP(D286,'KE PRB Summary Data'!A:U,11,FALSE),"")&amp;CHAR(10)</f>
        <v xml:space="preserve">
</v>
      </c>
    </row>
    <row r="290" spans="1:4" ht="30" hidden="1" x14ac:dyDescent="0.25">
      <c r="C290" s="49" t="s">
        <v>90</v>
      </c>
      <c r="D290" s="48" t="str">
        <f>IFERROR(VLOOKUP(D286,'KE PRB Summary Data'!A:U,12,FALSE),"")&amp;CHAR(10)</f>
        <v xml:space="preserve">
</v>
      </c>
    </row>
    <row r="291" spans="1:4" ht="30.75" hidden="1" thickBot="1" x14ac:dyDescent="0.3">
      <c r="C291" s="51" t="s">
        <v>49</v>
      </c>
      <c r="D291" s="52" t="str">
        <f>IFERROR(VLOOKUP(D286,'KE PRB Summary Data'!A:U,16,FALSE),"")&amp;CHAR(10)</f>
        <v xml:space="preserve">
</v>
      </c>
    </row>
    <row r="292" spans="1:4" ht="15.75" hidden="1" thickBot="1" x14ac:dyDescent="0.3">
      <c r="C292" s="65"/>
      <c r="D292" s="66"/>
    </row>
    <row r="293" spans="1:4" hidden="1" x14ac:dyDescent="0.25">
      <c r="A293" s="160" t="str">
        <f>IF(D293&lt;&gt;"","Comp","Blank")</f>
        <v>Blank</v>
      </c>
      <c r="C293" s="45" t="s">
        <v>87</v>
      </c>
      <c r="D293" s="46" t="str">
        <f>IF('KE PRB Summary Data'!A43&lt;&gt;"",('KE PRB Summary Data'!A43),"")</f>
        <v/>
      </c>
    </row>
    <row r="294" spans="1:4" hidden="1" x14ac:dyDescent="0.25">
      <c r="C294" s="49" t="s">
        <v>47</v>
      </c>
      <c r="D294" s="50" t="str">
        <f>IFERROR(VLOOKUP(D293,'KE PRB Summary Data'!A:U,6,FALSE),"")</f>
        <v/>
      </c>
    </row>
    <row r="295" spans="1:4" ht="30" hidden="1" x14ac:dyDescent="0.25">
      <c r="C295" s="49" t="s">
        <v>88</v>
      </c>
      <c r="D295" s="48" t="str">
        <f>IFERROR(VLOOKUP(D293,'KE PRB Summary Data'!A:U,15,FALSE),"")&amp;CHAR(10)</f>
        <v xml:space="preserve">
</v>
      </c>
    </row>
    <row r="296" spans="1:4" ht="30" hidden="1" x14ac:dyDescent="0.25">
      <c r="C296" s="49" t="s">
        <v>89</v>
      </c>
      <c r="D296" s="48" t="str">
        <f>IFERROR(VLOOKUP(D293,'KE PRB Summary Data'!A:U,11,FALSE),"")&amp;CHAR(10)</f>
        <v xml:space="preserve">
</v>
      </c>
    </row>
    <row r="297" spans="1:4" ht="30" hidden="1" x14ac:dyDescent="0.25">
      <c r="C297" s="49" t="s">
        <v>90</v>
      </c>
      <c r="D297" s="48" t="str">
        <f>IFERROR(VLOOKUP(D293,'KE PRB Summary Data'!A:U,12,FALSE),"")&amp;CHAR(10)</f>
        <v xml:space="preserve">
</v>
      </c>
    </row>
    <row r="298" spans="1:4" ht="30.75" hidden="1" thickBot="1" x14ac:dyDescent="0.3">
      <c r="C298" s="51" t="s">
        <v>49</v>
      </c>
      <c r="D298" s="52" t="str">
        <f>IFERROR(VLOOKUP(D293,'KE PRB Summary Data'!A:U,16,FALSE),"")&amp;CHAR(10)</f>
        <v xml:space="preserve">
</v>
      </c>
    </row>
    <row r="299" spans="1:4" ht="15.75" hidden="1" thickBot="1" x14ac:dyDescent="0.3">
      <c r="C299" s="65"/>
      <c r="D299" s="66"/>
    </row>
    <row r="300" spans="1:4" hidden="1" x14ac:dyDescent="0.25">
      <c r="A300" s="160" t="str">
        <f>IF(D300&lt;&gt;"","Comp","Blank")</f>
        <v>Blank</v>
      </c>
      <c r="C300" s="45" t="s">
        <v>87</v>
      </c>
      <c r="D300" s="46" t="str">
        <f>IF('KE PRB Summary Data'!A44&lt;&gt;"",('KE PRB Summary Data'!A44),"")</f>
        <v/>
      </c>
    </row>
    <row r="301" spans="1:4" hidden="1" x14ac:dyDescent="0.25">
      <c r="C301" s="49" t="s">
        <v>47</v>
      </c>
      <c r="D301" s="50" t="str">
        <f>IFERROR(VLOOKUP(D300,'KE PRB Summary Data'!A:U,6,FALSE),"")</f>
        <v/>
      </c>
    </row>
    <row r="302" spans="1:4" ht="30" hidden="1" x14ac:dyDescent="0.25">
      <c r="C302" s="49" t="s">
        <v>88</v>
      </c>
      <c r="D302" s="48" t="str">
        <f>IFERROR(VLOOKUP(D300,'KE PRB Summary Data'!A:U,15,FALSE),"")&amp;CHAR(10)</f>
        <v xml:space="preserve">
</v>
      </c>
    </row>
    <row r="303" spans="1:4" ht="30" hidden="1" x14ac:dyDescent="0.25">
      <c r="C303" s="49" t="s">
        <v>89</v>
      </c>
      <c r="D303" s="48" t="str">
        <f>IFERROR(VLOOKUP(D300,'KE PRB Summary Data'!A:U,11,FALSE),"")&amp;CHAR(10)</f>
        <v xml:space="preserve">
</v>
      </c>
    </row>
    <row r="304" spans="1:4" ht="30" hidden="1" x14ac:dyDescent="0.25">
      <c r="C304" s="49" t="s">
        <v>90</v>
      </c>
      <c r="D304" s="48" t="str">
        <f>IFERROR(VLOOKUP(D300,'KE PRB Summary Data'!A:U,12,FALSE),"")&amp;CHAR(10)</f>
        <v xml:space="preserve">
</v>
      </c>
    </row>
    <row r="305" spans="1:4" ht="30.75" hidden="1" thickBot="1" x14ac:dyDescent="0.3">
      <c r="C305" s="51" t="s">
        <v>49</v>
      </c>
      <c r="D305" s="52" t="str">
        <f>IFERROR(VLOOKUP(D300,'KE PRB Summary Data'!A:U,16,FALSE),"")&amp;CHAR(10)</f>
        <v xml:space="preserve">
</v>
      </c>
    </row>
    <row r="306" spans="1:4" ht="15.75" hidden="1" thickBot="1" x14ac:dyDescent="0.3">
      <c r="C306" s="65"/>
      <c r="D306" s="66"/>
    </row>
    <row r="307" spans="1:4" hidden="1" x14ac:dyDescent="0.25">
      <c r="A307" s="160" t="str">
        <f>IF(D307&lt;&gt;"","Comp","Blank")</f>
        <v>Blank</v>
      </c>
      <c r="C307" s="45" t="s">
        <v>87</v>
      </c>
      <c r="D307" s="46" t="str">
        <f>IF('KE PRB Summary Data'!A45&lt;&gt;"",('KE PRB Summary Data'!A45),"")</f>
        <v/>
      </c>
    </row>
    <row r="308" spans="1:4" hidden="1" x14ac:dyDescent="0.25">
      <c r="C308" s="49" t="s">
        <v>47</v>
      </c>
      <c r="D308" s="50" t="str">
        <f>IFERROR(VLOOKUP(D307,'KE PRB Summary Data'!A:U,6,FALSE),"")</f>
        <v/>
      </c>
    </row>
    <row r="309" spans="1:4" ht="30" hidden="1" x14ac:dyDescent="0.25">
      <c r="C309" s="49" t="s">
        <v>88</v>
      </c>
      <c r="D309" s="48" t="str">
        <f>IFERROR(VLOOKUP(D307,'KE PRB Summary Data'!A:U,15,FALSE),"")&amp;CHAR(10)</f>
        <v xml:space="preserve">
</v>
      </c>
    </row>
    <row r="310" spans="1:4" ht="30" hidden="1" x14ac:dyDescent="0.25">
      <c r="C310" s="49" t="s">
        <v>89</v>
      </c>
      <c r="D310" s="48" t="str">
        <f>IFERROR(VLOOKUP(D307,'KE PRB Summary Data'!A:U,11,FALSE),"")&amp;CHAR(10)</f>
        <v xml:space="preserve">
</v>
      </c>
    </row>
    <row r="311" spans="1:4" ht="30" hidden="1" x14ac:dyDescent="0.25">
      <c r="C311" s="49" t="s">
        <v>90</v>
      </c>
      <c r="D311" s="48" t="str">
        <f>IFERROR(VLOOKUP(D307,'KE PRB Summary Data'!A:U,12,FALSE),"")&amp;CHAR(10)</f>
        <v xml:space="preserve">
</v>
      </c>
    </row>
    <row r="312" spans="1:4" ht="30.75" hidden="1" thickBot="1" x14ac:dyDescent="0.3">
      <c r="C312" s="51" t="s">
        <v>49</v>
      </c>
      <c r="D312" s="52" t="str">
        <f>IFERROR(VLOOKUP(D307,'KE PRB Summary Data'!A:U,16,FALSE),"")&amp;CHAR(10)</f>
        <v xml:space="preserve">
</v>
      </c>
    </row>
    <row r="313" spans="1:4" ht="15.75" hidden="1" thickBot="1" x14ac:dyDescent="0.3">
      <c r="C313" s="65"/>
      <c r="D313" s="66"/>
    </row>
    <row r="314" spans="1:4" hidden="1" x14ac:dyDescent="0.25">
      <c r="A314" s="160" t="str">
        <f>IF(D314&lt;&gt;"","Comp","Blank")</f>
        <v>Blank</v>
      </c>
      <c r="C314" s="45" t="s">
        <v>87</v>
      </c>
      <c r="D314" s="46" t="str">
        <f>IF('KE PRB Summary Data'!A46&lt;&gt;"",('KE PRB Summary Data'!A46),"")</f>
        <v/>
      </c>
    </row>
    <row r="315" spans="1:4" hidden="1" x14ac:dyDescent="0.25">
      <c r="C315" s="49" t="s">
        <v>47</v>
      </c>
      <c r="D315" s="50" t="str">
        <f>IFERROR(VLOOKUP(D314,'KE PRB Summary Data'!A:U,6,FALSE),"")</f>
        <v/>
      </c>
    </row>
    <row r="316" spans="1:4" ht="30" hidden="1" x14ac:dyDescent="0.25">
      <c r="C316" s="49" t="s">
        <v>88</v>
      </c>
      <c r="D316" s="48" t="str">
        <f>IFERROR(VLOOKUP(D314,'KE PRB Summary Data'!A:U,15,FALSE),"")&amp;CHAR(10)</f>
        <v xml:space="preserve">
</v>
      </c>
    </row>
    <row r="317" spans="1:4" ht="30" hidden="1" x14ac:dyDescent="0.25">
      <c r="C317" s="49" t="s">
        <v>89</v>
      </c>
      <c r="D317" s="48" t="str">
        <f>IFERROR(VLOOKUP(D314,'KE PRB Summary Data'!A:U,11,FALSE),"")&amp;CHAR(10)</f>
        <v xml:space="preserve">
</v>
      </c>
    </row>
    <row r="318" spans="1:4" ht="30" hidden="1" x14ac:dyDescent="0.25">
      <c r="C318" s="49" t="s">
        <v>90</v>
      </c>
      <c r="D318" s="48" t="str">
        <f>IFERROR(VLOOKUP(D314,'KE PRB Summary Data'!A:U,12,FALSE),"")&amp;CHAR(10)</f>
        <v xml:space="preserve">
</v>
      </c>
    </row>
    <row r="319" spans="1:4" ht="30.75" hidden="1" thickBot="1" x14ac:dyDescent="0.3">
      <c r="C319" s="51" t="s">
        <v>49</v>
      </c>
      <c r="D319" s="52" t="str">
        <f>IFERROR(VLOOKUP(D314,'KE PRB Summary Data'!A:U,16,FALSE),"")&amp;CHAR(10)</f>
        <v xml:space="preserve">
</v>
      </c>
    </row>
    <row r="320" spans="1:4" ht="15.75" hidden="1" thickBot="1" x14ac:dyDescent="0.3">
      <c r="C320" s="65"/>
      <c r="D320" s="66"/>
    </row>
    <row r="321" spans="1:4" hidden="1" x14ac:dyDescent="0.25">
      <c r="A321" s="160" t="str">
        <f>IF(D321&lt;&gt;"","Comp","Blank")</f>
        <v>Blank</v>
      </c>
      <c r="C321" s="45" t="s">
        <v>87</v>
      </c>
      <c r="D321" s="46" t="str">
        <f>IF('KE PRB Summary Data'!A47&lt;&gt;"",('KE PRB Summary Data'!A47),"")</f>
        <v/>
      </c>
    </row>
    <row r="322" spans="1:4" hidden="1" x14ac:dyDescent="0.25">
      <c r="C322" s="49" t="s">
        <v>47</v>
      </c>
      <c r="D322" s="50" t="str">
        <f>IFERROR(VLOOKUP(D321,'KE PRB Summary Data'!A:U,6,FALSE),"")</f>
        <v/>
      </c>
    </row>
    <row r="323" spans="1:4" ht="30" hidden="1" x14ac:dyDescent="0.25">
      <c r="C323" s="49" t="s">
        <v>88</v>
      </c>
      <c r="D323" s="48" t="str">
        <f>IFERROR(VLOOKUP(D321,'KE PRB Summary Data'!A:U,15,FALSE),"")&amp;CHAR(10)</f>
        <v xml:space="preserve">
</v>
      </c>
    </row>
    <row r="324" spans="1:4" ht="30" hidden="1" x14ac:dyDescent="0.25">
      <c r="C324" s="49" t="s">
        <v>89</v>
      </c>
      <c r="D324" s="48" t="str">
        <f>IFERROR(VLOOKUP(D321,'KE PRB Summary Data'!A:U,11,FALSE),"")&amp;CHAR(10)</f>
        <v xml:space="preserve">
</v>
      </c>
    </row>
    <row r="325" spans="1:4" ht="30" hidden="1" x14ac:dyDescent="0.25">
      <c r="C325" s="49" t="s">
        <v>90</v>
      </c>
      <c r="D325" s="48" t="str">
        <f>IFERROR(VLOOKUP(D321,'KE PRB Summary Data'!A:U,12,FALSE),"")&amp;CHAR(10)</f>
        <v xml:space="preserve">
</v>
      </c>
    </row>
    <row r="326" spans="1:4" ht="30.75" hidden="1" thickBot="1" x14ac:dyDescent="0.3">
      <c r="C326" s="51" t="s">
        <v>49</v>
      </c>
      <c r="D326" s="52" t="str">
        <f>IFERROR(VLOOKUP(D321,'KE PRB Summary Data'!A:U,16,FALSE),"")&amp;CHAR(10)</f>
        <v xml:space="preserve">
</v>
      </c>
    </row>
    <row r="327" spans="1:4" ht="15.75" hidden="1" thickBot="1" x14ac:dyDescent="0.3">
      <c r="C327" s="65"/>
      <c r="D327" s="66"/>
    </row>
    <row r="328" spans="1:4" hidden="1" x14ac:dyDescent="0.25">
      <c r="A328" s="160" t="str">
        <f>IF(D328&lt;&gt;"","Comp","Blank")</f>
        <v>Blank</v>
      </c>
      <c r="C328" s="45" t="s">
        <v>87</v>
      </c>
      <c r="D328" s="46" t="str">
        <f>IF('KE PRB Summary Data'!A48&lt;&gt;"",('KE PRB Summary Data'!A48),"")</f>
        <v/>
      </c>
    </row>
    <row r="329" spans="1:4" hidden="1" x14ac:dyDescent="0.25">
      <c r="C329" s="49" t="s">
        <v>47</v>
      </c>
      <c r="D329" s="50" t="str">
        <f>IFERROR(VLOOKUP(D328,'KE PRB Summary Data'!A:U,6,FALSE),"")</f>
        <v/>
      </c>
    </row>
    <row r="330" spans="1:4" ht="30" hidden="1" x14ac:dyDescent="0.25">
      <c r="C330" s="49" t="s">
        <v>88</v>
      </c>
      <c r="D330" s="48" t="str">
        <f>IFERROR(VLOOKUP(D328,'KE PRB Summary Data'!A:U,15,FALSE),"")&amp;CHAR(10)</f>
        <v xml:space="preserve">
</v>
      </c>
    </row>
    <row r="331" spans="1:4" ht="30" hidden="1" x14ac:dyDescent="0.25">
      <c r="C331" s="49" t="s">
        <v>89</v>
      </c>
      <c r="D331" s="48" t="str">
        <f>IFERROR(VLOOKUP(D328,'KE PRB Summary Data'!A:U,11,FALSE),"")&amp;CHAR(10)</f>
        <v xml:space="preserve">
</v>
      </c>
    </row>
    <row r="332" spans="1:4" ht="30" hidden="1" x14ac:dyDescent="0.25">
      <c r="C332" s="49" t="s">
        <v>90</v>
      </c>
      <c r="D332" s="48" t="str">
        <f>IFERROR(VLOOKUP(D328,'KE PRB Summary Data'!A:U,12,FALSE),"")&amp;CHAR(10)</f>
        <v xml:space="preserve">
</v>
      </c>
    </row>
    <row r="333" spans="1:4" ht="30.75" hidden="1" thickBot="1" x14ac:dyDescent="0.3">
      <c r="C333" s="51" t="s">
        <v>49</v>
      </c>
      <c r="D333" s="52" t="str">
        <f>IFERROR(VLOOKUP(D328,'KE PRB Summary Data'!A:U,16,FALSE),"")&amp;CHAR(10)</f>
        <v xml:space="preserve">
</v>
      </c>
    </row>
    <row r="334" spans="1:4" ht="15.75" hidden="1" thickBot="1" x14ac:dyDescent="0.3">
      <c r="C334" s="65"/>
      <c r="D334" s="66"/>
    </row>
    <row r="335" spans="1:4" hidden="1" x14ac:dyDescent="0.25">
      <c r="A335" s="160" t="str">
        <f>IF(D335&lt;&gt;"","Comp","Blank")</f>
        <v>Blank</v>
      </c>
      <c r="C335" s="45" t="s">
        <v>87</v>
      </c>
      <c r="D335" s="46" t="str">
        <f>IF('KE PRB Summary Data'!A49&lt;&gt;"",('KE PRB Summary Data'!A49),"")</f>
        <v/>
      </c>
    </row>
    <row r="336" spans="1:4" hidden="1" x14ac:dyDescent="0.25">
      <c r="C336" s="49" t="s">
        <v>47</v>
      </c>
      <c r="D336" s="50" t="str">
        <f>IFERROR(VLOOKUP(D335,'KE PRB Summary Data'!A:U,6,FALSE),"")</f>
        <v/>
      </c>
    </row>
    <row r="337" spans="1:4" ht="30" hidden="1" x14ac:dyDescent="0.25">
      <c r="C337" s="49" t="s">
        <v>88</v>
      </c>
      <c r="D337" s="48" t="str">
        <f>IFERROR(VLOOKUP(D335,'KE PRB Summary Data'!A:U,15,FALSE),"")&amp;CHAR(10)</f>
        <v xml:space="preserve">
</v>
      </c>
    </row>
    <row r="338" spans="1:4" ht="30" hidden="1" x14ac:dyDescent="0.25">
      <c r="C338" s="49" t="s">
        <v>89</v>
      </c>
      <c r="D338" s="48" t="str">
        <f>IFERROR(VLOOKUP(D335,'KE PRB Summary Data'!A:U,11,FALSE),"")&amp;CHAR(10)</f>
        <v xml:space="preserve">
</v>
      </c>
    </row>
    <row r="339" spans="1:4" ht="30" hidden="1" x14ac:dyDescent="0.25">
      <c r="C339" s="49" t="s">
        <v>90</v>
      </c>
      <c r="D339" s="48" t="str">
        <f>IFERROR(VLOOKUP(D335,'KE PRB Summary Data'!A:U,12,FALSE),"")&amp;CHAR(10)</f>
        <v xml:space="preserve">
</v>
      </c>
    </row>
    <row r="340" spans="1:4" ht="30.75" hidden="1" thickBot="1" x14ac:dyDescent="0.3">
      <c r="C340" s="51" t="s">
        <v>49</v>
      </c>
      <c r="D340" s="52" t="str">
        <f>IFERROR(VLOOKUP(D335,'KE PRB Summary Data'!A:U,16,FALSE),"")&amp;CHAR(10)</f>
        <v xml:space="preserve">
</v>
      </c>
    </row>
    <row r="341" spans="1:4" ht="15.75" hidden="1" thickBot="1" x14ac:dyDescent="0.3">
      <c r="C341" s="65"/>
      <c r="D341" s="66"/>
    </row>
    <row r="342" spans="1:4" hidden="1" x14ac:dyDescent="0.25">
      <c r="A342" s="160" t="str">
        <f>IF(D342&lt;&gt;"","Comp","Blank")</f>
        <v>Blank</v>
      </c>
      <c r="C342" s="45" t="s">
        <v>87</v>
      </c>
      <c r="D342" s="46" t="str">
        <f>IF('KE PRB Summary Data'!A50&lt;&gt;"",('KE PRB Summary Data'!A50),"")</f>
        <v/>
      </c>
    </row>
    <row r="343" spans="1:4" hidden="1" x14ac:dyDescent="0.25">
      <c r="C343" s="49" t="s">
        <v>47</v>
      </c>
      <c r="D343" s="50" t="str">
        <f>IFERROR(VLOOKUP(D342,'KE PRB Summary Data'!A:U,6,FALSE),"")</f>
        <v/>
      </c>
    </row>
    <row r="344" spans="1:4" ht="30" hidden="1" x14ac:dyDescent="0.25">
      <c r="C344" s="49" t="s">
        <v>88</v>
      </c>
      <c r="D344" s="48" t="str">
        <f>IFERROR(VLOOKUP(D342,'KE PRB Summary Data'!A:U,15,FALSE),"")&amp;CHAR(10)</f>
        <v xml:space="preserve">
</v>
      </c>
    </row>
    <row r="345" spans="1:4" ht="30" hidden="1" x14ac:dyDescent="0.25">
      <c r="C345" s="49" t="s">
        <v>89</v>
      </c>
      <c r="D345" s="48" t="str">
        <f>IFERROR(VLOOKUP(D342,'KE PRB Summary Data'!A:U,11,FALSE),"")&amp;CHAR(10)</f>
        <v xml:space="preserve">
</v>
      </c>
    </row>
    <row r="346" spans="1:4" ht="30" hidden="1" x14ac:dyDescent="0.25">
      <c r="C346" s="49" t="s">
        <v>90</v>
      </c>
      <c r="D346" s="48" t="str">
        <f>IFERROR(VLOOKUP(D342,'KE PRB Summary Data'!A:U,12,FALSE),"")&amp;CHAR(10)</f>
        <v xml:space="preserve">
</v>
      </c>
    </row>
    <row r="347" spans="1:4" ht="30.75" hidden="1" thickBot="1" x14ac:dyDescent="0.3">
      <c r="C347" s="51" t="s">
        <v>49</v>
      </c>
      <c r="D347" s="52" t="str">
        <f>IFERROR(VLOOKUP(D342,'KE PRB Summary Data'!A:U,16,FALSE),"")&amp;CHAR(10)</f>
        <v xml:space="preserve">
</v>
      </c>
    </row>
    <row r="348" spans="1:4" ht="15.75" hidden="1" thickBot="1" x14ac:dyDescent="0.3">
      <c r="C348" s="65"/>
      <c r="D348" s="66"/>
    </row>
    <row r="349" spans="1:4" hidden="1" x14ac:dyDescent="0.25">
      <c r="A349" s="160" t="str">
        <f>IF(D349&lt;&gt;"","Comp","Blank")</f>
        <v>Blank</v>
      </c>
      <c r="C349" s="45" t="s">
        <v>87</v>
      </c>
      <c r="D349" s="46" t="str">
        <f>IF('KE PRB Summary Data'!A51&lt;&gt;"",('KE PRB Summary Data'!A51),"")</f>
        <v/>
      </c>
    </row>
    <row r="350" spans="1:4" hidden="1" x14ac:dyDescent="0.25">
      <c r="C350" s="49" t="s">
        <v>47</v>
      </c>
      <c r="D350" s="50" t="str">
        <f>IFERROR(VLOOKUP(D349,'KE PRB Summary Data'!A:U,6,FALSE),"")</f>
        <v/>
      </c>
    </row>
    <row r="351" spans="1:4" ht="30" hidden="1" x14ac:dyDescent="0.25">
      <c r="C351" s="49" t="s">
        <v>88</v>
      </c>
      <c r="D351" s="48" t="str">
        <f>IFERROR(VLOOKUP(D349,'KE PRB Summary Data'!A:U,15,FALSE),"")&amp;CHAR(10)</f>
        <v xml:space="preserve">
</v>
      </c>
    </row>
    <row r="352" spans="1:4" ht="30" hidden="1" x14ac:dyDescent="0.25">
      <c r="C352" s="49" t="s">
        <v>89</v>
      </c>
      <c r="D352" s="48" t="str">
        <f>IFERROR(VLOOKUP(D349,'KE PRB Summary Data'!A:U,11,FALSE),"")&amp;CHAR(10)</f>
        <v xml:space="preserve">
</v>
      </c>
    </row>
    <row r="353" spans="1:4" ht="30" hidden="1" x14ac:dyDescent="0.25">
      <c r="C353" s="49" t="s">
        <v>90</v>
      </c>
      <c r="D353" s="48" t="str">
        <f>IFERROR(VLOOKUP(D349,'KE PRB Summary Data'!A:U,12,FALSE),"")&amp;CHAR(10)</f>
        <v xml:space="preserve">
</v>
      </c>
    </row>
    <row r="354" spans="1:4" ht="30.75" hidden="1" thickBot="1" x14ac:dyDescent="0.3">
      <c r="C354" s="51" t="s">
        <v>49</v>
      </c>
      <c r="D354" s="52" t="str">
        <f>IFERROR(VLOOKUP(D349,'KE PRB Summary Data'!A:U,16,FALSE),"")&amp;CHAR(10)</f>
        <v xml:space="preserve">
</v>
      </c>
    </row>
    <row r="355" spans="1:4" ht="15.75" hidden="1" thickBot="1" x14ac:dyDescent="0.3">
      <c r="C355" s="65"/>
      <c r="D355" s="66"/>
    </row>
    <row r="356" spans="1:4" hidden="1" x14ac:dyDescent="0.25">
      <c r="A356" s="160" t="str">
        <f>IF(D356&lt;&gt;"","Comp","Blank")</f>
        <v>Blank</v>
      </c>
      <c r="C356" s="45" t="s">
        <v>87</v>
      </c>
      <c r="D356" s="46" t="str">
        <f>IF('KE PRB Summary Data'!A52&lt;&gt;"",('KE PRB Summary Data'!A52),"")</f>
        <v/>
      </c>
    </row>
    <row r="357" spans="1:4" hidden="1" x14ac:dyDescent="0.25">
      <c r="C357" s="49" t="s">
        <v>47</v>
      </c>
      <c r="D357" s="50" t="str">
        <f>IFERROR(VLOOKUP(D356,'KE PRB Summary Data'!A:U,6,FALSE),"")</f>
        <v/>
      </c>
    </row>
    <row r="358" spans="1:4" ht="30" hidden="1" x14ac:dyDescent="0.25">
      <c r="C358" s="49" t="s">
        <v>88</v>
      </c>
      <c r="D358" s="48" t="str">
        <f>IFERROR(VLOOKUP(D356,'KE PRB Summary Data'!A:U,15,FALSE),"")&amp;CHAR(10)</f>
        <v xml:space="preserve">
</v>
      </c>
    </row>
    <row r="359" spans="1:4" ht="30" hidden="1" x14ac:dyDescent="0.25">
      <c r="C359" s="49" t="s">
        <v>89</v>
      </c>
      <c r="D359" s="48" t="str">
        <f>IFERROR(VLOOKUP(D356,'KE PRB Summary Data'!A:U,11,FALSE),"")&amp;CHAR(10)</f>
        <v xml:space="preserve">
</v>
      </c>
    </row>
    <row r="360" spans="1:4" ht="30" hidden="1" x14ac:dyDescent="0.25">
      <c r="C360" s="49" t="s">
        <v>90</v>
      </c>
      <c r="D360" s="48" t="str">
        <f>IFERROR(VLOOKUP(D356,'KE PRB Summary Data'!A:U,12,FALSE),"")&amp;CHAR(10)</f>
        <v xml:space="preserve">
</v>
      </c>
    </row>
    <row r="361" spans="1:4" ht="30.75" hidden="1" thickBot="1" x14ac:dyDescent="0.3">
      <c r="C361" s="51" t="s">
        <v>49</v>
      </c>
      <c r="D361" s="52" t="str">
        <f>IFERROR(VLOOKUP(D356,'KE PRB Summary Data'!A:U,16,FALSE),"")&amp;CHAR(10)</f>
        <v xml:space="preserve">
</v>
      </c>
    </row>
    <row r="362" spans="1:4" ht="15.75" hidden="1" thickBot="1" x14ac:dyDescent="0.3">
      <c r="C362" s="65"/>
      <c r="D362" s="66"/>
    </row>
    <row r="363" spans="1:4" hidden="1" x14ac:dyDescent="0.25">
      <c r="A363" s="160" t="str">
        <f>IF(D363&lt;&gt;"","Comp","Blank")</f>
        <v>Blank</v>
      </c>
      <c r="C363" s="45" t="s">
        <v>87</v>
      </c>
      <c r="D363" s="46" t="str">
        <f>IF('KE PRB Summary Data'!A53&lt;&gt;"",('KE PRB Summary Data'!A53),"")</f>
        <v/>
      </c>
    </row>
    <row r="364" spans="1:4" hidden="1" x14ac:dyDescent="0.25">
      <c r="C364" s="49" t="s">
        <v>47</v>
      </c>
      <c r="D364" s="50" t="str">
        <f>IFERROR(VLOOKUP(D363,'KE PRB Summary Data'!A:U,6,FALSE),"")</f>
        <v/>
      </c>
    </row>
    <row r="365" spans="1:4" ht="30" hidden="1" x14ac:dyDescent="0.25">
      <c r="C365" s="49" t="s">
        <v>88</v>
      </c>
      <c r="D365" s="48" t="str">
        <f>IFERROR(VLOOKUP(D363,'KE PRB Summary Data'!A:U,15,FALSE),"")&amp;CHAR(10)</f>
        <v xml:space="preserve">
</v>
      </c>
    </row>
    <row r="366" spans="1:4" ht="30" hidden="1" x14ac:dyDescent="0.25">
      <c r="C366" s="49" t="s">
        <v>89</v>
      </c>
      <c r="D366" s="48" t="str">
        <f>IFERROR(VLOOKUP(D363,'KE PRB Summary Data'!A:U,11,FALSE),"")&amp;CHAR(10)</f>
        <v xml:space="preserve">
</v>
      </c>
    </row>
    <row r="367" spans="1:4" ht="30" hidden="1" x14ac:dyDescent="0.25">
      <c r="C367" s="49" t="s">
        <v>90</v>
      </c>
      <c r="D367" s="48" t="str">
        <f>IFERROR(VLOOKUP(D363,'KE PRB Summary Data'!A:U,12,FALSE),"")&amp;CHAR(10)</f>
        <v xml:space="preserve">
</v>
      </c>
    </row>
    <row r="368" spans="1:4" ht="30.75" hidden="1" thickBot="1" x14ac:dyDescent="0.3">
      <c r="C368" s="51" t="s">
        <v>49</v>
      </c>
      <c r="D368" s="52" t="str">
        <f>IFERROR(VLOOKUP(D363,'KE PRB Summary Data'!A:U,16,FALSE),"")&amp;CHAR(10)</f>
        <v xml:space="preserve">
</v>
      </c>
    </row>
    <row r="369" spans="1:4" ht="15.75" hidden="1" thickBot="1" x14ac:dyDescent="0.3">
      <c r="C369" s="65"/>
      <c r="D369" s="66"/>
    </row>
    <row r="370" spans="1:4" hidden="1" x14ac:dyDescent="0.25">
      <c r="A370" s="160" t="str">
        <f>IF(D370&lt;&gt;"","Comp","Blank")</f>
        <v>Blank</v>
      </c>
      <c r="C370" s="45" t="s">
        <v>87</v>
      </c>
      <c r="D370" s="46" t="str">
        <f>IF('KE PRB Summary Data'!A54&lt;&gt;"",('KE PRB Summary Data'!A54),"")</f>
        <v/>
      </c>
    </row>
    <row r="371" spans="1:4" hidden="1" x14ac:dyDescent="0.25">
      <c r="C371" s="49" t="s">
        <v>47</v>
      </c>
      <c r="D371" s="50" t="str">
        <f>IFERROR(VLOOKUP(D370,'KE PRB Summary Data'!A:U,6,FALSE),"")</f>
        <v/>
      </c>
    </row>
    <row r="372" spans="1:4" ht="30" hidden="1" x14ac:dyDescent="0.25">
      <c r="C372" s="49" t="s">
        <v>88</v>
      </c>
      <c r="D372" s="48" t="str">
        <f>IFERROR(VLOOKUP(D370,'KE PRB Summary Data'!A:U,15,FALSE),"")&amp;CHAR(10)</f>
        <v xml:space="preserve">
</v>
      </c>
    </row>
    <row r="373" spans="1:4" ht="30" hidden="1" x14ac:dyDescent="0.25">
      <c r="C373" s="49" t="s">
        <v>89</v>
      </c>
      <c r="D373" s="48" t="str">
        <f>IFERROR(VLOOKUP(D370,'KE PRB Summary Data'!A:U,11,FALSE),"")&amp;CHAR(10)</f>
        <v xml:space="preserve">
</v>
      </c>
    </row>
    <row r="374" spans="1:4" ht="30" hidden="1" x14ac:dyDescent="0.25">
      <c r="C374" s="49" t="s">
        <v>90</v>
      </c>
      <c r="D374" s="48" t="str">
        <f>IFERROR(VLOOKUP(D370,'KE PRB Summary Data'!A:U,12,FALSE),"")&amp;CHAR(10)</f>
        <v xml:space="preserve">
</v>
      </c>
    </row>
    <row r="375" spans="1:4" ht="30.75" hidden="1" thickBot="1" x14ac:dyDescent="0.3">
      <c r="C375" s="51" t="s">
        <v>49</v>
      </c>
      <c r="D375" s="52" t="str">
        <f>IFERROR(VLOOKUP(D370,'KE PRB Summary Data'!A:U,16,FALSE),"")&amp;CHAR(10)</f>
        <v xml:space="preserve">
</v>
      </c>
    </row>
    <row r="376" spans="1:4" ht="15.75" hidden="1" thickBot="1" x14ac:dyDescent="0.3">
      <c r="C376" s="65"/>
      <c r="D376" s="66"/>
    </row>
    <row r="377" spans="1:4" hidden="1" x14ac:dyDescent="0.25">
      <c r="A377" s="160" t="str">
        <f>IF(D377&lt;&gt;"","Comp","Blank")</f>
        <v>Blank</v>
      </c>
      <c r="C377" s="45" t="s">
        <v>87</v>
      </c>
      <c r="D377" s="46" t="str">
        <f>IF('KE PRB Summary Data'!A55&lt;&gt;"",('KE PRB Summary Data'!A55),"")</f>
        <v/>
      </c>
    </row>
    <row r="378" spans="1:4" hidden="1" x14ac:dyDescent="0.25">
      <c r="C378" s="49" t="s">
        <v>47</v>
      </c>
      <c r="D378" s="50" t="str">
        <f>IFERROR(VLOOKUP(D377,'KE PRB Summary Data'!A:U,6,FALSE),"")</f>
        <v/>
      </c>
    </row>
    <row r="379" spans="1:4" ht="30" hidden="1" x14ac:dyDescent="0.25">
      <c r="C379" s="49" t="s">
        <v>88</v>
      </c>
      <c r="D379" s="48" t="str">
        <f>IFERROR(VLOOKUP(D377,'KE PRB Summary Data'!A:U,15,FALSE),"")&amp;CHAR(10)</f>
        <v xml:space="preserve">
</v>
      </c>
    </row>
    <row r="380" spans="1:4" ht="30" hidden="1" x14ac:dyDescent="0.25">
      <c r="C380" s="49" t="s">
        <v>89</v>
      </c>
      <c r="D380" s="48" t="str">
        <f>IFERROR(VLOOKUP(D377,'KE PRB Summary Data'!A:U,11,FALSE),"")&amp;CHAR(10)</f>
        <v xml:space="preserve">
</v>
      </c>
    </row>
    <row r="381" spans="1:4" ht="30" hidden="1" x14ac:dyDescent="0.25">
      <c r="C381" s="49" t="s">
        <v>90</v>
      </c>
      <c r="D381" s="48" t="str">
        <f>IFERROR(VLOOKUP(D377,'KE PRB Summary Data'!A:U,12,FALSE),"")&amp;CHAR(10)</f>
        <v xml:space="preserve">
</v>
      </c>
    </row>
    <row r="382" spans="1:4" ht="30.75" hidden="1" thickBot="1" x14ac:dyDescent="0.3">
      <c r="C382" s="51" t="s">
        <v>49</v>
      </c>
      <c r="D382" s="52" t="str">
        <f>IFERROR(VLOOKUP(D377,'KE PRB Summary Data'!A:U,16,FALSE),"")&amp;CHAR(10)</f>
        <v xml:space="preserve">
</v>
      </c>
    </row>
    <row r="383" spans="1:4" ht="15.75" hidden="1" thickBot="1" x14ac:dyDescent="0.3">
      <c r="C383" s="65"/>
      <c r="D383" s="66"/>
    </row>
    <row r="384" spans="1:4" hidden="1" x14ac:dyDescent="0.25">
      <c r="A384" s="160" t="str">
        <f>IF(D384&lt;&gt;"","Comp","Blank")</f>
        <v>Blank</v>
      </c>
      <c r="C384" s="45" t="s">
        <v>87</v>
      </c>
      <c r="D384" s="46" t="str">
        <f>IF('KE PRB Summary Data'!A56&lt;&gt;"",('KE PRB Summary Data'!A56),"")</f>
        <v/>
      </c>
    </row>
    <row r="385" spans="1:4" hidden="1" x14ac:dyDescent="0.25">
      <c r="C385" s="49" t="s">
        <v>47</v>
      </c>
      <c r="D385" s="50" t="str">
        <f>IFERROR(VLOOKUP(D384,'KE PRB Summary Data'!A:U,6,FALSE),"")</f>
        <v/>
      </c>
    </row>
    <row r="386" spans="1:4" ht="30" hidden="1" x14ac:dyDescent="0.25">
      <c r="C386" s="49" t="s">
        <v>88</v>
      </c>
      <c r="D386" s="48" t="str">
        <f>IFERROR(VLOOKUP(D384,'KE PRB Summary Data'!A:U,15,FALSE),"")&amp;CHAR(10)</f>
        <v xml:space="preserve">
</v>
      </c>
    </row>
    <row r="387" spans="1:4" ht="30" hidden="1" x14ac:dyDescent="0.25">
      <c r="C387" s="49" t="s">
        <v>89</v>
      </c>
      <c r="D387" s="48" t="str">
        <f>IFERROR(VLOOKUP(D384,'KE PRB Summary Data'!A:U,11,FALSE),"")&amp;CHAR(10)</f>
        <v xml:space="preserve">
</v>
      </c>
    </row>
    <row r="388" spans="1:4" ht="30" hidden="1" x14ac:dyDescent="0.25">
      <c r="C388" s="49" t="s">
        <v>90</v>
      </c>
      <c r="D388" s="48" t="str">
        <f>IFERROR(VLOOKUP(D384,'KE PRB Summary Data'!A:U,12,FALSE),"")&amp;CHAR(10)</f>
        <v xml:space="preserve">
</v>
      </c>
    </row>
    <row r="389" spans="1:4" ht="30.75" hidden="1" thickBot="1" x14ac:dyDescent="0.3">
      <c r="C389" s="51" t="s">
        <v>49</v>
      </c>
      <c r="D389" s="52" t="str">
        <f>IFERROR(VLOOKUP(D384,'KE PRB Summary Data'!A:U,16,FALSE),"")&amp;CHAR(10)</f>
        <v xml:space="preserve">
</v>
      </c>
    </row>
    <row r="390" spans="1:4" ht="15.75" hidden="1" thickBot="1" x14ac:dyDescent="0.3">
      <c r="C390" s="65"/>
      <c r="D390" s="66"/>
    </row>
    <row r="391" spans="1:4" hidden="1" x14ac:dyDescent="0.25">
      <c r="A391" s="160" t="str">
        <f>IF(D391&lt;&gt;"","Comp","Blank")</f>
        <v>Blank</v>
      </c>
      <c r="C391" s="45" t="s">
        <v>87</v>
      </c>
      <c r="D391" s="46" t="str">
        <f>IF('KE PRB Summary Data'!A57&lt;&gt;"",('KE PRB Summary Data'!A57),"")</f>
        <v/>
      </c>
    </row>
    <row r="392" spans="1:4" hidden="1" x14ac:dyDescent="0.25">
      <c r="C392" s="49" t="s">
        <v>47</v>
      </c>
      <c r="D392" s="50" t="str">
        <f>IFERROR(VLOOKUP(D391,'KE PRB Summary Data'!A:U,6,FALSE),"")</f>
        <v/>
      </c>
    </row>
    <row r="393" spans="1:4" ht="30" hidden="1" x14ac:dyDescent="0.25">
      <c r="C393" s="49" t="s">
        <v>88</v>
      </c>
      <c r="D393" s="48" t="str">
        <f>IFERROR(VLOOKUP(D391,'KE PRB Summary Data'!A:U,15,FALSE),"")&amp;CHAR(10)</f>
        <v xml:space="preserve">
</v>
      </c>
    </row>
    <row r="394" spans="1:4" ht="30" hidden="1" x14ac:dyDescent="0.25">
      <c r="C394" s="49" t="s">
        <v>89</v>
      </c>
      <c r="D394" s="48" t="str">
        <f>IFERROR(VLOOKUP(D391,'KE PRB Summary Data'!A:U,11,FALSE),"")&amp;CHAR(10)</f>
        <v xml:space="preserve">
</v>
      </c>
    </row>
    <row r="395" spans="1:4" ht="30" hidden="1" x14ac:dyDescent="0.25">
      <c r="C395" s="49" t="s">
        <v>90</v>
      </c>
      <c r="D395" s="48" t="str">
        <f>IFERROR(VLOOKUP(D391,'KE PRB Summary Data'!A:U,12,FALSE),"")&amp;CHAR(10)</f>
        <v xml:space="preserve">
</v>
      </c>
    </row>
    <row r="396" spans="1:4" ht="30.75" hidden="1" thickBot="1" x14ac:dyDescent="0.3">
      <c r="C396" s="51" t="s">
        <v>49</v>
      </c>
      <c r="D396" s="52" t="str">
        <f>IFERROR(VLOOKUP(D391,'KE PRB Summary Data'!A:U,16,FALSE),"")&amp;CHAR(10)</f>
        <v xml:space="preserve">
</v>
      </c>
    </row>
    <row r="397" spans="1:4" hidden="1" x14ac:dyDescent="0.25">
      <c r="C397" s="65"/>
      <c r="D397" s="66"/>
    </row>
    <row r="398" spans="1:4" hidden="1" x14ac:dyDescent="0.25">
      <c r="A398" s="160" t="str">
        <f>IF(D398&lt;&gt;"","Comp","Blank")</f>
        <v>Blank</v>
      </c>
      <c r="C398" s="67" t="s">
        <v>87</v>
      </c>
      <c r="D398" s="68" t="str">
        <f>IF('KE PRB Summary Data'!A58&lt;&gt;"",('KE PRB Summary Data'!A58),"")</f>
        <v/>
      </c>
    </row>
    <row r="399" spans="1:4" hidden="1" x14ac:dyDescent="0.25">
      <c r="C399" s="67" t="s">
        <v>47</v>
      </c>
      <c r="D399" s="69" t="str">
        <f>IFERROR(VLOOKUP(D398,'KE PRB Summary Data'!A:U,6,FALSE),"")</f>
        <v/>
      </c>
    </row>
    <row r="400" spans="1:4" ht="30" hidden="1" x14ac:dyDescent="0.25">
      <c r="C400" s="67" t="s">
        <v>88</v>
      </c>
      <c r="D400" s="68" t="str">
        <f>IFERROR(VLOOKUP(D398,'KE PRB Summary Data'!A:U,15,FALSE),"")&amp;CHAR(10)</f>
        <v xml:space="preserve">
</v>
      </c>
    </row>
    <row r="401" spans="1:4" ht="30" hidden="1" x14ac:dyDescent="0.25">
      <c r="C401" s="67" t="s">
        <v>89</v>
      </c>
      <c r="D401" s="68" t="str">
        <f>IFERROR(VLOOKUP(D398,'KE PRB Summary Data'!A:U,11,FALSE),"")&amp;CHAR(10)</f>
        <v xml:space="preserve">
</v>
      </c>
    </row>
    <row r="402" spans="1:4" ht="30" hidden="1" x14ac:dyDescent="0.25">
      <c r="C402" s="67" t="s">
        <v>90</v>
      </c>
      <c r="D402" s="68" t="str">
        <f>IFERROR(VLOOKUP(D398,'KE PRB Summary Data'!A:U,12,FALSE),"")&amp;CHAR(10)</f>
        <v xml:space="preserve">
</v>
      </c>
    </row>
    <row r="403" spans="1:4" ht="30" hidden="1" x14ac:dyDescent="0.25">
      <c r="C403" s="67" t="s">
        <v>49</v>
      </c>
      <c r="D403" s="68" t="str">
        <f>IFERROR(VLOOKUP(D398,'KE PRB Summary Data'!A:U,16,FALSE),"")&amp;CHAR(10)</f>
        <v xml:space="preserve">
</v>
      </c>
    </row>
    <row r="404" spans="1:4" ht="15.75" hidden="1" thickBot="1" x14ac:dyDescent="0.3">
      <c r="C404" s="65"/>
      <c r="D404" s="66"/>
    </row>
    <row r="405" spans="1:4" hidden="1" x14ac:dyDescent="0.25">
      <c r="A405" s="160" t="str">
        <f>IF(D405&lt;&gt;"","Comp","Blank")</f>
        <v>Blank</v>
      </c>
      <c r="C405" s="45" t="s">
        <v>87</v>
      </c>
      <c r="D405" s="46" t="str">
        <f>IF('KE PRB Summary Data'!A59&lt;&gt;"",('KE PRB Summary Data'!A59),"")</f>
        <v/>
      </c>
    </row>
    <row r="406" spans="1:4" hidden="1" x14ac:dyDescent="0.25">
      <c r="C406" s="49" t="s">
        <v>47</v>
      </c>
      <c r="D406" s="50" t="str">
        <f>IFERROR(VLOOKUP(D405,'KE PRB Summary Data'!A:U,6,FALSE),"")</f>
        <v/>
      </c>
    </row>
    <row r="407" spans="1:4" ht="30" hidden="1" x14ac:dyDescent="0.25">
      <c r="C407" s="49" t="s">
        <v>88</v>
      </c>
      <c r="D407" s="48" t="str">
        <f>IFERROR(VLOOKUP(D405,'KE PRB Summary Data'!A:U,15,FALSE),"")&amp;CHAR(10)</f>
        <v xml:space="preserve">
</v>
      </c>
    </row>
    <row r="408" spans="1:4" ht="30" hidden="1" x14ac:dyDescent="0.25">
      <c r="C408" s="49" t="s">
        <v>89</v>
      </c>
      <c r="D408" s="48" t="str">
        <f>IFERROR(VLOOKUP(D405,'KE PRB Summary Data'!A:U,11,FALSE),"")&amp;CHAR(10)</f>
        <v xml:space="preserve">
</v>
      </c>
    </row>
    <row r="409" spans="1:4" ht="30" hidden="1" x14ac:dyDescent="0.25">
      <c r="C409" s="49" t="s">
        <v>90</v>
      </c>
      <c r="D409" s="48" t="str">
        <f>IFERROR(VLOOKUP(D405,'KE PRB Summary Data'!A:U,12,FALSE),"")&amp;CHAR(10)</f>
        <v xml:space="preserve">
</v>
      </c>
    </row>
    <row r="410" spans="1:4" ht="30.75" hidden="1" thickBot="1" x14ac:dyDescent="0.3">
      <c r="C410" s="51" t="s">
        <v>49</v>
      </c>
      <c r="D410" s="52" t="str">
        <f>IFERROR(VLOOKUP(D405,'KE PRB Summary Data'!A:U,16,FALSE),"")&amp;CHAR(10)</f>
        <v xml:space="preserve">
</v>
      </c>
    </row>
    <row r="411" spans="1:4" ht="15.75" hidden="1" thickBot="1" x14ac:dyDescent="0.3">
      <c r="C411" s="65"/>
      <c r="D411" s="66"/>
    </row>
    <row r="412" spans="1:4" hidden="1" x14ac:dyDescent="0.25">
      <c r="A412" s="160" t="str">
        <f>IF(D412&lt;&gt;"","Comp","Blank")</f>
        <v>Blank</v>
      </c>
      <c r="C412" s="45" t="s">
        <v>87</v>
      </c>
      <c r="D412" s="46" t="str">
        <f>IF('KE PRB Summary Data'!A60&lt;&gt;"",('KE PRB Summary Data'!A60),"")</f>
        <v/>
      </c>
    </row>
    <row r="413" spans="1:4" hidden="1" x14ac:dyDescent="0.25">
      <c r="C413" s="49" t="s">
        <v>47</v>
      </c>
      <c r="D413" s="50" t="str">
        <f>IFERROR(VLOOKUP(D412,'KE PRB Summary Data'!A:U,6,FALSE),"")</f>
        <v/>
      </c>
    </row>
    <row r="414" spans="1:4" ht="30" hidden="1" x14ac:dyDescent="0.25">
      <c r="C414" s="49" t="s">
        <v>88</v>
      </c>
      <c r="D414" s="48" t="str">
        <f>IFERROR(VLOOKUP(D412,'KE PRB Summary Data'!A:U,15,FALSE),"")&amp;CHAR(10)</f>
        <v xml:space="preserve">
</v>
      </c>
    </row>
    <row r="415" spans="1:4" ht="30" hidden="1" x14ac:dyDescent="0.25">
      <c r="C415" s="49" t="s">
        <v>89</v>
      </c>
      <c r="D415" s="48" t="str">
        <f>IFERROR(VLOOKUP(D412,'KE PRB Summary Data'!A:U,11,FALSE),"")&amp;CHAR(10)</f>
        <v xml:space="preserve">
</v>
      </c>
    </row>
    <row r="416" spans="1:4" ht="30" hidden="1" x14ac:dyDescent="0.25">
      <c r="C416" s="49" t="s">
        <v>90</v>
      </c>
      <c r="D416" s="48" t="str">
        <f>IFERROR(VLOOKUP(D412,'KE PRB Summary Data'!A:U,12,FALSE),"")&amp;CHAR(10)</f>
        <v xml:space="preserve">
</v>
      </c>
    </row>
    <row r="417" spans="1:4" ht="30.75" hidden="1" thickBot="1" x14ac:dyDescent="0.3">
      <c r="C417" s="51" t="s">
        <v>49</v>
      </c>
      <c r="D417" s="52" t="str">
        <f>IFERROR(VLOOKUP(D412,'KE PRB Summary Data'!A:U,16,FALSE),"")&amp;CHAR(10)</f>
        <v xml:space="preserve">
</v>
      </c>
    </row>
    <row r="418" spans="1:4" ht="15.75" hidden="1" thickBot="1" x14ac:dyDescent="0.3">
      <c r="C418" s="65"/>
      <c r="D418" s="66"/>
    </row>
    <row r="419" spans="1:4" hidden="1" x14ac:dyDescent="0.25">
      <c r="A419" s="160" t="str">
        <f>IF(D419&lt;&gt;"","Comp","Blank")</f>
        <v>Blank</v>
      </c>
      <c r="C419" s="45" t="s">
        <v>87</v>
      </c>
      <c r="D419" s="46" t="str">
        <f>IF('KE PRB Summary Data'!A61&lt;&gt;"",('KE PRB Summary Data'!A61),"")</f>
        <v/>
      </c>
    </row>
    <row r="420" spans="1:4" hidden="1" x14ac:dyDescent="0.25">
      <c r="C420" s="49" t="s">
        <v>47</v>
      </c>
      <c r="D420" s="50" t="str">
        <f>IFERROR(VLOOKUP(D419,'KE PRB Summary Data'!A:U,6,FALSE),"")</f>
        <v/>
      </c>
    </row>
    <row r="421" spans="1:4" ht="30" hidden="1" x14ac:dyDescent="0.25">
      <c r="C421" s="49" t="s">
        <v>88</v>
      </c>
      <c r="D421" s="48" t="str">
        <f>IFERROR(VLOOKUP(D419,'KE PRB Summary Data'!A:U,15,FALSE),"")&amp;CHAR(10)</f>
        <v xml:space="preserve">
</v>
      </c>
    </row>
    <row r="422" spans="1:4" ht="30" hidden="1" x14ac:dyDescent="0.25">
      <c r="C422" s="49" t="s">
        <v>89</v>
      </c>
      <c r="D422" s="48" t="str">
        <f>IFERROR(VLOOKUP(D419,'KE PRB Summary Data'!A:U,11,FALSE),"")&amp;CHAR(10)</f>
        <v xml:space="preserve">
</v>
      </c>
    </row>
    <row r="423" spans="1:4" ht="30" hidden="1" x14ac:dyDescent="0.25">
      <c r="C423" s="49" t="s">
        <v>90</v>
      </c>
      <c r="D423" s="48" t="str">
        <f>IFERROR(VLOOKUP(D419,'KE PRB Summary Data'!A:U,12,FALSE),"")&amp;CHAR(10)</f>
        <v xml:space="preserve">
</v>
      </c>
    </row>
    <row r="424" spans="1:4" ht="30.75" hidden="1" thickBot="1" x14ac:dyDescent="0.3">
      <c r="C424" s="51" t="s">
        <v>49</v>
      </c>
      <c r="D424" s="52" t="str">
        <f>IFERROR(VLOOKUP(D419,'KE PRB Summary Data'!A:U,16,FALSE),"")&amp;CHAR(10)</f>
        <v xml:space="preserve">
</v>
      </c>
    </row>
    <row r="425" spans="1:4" ht="15.75" hidden="1" thickBot="1" x14ac:dyDescent="0.3">
      <c r="C425" s="65"/>
      <c r="D425" s="66"/>
    </row>
    <row r="426" spans="1:4" hidden="1" x14ac:dyDescent="0.25">
      <c r="A426" s="160" t="str">
        <f>IF(D426&lt;&gt;"","Comp","Blank")</f>
        <v>Blank</v>
      </c>
      <c r="C426" s="45" t="s">
        <v>87</v>
      </c>
      <c r="D426" s="46" t="str">
        <f>IF('KE PRB Summary Data'!A62&lt;&gt;"",('KE PRB Summary Data'!A62),"")</f>
        <v/>
      </c>
    </row>
    <row r="427" spans="1:4" hidden="1" x14ac:dyDescent="0.25">
      <c r="C427" s="49" t="s">
        <v>47</v>
      </c>
      <c r="D427" s="50" t="str">
        <f>IFERROR(VLOOKUP(D426,'KE PRB Summary Data'!A:U,6,FALSE),"")</f>
        <v/>
      </c>
    </row>
    <row r="428" spans="1:4" ht="30" hidden="1" x14ac:dyDescent="0.25">
      <c r="C428" s="49" t="s">
        <v>88</v>
      </c>
      <c r="D428" s="48" t="str">
        <f>IFERROR(VLOOKUP(D426,'KE PRB Summary Data'!A:U,15,FALSE),"")&amp;CHAR(10)</f>
        <v xml:space="preserve">
</v>
      </c>
    </row>
    <row r="429" spans="1:4" ht="30" hidden="1" x14ac:dyDescent="0.25">
      <c r="C429" s="49" t="s">
        <v>89</v>
      </c>
      <c r="D429" s="48" t="str">
        <f>IFERROR(VLOOKUP(D426,'KE PRB Summary Data'!A:U,11,FALSE),"")&amp;CHAR(10)</f>
        <v xml:space="preserve">
</v>
      </c>
    </row>
    <row r="430" spans="1:4" ht="30" hidden="1" x14ac:dyDescent="0.25">
      <c r="C430" s="49" t="s">
        <v>90</v>
      </c>
      <c r="D430" s="48" t="str">
        <f>IFERROR(VLOOKUP(D426,'KE PRB Summary Data'!A:U,12,FALSE),"")&amp;CHAR(10)</f>
        <v xml:space="preserve">
</v>
      </c>
    </row>
    <row r="431" spans="1:4" ht="30.75" hidden="1" thickBot="1" x14ac:dyDescent="0.3">
      <c r="C431" s="51" t="s">
        <v>49</v>
      </c>
      <c r="D431" s="52" t="str">
        <f>IFERROR(VLOOKUP(D426,'KE PRB Summary Data'!A:U,16,FALSE),"")&amp;CHAR(10)</f>
        <v xml:space="preserve">
</v>
      </c>
    </row>
    <row r="432" spans="1:4" ht="15.75" hidden="1" thickBot="1" x14ac:dyDescent="0.3">
      <c r="C432" s="65"/>
      <c r="D432" s="66"/>
    </row>
    <row r="433" spans="1:4" hidden="1" x14ac:dyDescent="0.25">
      <c r="A433" s="160" t="str">
        <f>IF(D433&lt;&gt;"","Comp","Blank")</f>
        <v>Blank</v>
      </c>
      <c r="C433" s="45" t="s">
        <v>87</v>
      </c>
      <c r="D433" s="46" t="str">
        <f>IF('KE PRB Summary Data'!A63&lt;&gt;"",('KE PRB Summary Data'!A63),"")</f>
        <v/>
      </c>
    </row>
    <row r="434" spans="1:4" hidden="1" x14ac:dyDescent="0.25">
      <c r="C434" s="49" t="s">
        <v>47</v>
      </c>
      <c r="D434" s="50" t="str">
        <f>IFERROR(VLOOKUP(D433,'KE PRB Summary Data'!A:U,6,FALSE),"")</f>
        <v/>
      </c>
    </row>
    <row r="435" spans="1:4" ht="30" hidden="1" x14ac:dyDescent="0.25">
      <c r="C435" s="49" t="s">
        <v>88</v>
      </c>
      <c r="D435" s="48" t="str">
        <f>IFERROR(VLOOKUP(D433,'KE PRB Summary Data'!A:U,15,FALSE),"")&amp;CHAR(10)</f>
        <v xml:space="preserve">
</v>
      </c>
    </row>
    <row r="436" spans="1:4" ht="30" hidden="1" x14ac:dyDescent="0.25">
      <c r="C436" s="49" t="s">
        <v>89</v>
      </c>
      <c r="D436" s="48" t="str">
        <f>IFERROR(VLOOKUP(D433,'KE PRB Summary Data'!A:U,11,FALSE),"")&amp;CHAR(10)</f>
        <v xml:space="preserve">
</v>
      </c>
    </row>
    <row r="437" spans="1:4" ht="30" hidden="1" x14ac:dyDescent="0.25">
      <c r="C437" s="49" t="s">
        <v>90</v>
      </c>
      <c r="D437" s="48" t="str">
        <f>IFERROR(VLOOKUP(D433,'KE PRB Summary Data'!A:U,12,FALSE),"")&amp;CHAR(10)</f>
        <v xml:space="preserve">
</v>
      </c>
    </row>
    <row r="438" spans="1:4" ht="30.75" hidden="1" thickBot="1" x14ac:dyDescent="0.3">
      <c r="C438" s="51" t="s">
        <v>49</v>
      </c>
      <c r="D438" s="52" t="str">
        <f>IFERROR(VLOOKUP(D433,'KE PRB Summary Data'!A:U,16,FALSE),"")&amp;CHAR(10)</f>
        <v xml:space="preserve">
</v>
      </c>
    </row>
    <row r="439" spans="1:4" ht="15.75" hidden="1" thickBot="1" x14ac:dyDescent="0.3">
      <c r="C439" s="65"/>
      <c r="D439" s="66"/>
    </row>
    <row r="440" spans="1:4" hidden="1" x14ac:dyDescent="0.25">
      <c r="A440" s="160" t="str">
        <f>IF(D440&lt;&gt;"","Comp","Blank")</f>
        <v>Blank</v>
      </c>
      <c r="C440" s="45" t="s">
        <v>87</v>
      </c>
      <c r="D440" s="46" t="str">
        <f>IF('KE PRB Summary Data'!A64&lt;&gt;"",('KE PRB Summary Data'!A64),"")</f>
        <v/>
      </c>
    </row>
    <row r="441" spans="1:4" hidden="1" x14ac:dyDescent="0.25">
      <c r="C441" s="49" t="s">
        <v>47</v>
      </c>
      <c r="D441" s="50" t="str">
        <f>IFERROR(VLOOKUP(D440,'KE PRB Summary Data'!A:U,6,FALSE),"")</f>
        <v/>
      </c>
    </row>
    <row r="442" spans="1:4" ht="30" hidden="1" x14ac:dyDescent="0.25">
      <c r="C442" s="49" t="s">
        <v>88</v>
      </c>
      <c r="D442" s="48" t="str">
        <f>IFERROR(VLOOKUP(D440,'KE PRB Summary Data'!A:U,15,FALSE),"")&amp;CHAR(10)</f>
        <v xml:space="preserve">
</v>
      </c>
    </row>
    <row r="443" spans="1:4" ht="30" hidden="1" x14ac:dyDescent="0.25">
      <c r="C443" s="49" t="s">
        <v>89</v>
      </c>
      <c r="D443" s="48" t="str">
        <f>IFERROR(VLOOKUP(D440,'KE PRB Summary Data'!A:U,11,FALSE),"")&amp;CHAR(10)</f>
        <v xml:space="preserve">
</v>
      </c>
    </row>
    <row r="444" spans="1:4" ht="30" hidden="1" x14ac:dyDescent="0.25">
      <c r="C444" s="49" t="s">
        <v>90</v>
      </c>
      <c r="D444" s="48" t="str">
        <f>IFERROR(VLOOKUP(D440,'KE PRB Summary Data'!A:U,12,FALSE),"")&amp;CHAR(10)</f>
        <v xml:space="preserve">
</v>
      </c>
    </row>
    <row r="445" spans="1:4" ht="30.75" hidden="1" thickBot="1" x14ac:dyDescent="0.3">
      <c r="C445" s="51" t="s">
        <v>49</v>
      </c>
      <c r="D445" s="52" t="str">
        <f>IFERROR(VLOOKUP(D440,'KE PRB Summary Data'!A:U,16,FALSE),"")&amp;CHAR(10)</f>
        <v xml:space="preserve">
</v>
      </c>
    </row>
    <row r="446" spans="1:4" ht="15.75" hidden="1" thickBot="1" x14ac:dyDescent="0.3">
      <c r="C446" s="65"/>
      <c r="D446" s="66"/>
    </row>
    <row r="447" spans="1:4" hidden="1" x14ac:dyDescent="0.25">
      <c r="A447" s="160" t="str">
        <f>IF(D447&lt;&gt;"","Comp","Blank")</f>
        <v>Blank</v>
      </c>
      <c r="C447" s="45" t="s">
        <v>87</v>
      </c>
      <c r="D447" s="46" t="str">
        <f>IF('KE PRB Summary Data'!A65&lt;&gt;"",('KE PRB Summary Data'!A65),"")</f>
        <v/>
      </c>
    </row>
    <row r="448" spans="1:4" hidden="1" x14ac:dyDescent="0.25">
      <c r="C448" s="49" t="s">
        <v>47</v>
      </c>
      <c r="D448" s="50" t="str">
        <f>IFERROR(VLOOKUP(D447,'KE PRB Summary Data'!A:U,6,FALSE),"")</f>
        <v/>
      </c>
    </row>
    <row r="449" spans="1:4" ht="30" hidden="1" x14ac:dyDescent="0.25">
      <c r="C449" s="49" t="s">
        <v>88</v>
      </c>
      <c r="D449" s="48" t="str">
        <f>IFERROR(VLOOKUP(D447,'KE PRB Summary Data'!A:U,15,FALSE),"")&amp;CHAR(10)</f>
        <v xml:space="preserve">
</v>
      </c>
    </row>
    <row r="450" spans="1:4" ht="30" hidden="1" x14ac:dyDescent="0.25">
      <c r="C450" s="49" t="s">
        <v>89</v>
      </c>
      <c r="D450" s="48" t="str">
        <f>IFERROR(VLOOKUP(D447,'KE PRB Summary Data'!A:U,11,FALSE),"")&amp;CHAR(10)</f>
        <v xml:space="preserve">
</v>
      </c>
    </row>
    <row r="451" spans="1:4" ht="30" hidden="1" x14ac:dyDescent="0.25">
      <c r="C451" s="49" t="s">
        <v>90</v>
      </c>
      <c r="D451" s="48" t="str">
        <f>IFERROR(VLOOKUP(D447,'KE PRB Summary Data'!A:U,12,FALSE),"")&amp;CHAR(10)</f>
        <v xml:space="preserve">
</v>
      </c>
    </row>
    <row r="452" spans="1:4" ht="30.75" hidden="1" thickBot="1" x14ac:dyDescent="0.3">
      <c r="C452" s="51" t="s">
        <v>49</v>
      </c>
      <c r="D452" s="52" t="str">
        <f>IFERROR(VLOOKUP(D447,'KE PRB Summary Data'!A:U,16,FALSE),"")&amp;CHAR(10)</f>
        <v xml:space="preserve">
</v>
      </c>
    </row>
    <row r="453" spans="1:4" ht="15.75" hidden="1" thickBot="1" x14ac:dyDescent="0.3">
      <c r="C453" s="65"/>
      <c r="D453" s="66"/>
    </row>
    <row r="454" spans="1:4" hidden="1" x14ac:dyDescent="0.25">
      <c r="A454" s="160" t="str">
        <f>IF(D454&lt;&gt;"","Comp","Blank")</f>
        <v>Blank</v>
      </c>
      <c r="C454" s="45" t="s">
        <v>87</v>
      </c>
      <c r="D454" s="46" t="str">
        <f>IF('KE PRB Summary Data'!A66&lt;&gt;"",('KE PRB Summary Data'!A66),"")</f>
        <v/>
      </c>
    </row>
    <row r="455" spans="1:4" hidden="1" x14ac:dyDescent="0.25">
      <c r="C455" s="49" t="s">
        <v>47</v>
      </c>
      <c r="D455" s="50" t="str">
        <f>IFERROR(VLOOKUP(D454,'KE PRB Summary Data'!A:U,6,FALSE),"")</f>
        <v/>
      </c>
    </row>
    <row r="456" spans="1:4" ht="30" hidden="1" x14ac:dyDescent="0.25">
      <c r="C456" s="49" t="s">
        <v>88</v>
      </c>
      <c r="D456" s="48" t="str">
        <f>IFERROR(VLOOKUP(D454,'KE PRB Summary Data'!A:U,15,FALSE),"")&amp;CHAR(10)</f>
        <v xml:space="preserve">
</v>
      </c>
    </row>
    <row r="457" spans="1:4" ht="30" hidden="1" x14ac:dyDescent="0.25">
      <c r="C457" s="49" t="s">
        <v>89</v>
      </c>
      <c r="D457" s="48" t="str">
        <f>IFERROR(VLOOKUP(D454,'KE PRB Summary Data'!A:U,11,FALSE),"")&amp;CHAR(10)</f>
        <v xml:space="preserve">
</v>
      </c>
    </row>
    <row r="458" spans="1:4" ht="30" hidden="1" x14ac:dyDescent="0.25">
      <c r="C458" s="49" t="s">
        <v>90</v>
      </c>
      <c r="D458" s="48" t="str">
        <f>IFERROR(VLOOKUP(D454,'KE PRB Summary Data'!A:U,12,FALSE),"")&amp;CHAR(10)</f>
        <v xml:space="preserve">
</v>
      </c>
    </row>
    <row r="459" spans="1:4" ht="30.75" hidden="1" thickBot="1" x14ac:dyDescent="0.3">
      <c r="C459" s="51" t="s">
        <v>49</v>
      </c>
      <c r="D459" s="52" t="str">
        <f>IFERROR(VLOOKUP(D454,'KE PRB Summary Data'!A:U,16,FALSE),"")&amp;CHAR(10)</f>
        <v xml:space="preserve">
</v>
      </c>
    </row>
    <row r="460" spans="1:4" ht="15.75" hidden="1" thickBot="1" x14ac:dyDescent="0.3">
      <c r="C460" s="65"/>
      <c r="D460" s="66"/>
    </row>
    <row r="461" spans="1:4" hidden="1" x14ac:dyDescent="0.25">
      <c r="A461" s="160" t="str">
        <f>IF(D461&lt;&gt;"","Comp","Blank")</f>
        <v>Blank</v>
      </c>
      <c r="C461" s="45" t="s">
        <v>87</v>
      </c>
      <c r="D461" s="46" t="str">
        <f>IF('KE PRB Summary Data'!A67&lt;&gt;"",('KE PRB Summary Data'!A67),"")</f>
        <v/>
      </c>
    </row>
    <row r="462" spans="1:4" hidden="1" x14ac:dyDescent="0.25">
      <c r="C462" s="49" t="s">
        <v>47</v>
      </c>
      <c r="D462" s="50" t="str">
        <f>IFERROR(VLOOKUP(D461,'KE PRB Summary Data'!A:U,6,FALSE),"")</f>
        <v/>
      </c>
    </row>
    <row r="463" spans="1:4" ht="30" hidden="1" x14ac:dyDescent="0.25">
      <c r="C463" s="49" t="s">
        <v>88</v>
      </c>
      <c r="D463" s="48" t="str">
        <f>IFERROR(VLOOKUP(D461,'KE PRB Summary Data'!A:U,15,FALSE),"")&amp;CHAR(10)</f>
        <v xml:space="preserve">
</v>
      </c>
    </row>
    <row r="464" spans="1:4" ht="30" hidden="1" x14ac:dyDescent="0.25">
      <c r="C464" s="49" t="s">
        <v>89</v>
      </c>
      <c r="D464" s="48" t="str">
        <f>IFERROR(VLOOKUP(D461,'KE PRB Summary Data'!A:U,11,FALSE),"")&amp;CHAR(10)</f>
        <v xml:space="preserve">
</v>
      </c>
    </row>
    <row r="465" spans="1:4" ht="30" hidden="1" x14ac:dyDescent="0.25">
      <c r="C465" s="49" t="s">
        <v>90</v>
      </c>
      <c r="D465" s="48" t="str">
        <f>IFERROR(VLOOKUP(D461,'KE PRB Summary Data'!A:U,12,FALSE),"")&amp;CHAR(10)</f>
        <v xml:space="preserve">
</v>
      </c>
    </row>
    <row r="466" spans="1:4" ht="30.75" hidden="1" thickBot="1" x14ac:dyDescent="0.3">
      <c r="C466" s="51" t="s">
        <v>49</v>
      </c>
      <c r="D466" s="52" t="str">
        <f>IFERROR(VLOOKUP(D461,'KE PRB Summary Data'!A:U,16,FALSE),"")&amp;CHAR(10)</f>
        <v xml:space="preserve">
</v>
      </c>
    </row>
    <row r="467" spans="1:4" ht="15.75" hidden="1" thickBot="1" x14ac:dyDescent="0.3">
      <c r="C467" s="65"/>
      <c r="D467" s="66"/>
    </row>
    <row r="468" spans="1:4" hidden="1" x14ac:dyDescent="0.25">
      <c r="A468" s="160" t="str">
        <f>IF(D468&lt;&gt;"","Comp","Blank")</f>
        <v>Blank</v>
      </c>
      <c r="C468" s="45" t="s">
        <v>87</v>
      </c>
      <c r="D468" s="46" t="str">
        <f>IF('KE PRB Summary Data'!A68&lt;&gt;"",('KE PRB Summary Data'!A68),"")</f>
        <v/>
      </c>
    </row>
    <row r="469" spans="1:4" hidden="1" x14ac:dyDescent="0.25">
      <c r="C469" s="49" t="s">
        <v>47</v>
      </c>
      <c r="D469" s="50" t="str">
        <f>IFERROR(VLOOKUP(D468,'KE PRB Summary Data'!A:U,6,FALSE),"")</f>
        <v/>
      </c>
    </row>
    <row r="470" spans="1:4" ht="30" hidden="1" x14ac:dyDescent="0.25">
      <c r="C470" s="49" t="s">
        <v>88</v>
      </c>
      <c r="D470" s="48" t="str">
        <f>IFERROR(VLOOKUP(D468,'KE PRB Summary Data'!A:U,15,FALSE),"")&amp;CHAR(10)</f>
        <v xml:space="preserve">
</v>
      </c>
    </row>
    <row r="471" spans="1:4" ht="30" hidden="1" x14ac:dyDescent="0.25">
      <c r="C471" s="49" t="s">
        <v>89</v>
      </c>
      <c r="D471" s="48" t="str">
        <f>IFERROR(VLOOKUP(D468,'KE PRB Summary Data'!A:U,11,FALSE),"")&amp;CHAR(10)</f>
        <v xml:space="preserve">
</v>
      </c>
    </row>
    <row r="472" spans="1:4" ht="30" hidden="1" x14ac:dyDescent="0.25">
      <c r="C472" s="49" t="s">
        <v>90</v>
      </c>
      <c r="D472" s="48" t="str">
        <f>IFERROR(VLOOKUP(D468,'KE PRB Summary Data'!A:U,12,FALSE),"")&amp;CHAR(10)</f>
        <v xml:space="preserve">
</v>
      </c>
    </row>
    <row r="473" spans="1:4" ht="30.75" hidden="1" thickBot="1" x14ac:dyDescent="0.3">
      <c r="C473" s="51" t="s">
        <v>49</v>
      </c>
      <c r="D473" s="52" t="str">
        <f>IFERROR(VLOOKUP(D468,'KE PRB Summary Data'!A:U,16,FALSE),"")&amp;CHAR(10)</f>
        <v xml:space="preserve">
</v>
      </c>
    </row>
    <row r="474" spans="1:4" ht="15.75" hidden="1" thickBot="1" x14ac:dyDescent="0.3">
      <c r="C474" s="65"/>
      <c r="D474" s="66"/>
    </row>
    <row r="475" spans="1:4" hidden="1" x14ac:dyDescent="0.25">
      <c r="A475" s="160" t="str">
        <f>IF(D475&lt;&gt;"","Comp","Blank")</f>
        <v>Blank</v>
      </c>
      <c r="C475" s="45" t="s">
        <v>87</v>
      </c>
      <c r="D475" s="46" t="str">
        <f>IF('KE PRB Summary Data'!A69&lt;&gt;"",('KE PRB Summary Data'!A69),"")</f>
        <v/>
      </c>
    </row>
    <row r="476" spans="1:4" hidden="1" x14ac:dyDescent="0.25">
      <c r="C476" s="49" t="s">
        <v>47</v>
      </c>
      <c r="D476" s="50" t="str">
        <f>IFERROR(VLOOKUP(D475,'KE PRB Summary Data'!A:U,6,FALSE),"")</f>
        <v/>
      </c>
    </row>
    <row r="477" spans="1:4" ht="30" hidden="1" x14ac:dyDescent="0.25">
      <c r="C477" s="49" t="s">
        <v>88</v>
      </c>
      <c r="D477" s="48" t="str">
        <f>IFERROR(VLOOKUP(D475,'KE PRB Summary Data'!A:U,15,FALSE),"")&amp;CHAR(10)</f>
        <v xml:space="preserve">
</v>
      </c>
    </row>
    <row r="478" spans="1:4" ht="30" hidden="1" x14ac:dyDescent="0.25">
      <c r="C478" s="49" t="s">
        <v>89</v>
      </c>
      <c r="D478" s="48" t="str">
        <f>IFERROR(VLOOKUP(D475,'KE PRB Summary Data'!A:U,11,FALSE),"")&amp;CHAR(10)</f>
        <v xml:space="preserve">
</v>
      </c>
    </row>
    <row r="479" spans="1:4" ht="30" hidden="1" x14ac:dyDescent="0.25">
      <c r="C479" s="49" t="s">
        <v>90</v>
      </c>
      <c r="D479" s="48" t="str">
        <f>IFERROR(VLOOKUP(D475,'KE PRB Summary Data'!A:U,12,FALSE),"")&amp;CHAR(10)</f>
        <v xml:space="preserve">
</v>
      </c>
    </row>
    <row r="480" spans="1:4" ht="30.75" hidden="1" thickBot="1" x14ac:dyDescent="0.3">
      <c r="C480" s="51" t="s">
        <v>49</v>
      </c>
      <c r="D480" s="52" t="str">
        <f>IFERROR(VLOOKUP(D475,'KE PRB Summary Data'!A:U,16,FALSE),"")&amp;CHAR(10)</f>
        <v xml:space="preserve">
</v>
      </c>
    </row>
    <row r="481" spans="1:4" ht="15.75" hidden="1" thickBot="1" x14ac:dyDescent="0.3">
      <c r="C481" s="65"/>
      <c r="D481" s="66"/>
    </row>
    <row r="482" spans="1:4" hidden="1" x14ac:dyDescent="0.25">
      <c r="A482" s="160" t="str">
        <f>IF(D482&lt;&gt;"","Comp","Blank")</f>
        <v>Blank</v>
      </c>
      <c r="C482" s="45" t="s">
        <v>87</v>
      </c>
      <c r="D482" s="46" t="str">
        <f>IF('KE PRB Summary Data'!A70&lt;&gt;"",('KE PRB Summary Data'!A70),"")</f>
        <v/>
      </c>
    </row>
    <row r="483" spans="1:4" hidden="1" x14ac:dyDescent="0.25">
      <c r="C483" s="49" t="s">
        <v>47</v>
      </c>
      <c r="D483" s="50" t="str">
        <f>IFERROR(VLOOKUP(D482,'KE PRB Summary Data'!A:U,6,FALSE),"")</f>
        <v/>
      </c>
    </row>
    <row r="484" spans="1:4" ht="30" hidden="1" x14ac:dyDescent="0.25">
      <c r="C484" s="49" t="s">
        <v>88</v>
      </c>
      <c r="D484" s="48" t="str">
        <f>IFERROR(VLOOKUP(D482,'KE PRB Summary Data'!A:U,15,FALSE),"")&amp;CHAR(10)</f>
        <v xml:space="preserve">
</v>
      </c>
    </row>
    <row r="485" spans="1:4" ht="30" hidden="1" x14ac:dyDescent="0.25">
      <c r="C485" s="49" t="s">
        <v>89</v>
      </c>
      <c r="D485" s="48" t="str">
        <f>IFERROR(VLOOKUP(D482,'KE PRB Summary Data'!A:U,11,FALSE),"")&amp;CHAR(10)</f>
        <v xml:space="preserve">
</v>
      </c>
    </row>
    <row r="486" spans="1:4" ht="30" hidden="1" x14ac:dyDescent="0.25">
      <c r="C486" s="49" t="s">
        <v>90</v>
      </c>
      <c r="D486" s="48" t="str">
        <f>IFERROR(VLOOKUP(D482,'KE PRB Summary Data'!A:U,12,FALSE),"")&amp;CHAR(10)</f>
        <v xml:space="preserve">
</v>
      </c>
    </row>
    <row r="487" spans="1:4" ht="30.75" hidden="1" thickBot="1" x14ac:dyDescent="0.3">
      <c r="C487" s="51" t="s">
        <v>49</v>
      </c>
      <c r="D487" s="52" t="str">
        <f>IFERROR(VLOOKUP(D482,'KE PRB Summary Data'!A:U,16,FALSE),"")&amp;CHAR(10)</f>
        <v xml:space="preserve">
</v>
      </c>
    </row>
    <row r="488" spans="1:4" ht="15.75" hidden="1" thickBot="1" x14ac:dyDescent="0.3">
      <c r="C488" s="65"/>
      <c r="D488" s="66"/>
    </row>
    <row r="489" spans="1:4" hidden="1" x14ac:dyDescent="0.25">
      <c r="A489" s="160" t="str">
        <f>IF(D489&lt;&gt;"","Comp","Blank")</f>
        <v>Blank</v>
      </c>
      <c r="C489" s="45" t="s">
        <v>87</v>
      </c>
      <c r="D489" s="46" t="str">
        <f>IF('KE PRB Summary Data'!A71&lt;&gt;"",('KE PRB Summary Data'!A71),"")</f>
        <v/>
      </c>
    </row>
    <row r="490" spans="1:4" hidden="1" x14ac:dyDescent="0.25">
      <c r="C490" s="49" t="s">
        <v>47</v>
      </c>
      <c r="D490" s="50" t="str">
        <f>IFERROR(VLOOKUP(D489,'KE PRB Summary Data'!A:U,6,FALSE),"")</f>
        <v/>
      </c>
    </row>
    <row r="491" spans="1:4" ht="30" hidden="1" x14ac:dyDescent="0.25">
      <c r="C491" s="49" t="s">
        <v>88</v>
      </c>
      <c r="D491" s="48" t="str">
        <f>IFERROR(VLOOKUP(D489,'KE PRB Summary Data'!A:U,15,FALSE),"")&amp;CHAR(10)</f>
        <v xml:space="preserve">
</v>
      </c>
    </row>
    <row r="492" spans="1:4" ht="30" hidden="1" x14ac:dyDescent="0.25">
      <c r="C492" s="49" t="s">
        <v>89</v>
      </c>
      <c r="D492" s="48" t="str">
        <f>IFERROR(VLOOKUP(D489,'KE PRB Summary Data'!A:U,11,FALSE),"")&amp;CHAR(10)</f>
        <v xml:space="preserve">
</v>
      </c>
    </row>
    <row r="493" spans="1:4" ht="30" hidden="1" x14ac:dyDescent="0.25">
      <c r="C493" s="49" t="s">
        <v>90</v>
      </c>
      <c r="D493" s="48" t="str">
        <f>IFERROR(VLOOKUP(D489,'KE PRB Summary Data'!A:U,12,FALSE),"")&amp;CHAR(10)</f>
        <v xml:space="preserve">
</v>
      </c>
    </row>
    <row r="494" spans="1:4" ht="30.75" hidden="1" thickBot="1" x14ac:dyDescent="0.3">
      <c r="C494" s="51" t="s">
        <v>49</v>
      </c>
      <c r="D494" s="52" t="str">
        <f>IFERROR(VLOOKUP(D489,'KE PRB Summary Data'!A:U,16,FALSE),"")&amp;CHAR(10)</f>
        <v xml:space="preserve">
</v>
      </c>
    </row>
    <row r="495" spans="1:4" ht="15.75" hidden="1" thickBot="1" x14ac:dyDescent="0.3">
      <c r="C495" s="65"/>
      <c r="D495" s="66"/>
    </row>
    <row r="496" spans="1:4" hidden="1" x14ac:dyDescent="0.25">
      <c r="A496" s="160" t="str">
        <f>IF(D496&lt;&gt;"","Comp","Blank")</f>
        <v>Blank</v>
      </c>
      <c r="C496" s="45" t="s">
        <v>87</v>
      </c>
      <c r="D496" s="46" t="str">
        <f>IF('KE PRB Summary Data'!A72&lt;&gt;"",('KE PRB Summary Data'!A72),"")</f>
        <v/>
      </c>
    </row>
    <row r="497" spans="1:4" hidden="1" x14ac:dyDescent="0.25">
      <c r="C497" s="49" t="s">
        <v>47</v>
      </c>
      <c r="D497" s="50" t="str">
        <f>IFERROR(VLOOKUP(D496,'KE PRB Summary Data'!A:U,6,FALSE),"")</f>
        <v/>
      </c>
    </row>
    <row r="498" spans="1:4" ht="30" hidden="1" x14ac:dyDescent="0.25">
      <c r="C498" s="49" t="s">
        <v>88</v>
      </c>
      <c r="D498" s="48" t="str">
        <f>IFERROR(VLOOKUP(D496,'KE PRB Summary Data'!A:U,15,FALSE),"")&amp;CHAR(10)</f>
        <v xml:space="preserve">
</v>
      </c>
    </row>
    <row r="499" spans="1:4" ht="30" hidden="1" x14ac:dyDescent="0.25">
      <c r="C499" s="49" t="s">
        <v>89</v>
      </c>
      <c r="D499" s="48" t="str">
        <f>IFERROR(VLOOKUP(D496,'KE PRB Summary Data'!A:U,11,FALSE),"")&amp;CHAR(10)</f>
        <v xml:space="preserve">
</v>
      </c>
    </row>
    <row r="500" spans="1:4" ht="30" hidden="1" x14ac:dyDescent="0.25">
      <c r="C500" s="49" t="s">
        <v>90</v>
      </c>
      <c r="D500" s="48" t="str">
        <f>IFERROR(VLOOKUP(D496,'KE PRB Summary Data'!A:U,12,FALSE),"")&amp;CHAR(10)</f>
        <v xml:space="preserve">
</v>
      </c>
    </row>
    <row r="501" spans="1:4" ht="30.75" hidden="1" thickBot="1" x14ac:dyDescent="0.3">
      <c r="C501" s="51" t="s">
        <v>49</v>
      </c>
      <c r="D501" s="52" t="str">
        <f>IFERROR(VLOOKUP(D496,'KE PRB Summary Data'!A:U,16,FALSE),"")&amp;CHAR(10)</f>
        <v xml:space="preserve">
</v>
      </c>
    </row>
    <row r="502" spans="1:4" ht="15.75" hidden="1" thickBot="1" x14ac:dyDescent="0.3">
      <c r="C502" s="65"/>
      <c r="D502" s="66"/>
    </row>
    <row r="503" spans="1:4" hidden="1" x14ac:dyDescent="0.25">
      <c r="A503" s="160" t="str">
        <f>IF(D503&lt;&gt;"","Comp","Blank")</f>
        <v>Blank</v>
      </c>
      <c r="C503" s="45" t="s">
        <v>87</v>
      </c>
      <c r="D503" s="46" t="str">
        <f>IF('KE PRB Summary Data'!A73&lt;&gt;"",('KE PRB Summary Data'!A73),"")</f>
        <v/>
      </c>
    </row>
    <row r="504" spans="1:4" hidden="1" x14ac:dyDescent="0.25">
      <c r="C504" s="49" t="s">
        <v>47</v>
      </c>
      <c r="D504" s="50" t="str">
        <f>IFERROR(VLOOKUP(D503,'KE PRB Summary Data'!A:U,6,FALSE),"")</f>
        <v/>
      </c>
    </row>
    <row r="505" spans="1:4" ht="30" hidden="1" x14ac:dyDescent="0.25">
      <c r="C505" s="49" t="s">
        <v>88</v>
      </c>
      <c r="D505" s="48" t="str">
        <f>IFERROR(VLOOKUP(D503,'KE PRB Summary Data'!A:U,15,FALSE),"")&amp;CHAR(10)</f>
        <v xml:space="preserve">
</v>
      </c>
    </row>
    <row r="506" spans="1:4" ht="30" hidden="1" x14ac:dyDescent="0.25">
      <c r="C506" s="49" t="s">
        <v>89</v>
      </c>
      <c r="D506" s="48" t="str">
        <f>IFERROR(VLOOKUP(D503,'KE PRB Summary Data'!A:U,11,FALSE),"")&amp;CHAR(10)</f>
        <v xml:space="preserve">
</v>
      </c>
    </row>
    <row r="507" spans="1:4" ht="30" hidden="1" x14ac:dyDescent="0.25">
      <c r="C507" s="49" t="s">
        <v>90</v>
      </c>
      <c r="D507" s="48" t="str">
        <f>IFERROR(VLOOKUP(D503,'KE PRB Summary Data'!A:U,12,FALSE),"")&amp;CHAR(10)</f>
        <v xml:space="preserve">
</v>
      </c>
    </row>
    <row r="508" spans="1:4" ht="30.75" hidden="1" thickBot="1" x14ac:dyDescent="0.3">
      <c r="C508" s="51" t="s">
        <v>49</v>
      </c>
      <c r="D508" s="52" t="str">
        <f>IFERROR(VLOOKUP(D503,'KE PRB Summary Data'!A:U,16,FALSE),"")&amp;CHAR(10)</f>
        <v xml:space="preserve">
</v>
      </c>
    </row>
    <row r="509" spans="1:4" ht="15.75" hidden="1" thickBot="1" x14ac:dyDescent="0.3">
      <c r="C509" s="65"/>
      <c r="D509" s="66"/>
    </row>
    <row r="510" spans="1:4" hidden="1" x14ac:dyDescent="0.25">
      <c r="A510" s="160" t="str">
        <f>IF(D510&lt;&gt;"","Comp","Blank")</f>
        <v>Blank</v>
      </c>
      <c r="C510" s="45" t="s">
        <v>87</v>
      </c>
      <c r="D510" s="46" t="str">
        <f>IF('KE PRB Summary Data'!A74&lt;&gt;"",('KE PRB Summary Data'!A74),"")</f>
        <v/>
      </c>
    </row>
    <row r="511" spans="1:4" hidden="1" x14ac:dyDescent="0.25">
      <c r="C511" s="49" t="s">
        <v>47</v>
      </c>
      <c r="D511" s="50" t="str">
        <f>IFERROR(VLOOKUP(D510,'KE PRB Summary Data'!A:U,6,FALSE),"")</f>
        <v/>
      </c>
    </row>
    <row r="512" spans="1:4" ht="30" hidden="1" x14ac:dyDescent="0.25">
      <c r="C512" s="49" t="s">
        <v>88</v>
      </c>
      <c r="D512" s="48" t="str">
        <f>IFERROR(VLOOKUP(D510,'KE PRB Summary Data'!A:U,15,FALSE),"")&amp;CHAR(10)</f>
        <v xml:space="preserve">
</v>
      </c>
    </row>
    <row r="513" spans="1:4" ht="30" hidden="1" x14ac:dyDescent="0.25">
      <c r="C513" s="49" t="s">
        <v>89</v>
      </c>
      <c r="D513" s="48" t="str">
        <f>IFERROR(VLOOKUP(D510,'KE PRB Summary Data'!A:U,11,FALSE),"")&amp;CHAR(10)</f>
        <v xml:space="preserve">
</v>
      </c>
    </row>
    <row r="514" spans="1:4" ht="30" hidden="1" x14ac:dyDescent="0.25">
      <c r="C514" s="49" t="s">
        <v>90</v>
      </c>
      <c r="D514" s="48" t="str">
        <f>IFERROR(VLOOKUP(D510,'KE PRB Summary Data'!A:U,12,FALSE),"")&amp;CHAR(10)</f>
        <v xml:space="preserve">
</v>
      </c>
    </row>
    <row r="515" spans="1:4" ht="30.75" hidden="1" thickBot="1" x14ac:dyDescent="0.3">
      <c r="C515" s="51" t="s">
        <v>49</v>
      </c>
      <c r="D515" s="52" t="str">
        <f>IFERROR(VLOOKUP(D510,'KE PRB Summary Data'!A:U,16,FALSE),"")&amp;CHAR(10)</f>
        <v xml:space="preserve">
</v>
      </c>
    </row>
    <row r="516" spans="1:4" ht="15.75" hidden="1" thickBot="1" x14ac:dyDescent="0.3">
      <c r="C516" s="65"/>
      <c r="D516" s="66"/>
    </row>
    <row r="517" spans="1:4" hidden="1" x14ac:dyDescent="0.25">
      <c r="A517" s="160" t="str">
        <f>IF(D517&lt;&gt;"","Comp","Blank")</f>
        <v>Blank</v>
      </c>
      <c r="C517" s="45" t="s">
        <v>87</v>
      </c>
      <c r="D517" s="46" t="str">
        <f>IF('KE PRB Summary Data'!A75&lt;&gt;"",('KE PRB Summary Data'!A75),"")</f>
        <v/>
      </c>
    </row>
    <row r="518" spans="1:4" hidden="1" x14ac:dyDescent="0.25">
      <c r="C518" s="49" t="s">
        <v>47</v>
      </c>
      <c r="D518" s="50" t="str">
        <f>IFERROR(VLOOKUP(D517,'KE PRB Summary Data'!A:U,6,FALSE),"")</f>
        <v/>
      </c>
    </row>
    <row r="519" spans="1:4" ht="30" hidden="1" x14ac:dyDescent="0.25">
      <c r="C519" s="49" t="s">
        <v>88</v>
      </c>
      <c r="D519" s="48" t="str">
        <f>IFERROR(VLOOKUP(D517,'KE PRB Summary Data'!A:U,15,FALSE),"")&amp;CHAR(10)</f>
        <v xml:space="preserve">
</v>
      </c>
    </row>
    <row r="520" spans="1:4" ht="30" hidden="1" x14ac:dyDescent="0.25">
      <c r="C520" s="49" t="s">
        <v>89</v>
      </c>
      <c r="D520" s="48" t="str">
        <f>IFERROR(VLOOKUP(D517,'KE PRB Summary Data'!A:U,11,FALSE),"")&amp;CHAR(10)</f>
        <v xml:space="preserve">
</v>
      </c>
    </row>
    <row r="521" spans="1:4" ht="30" hidden="1" x14ac:dyDescent="0.25">
      <c r="C521" s="49" t="s">
        <v>90</v>
      </c>
      <c r="D521" s="48" t="str">
        <f>IFERROR(VLOOKUP(D517,'KE PRB Summary Data'!A:U,12,FALSE),"")&amp;CHAR(10)</f>
        <v xml:space="preserve">
</v>
      </c>
    </row>
    <row r="522" spans="1:4" ht="30.75" hidden="1" thickBot="1" x14ac:dyDescent="0.3">
      <c r="C522" s="51" t="s">
        <v>49</v>
      </c>
      <c r="D522" s="52" t="str">
        <f>IFERROR(VLOOKUP(D517,'KE PRB Summary Data'!A:U,16,FALSE),"")&amp;CHAR(10)</f>
        <v xml:space="preserve">
</v>
      </c>
    </row>
    <row r="523" spans="1:4" ht="15.75" hidden="1" thickBot="1" x14ac:dyDescent="0.3">
      <c r="C523" s="65"/>
      <c r="D523" s="66"/>
    </row>
    <row r="524" spans="1:4" hidden="1" x14ac:dyDescent="0.25">
      <c r="A524" s="160" t="str">
        <f>IF(D524&lt;&gt;"","Comp","Blank")</f>
        <v>Blank</v>
      </c>
      <c r="C524" s="45" t="s">
        <v>87</v>
      </c>
      <c r="D524" s="46" t="str">
        <f>IF('KE PRB Summary Data'!A76&lt;&gt;"",('KE PRB Summary Data'!A76),"")</f>
        <v/>
      </c>
    </row>
    <row r="525" spans="1:4" hidden="1" x14ac:dyDescent="0.25">
      <c r="C525" s="49" t="s">
        <v>47</v>
      </c>
      <c r="D525" s="50" t="str">
        <f>IFERROR(VLOOKUP(D524,'KE PRB Summary Data'!A:U,6,FALSE),"")</f>
        <v/>
      </c>
    </row>
    <row r="526" spans="1:4" ht="30" hidden="1" x14ac:dyDescent="0.25">
      <c r="C526" s="49" t="s">
        <v>88</v>
      </c>
      <c r="D526" s="48" t="str">
        <f>IFERROR(VLOOKUP(D524,'KE PRB Summary Data'!A:U,15,FALSE),"")&amp;CHAR(10)</f>
        <v xml:space="preserve">
</v>
      </c>
    </row>
    <row r="527" spans="1:4" ht="30" hidden="1" x14ac:dyDescent="0.25">
      <c r="C527" s="49" t="s">
        <v>89</v>
      </c>
      <c r="D527" s="48" t="str">
        <f>IFERROR(VLOOKUP(D524,'KE PRB Summary Data'!A:U,11,FALSE),"")&amp;CHAR(10)</f>
        <v xml:space="preserve">
</v>
      </c>
    </row>
    <row r="528" spans="1:4" ht="30" hidden="1" x14ac:dyDescent="0.25">
      <c r="C528" s="49" t="s">
        <v>90</v>
      </c>
      <c r="D528" s="48" t="str">
        <f>IFERROR(VLOOKUP(D524,'KE PRB Summary Data'!A:U,12,FALSE),"")&amp;CHAR(10)</f>
        <v xml:space="preserve">
</v>
      </c>
    </row>
    <row r="529" spans="1:4" ht="30.75" hidden="1" thickBot="1" x14ac:dyDescent="0.3">
      <c r="C529" s="51" t="s">
        <v>49</v>
      </c>
      <c r="D529" s="52" t="str">
        <f>IFERROR(VLOOKUP(D524,'KE PRB Summary Data'!A:U,16,FALSE),"")&amp;CHAR(10)</f>
        <v xml:space="preserve">
</v>
      </c>
    </row>
    <row r="530" spans="1:4" ht="15.75" hidden="1" thickBot="1" x14ac:dyDescent="0.3">
      <c r="C530" s="65"/>
      <c r="D530" s="66"/>
    </row>
    <row r="531" spans="1:4" hidden="1" x14ac:dyDescent="0.25">
      <c r="A531" s="160" t="str">
        <f>IF(D531&lt;&gt;"","Comp","Blank")</f>
        <v>Blank</v>
      </c>
      <c r="C531" s="45" t="s">
        <v>87</v>
      </c>
      <c r="D531" s="46" t="str">
        <f>IF('KE PRB Summary Data'!A77&lt;&gt;"",('KE PRB Summary Data'!A77),"")</f>
        <v/>
      </c>
    </row>
    <row r="532" spans="1:4" hidden="1" x14ac:dyDescent="0.25">
      <c r="C532" s="49" t="s">
        <v>47</v>
      </c>
      <c r="D532" s="50" t="str">
        <f>IFERROR(VLOOKUP(D531,'KE PRB Summary Data'!A:U,6,FALSE),"")</f>
        <v/>
      </c>
    </row>
    <row r="533" spans="1:4" ht="30" hidden="1" x14ac:dyDescent="0.25">
      <c r="C533" s="49" t="s">
        <v>88</v>
      </c>
      <c r="D533" s="48" t="str">
        <f>IFERROR(VLOOKUP(D531,'KE PRB Summary Data'!A:U,15,FALSE),"")&amp;CHAR(10)</f>
        <v xml:space="preserve">
</v>
      </c>
    </row>
    <row r="534" spans="1:4" ht="30" hidden="1" x14ac:dyDescent="0.25">
      <c r="C534" s="49" t="s">
        <v>89</v>
      </c>
      <c r="D534" s="48" t="str">
        <f>IFERROR(VLOOKUP(D531,'KE PRB Summary Data'!A:U,11,FALSE),"")&amp;CHAR(10)</f>
        <v xml:space="preserve">
</v>
      </c>
    </row>
    <row r="535" spans="1:4" ht="30" hidden="1" x14ac:dyDescent="0.25">
      <c r="C535" s="49" t="s">
        <v>90</v>
      </c>
      <c r="D535" s="48" t="str">
        <f>IFERROR(VLOOKUP(D531,'KE PRB Summary Data'!A:U,12,FALSE),"")&amp;CHAR(10)</f>
        <v xml:space="preserve">
</v>
      </c>
    </row>
    <row r="536" spans="1:4" ht="30.75" hidden="1" thickBot="1" x14ac:dyDescent="0.3">
      <c r="C536" s="51" t="s">
        <v>49</v>
      </c>
      <c r="D536" s="52" t="str">
        <f>IFERROR(VLOOKUP(D531,'KE PRB Summary Data'!A:U,16,FALSE),"")&amp;CHAR(10)</f>
        <v xml:space="preserve">
</v>
      </c>
    </row>
    <row r="537" spans="1:4" ht="15.75" hidden="1" thickBot="1" x14ac:dyDescent="0.3">
      <c r="C537" s="65"/>
      <c r="D537" s="66"/>
    </row>
    <row r="538" spans="1:4" hidden="1" x14ac:dyDescent="0.25">
      <c r="A538" s="160" t="str">
        <f>IF(D538&lt;&gt;"","Comp","Blank")</f>
        <v>Blank</v>
      </c>
      <c r="C538" s="45" t="s">
        <v>87</v>
      </c>
      <c r="D538" s="46" t="str">
        <f>IF('KE PRB Summary Data'!A78&lt;&gt;"",('KE PRB Summary Data'!A78),"")</f>
        <v/>
      </c>
    </row>
    <row r="539" spans="1:4" hidden="1" x14ac:dyDescent="0.25">
      <c r="C539" s="49" t="s">
        <v>47</v>
      </c>
      <c r="D539" s="50" t="str">
        <f>IFERROR(VLOOKUP(D538,'KE PRB Summary Data'!A:U,6,FALSE),"")</f>
        <v/>
      </c>
    </row>
    <row r="540" spans="1:4" ht="30" hidden="1" x14ac:dyDescent="0.25">
      <c r="C540" s="49" t="s">
        <v>88</v>
      </c>
      <c r="D540" s="48" t="str">
        <f>IFERROR(VLOOKUP(D538,'KE PRB Summary Data'!A:U,15,FALSE),"")&amp;CHAR(10)</f>
        <v xml:space="preserve">
</v>
      </c>
    </row>
    <row r="541" spans="1:4" ht="30" hidden="1" x14ac:dyDescent="0.25">
      <c r="C541" s="49" t="s">
        <v>89</v>
      </c>
      <c r="D541" s="48" t="str">
        <f>IFERROR(VLOOKUP(D538,'KE PRB Summary Data'!A:U,11,FALSE),"")&amp;CHAR(10)</f>
        <v xml:space="preserve">
</v>
      </c>
    </row>
    <row r="542" spans="1:4" ht="30" hidden="1" x14ac:dyDescent="0.25">
      <c r="C542" s="49" t="s">
        <v>90</v>
      </c>
      <c r="D542" s="48" t="str">
        <f>IFERROR(VLOOKUP(D538,'KE PRB Summary Data'!A:U,12,FALSE),"")&amp;CHAR(10)</f>
        <v xml:space="preserve">
</v>
      </c>
    </row>
    <row r="543" spans="1:4" ht="30.75" hidden="1" thickBot="1" x14ac:dyDescent="0.3">
      <c r="C543" s="51" t="s">
        <v>49</v>
      </c>
      <c r="D543" s="52" t="str">
        <f>IFERROR(VLOOKUP(D538,'KE PRB Summary Data'!A:U,16,FALSE),"")&amp;CHAR(10)</f>
        <v xml:space="preserve">
</v>
      </c>
    </row>
    <row r="544" spans="1:4" ht="15.75" hidden="1" thickBot="1" x14ac:dyDescent="0.3">
      <c r="C544" s="65"/>
      <c r="D544" s="66"/>
    </row>
    <row r="545" spans="1:4" hidden="1" x14ac:dyDescent="0.25">
      <c r="A545" s="160" t="str">
        <f>IF(D545&lt;&gt;"","Comp","Blank")</f>
        <v>Blank</v>
      </c>
      <c r="C545" s="45" t="s">
        <v>87</v>
      </c>
      <c r="D545" s="46" t="str">
        <f>IF('KE PRB Summary Data'!A79&lt;&gt;"",('KE PRB Summary Data'!A79),"")</f>
        <v/>
      </c>
    </row>
    <row r="546" spans="1:4" hidden="1" x14ac:dyDescent="0.25">
      <c r="C546" s="49" t="s">
        <v>47</v>
      </c>
      <c r="D546" s="50" t="str">
        <f>IFERROR(VLOOKUP(D545,'KE PRB Summary Data'!A:U,6,FALSE),"")</f>
        <v/>
      </c>
    </row>
    <row r="547" spans="1:4" ht="30" hidden="1" x14ac:dyDescent="0.25">
      <c r="C547" s="49" t="s">
        <v>88</v>
      </c>
      <c r="D547" s="48" t="str">
        <f>IFERROR(VLOOKUP(D545,'KE PRB Summary Data'!A:U,15,FALSE),"")&amp;CHAR(10)</f>
        <v xml:space="preserve">
</v>
      </c>
    </row>
    <row r="548" spans="1:4" ht="30" hidden="1" x14ac:dyDescent="0.25">
      <c r="C548" s="49" t="s">
        <v>89</v>
      </c>
      <c r="D548" s="48" t="str">
        <f>IFERROR(VLOOKUP(D545,'KE PRB Summary Data'!A:U,11,FALSE),"")&amp;CHAR(10)</f>
        <v xml:space="preserve">
</v>
      </c>
    </row>
    <row r="549" spans="1:4" ht="30" hidden="1" x14ac:dyDescent="0.25">
      <c r="C549" s="49" t="s">
        <v>90</v>
      </c>
      <c r="D549" s="48" t="str">
        <f>IFERROR(VLOOKUP(D545,'KE PRB Summary Data'!A:U,12,FALSE),"")&amp;CHAR(10)</f>
        <v xml:space="preserve">
</v>
      </c>
    </row>
    <row r="550" spans="1:4" ht="30.75" hidden="1" thickBot="1" x14ac:dyDescent="0.3">
      <c r="C550" s="51" t="s">
        <v>49</v>
      </c>
      <c r="D550" s="52" t="str">
        <f>IFERROR(VLOOKUP(D545,'KE PRB Summary Data'!A:U,16,FALSE),"")&amp;CHAR(10)</f>
        <v xml:space="preserve">
</v>
      </c>
    </row>
    <row r="551" spans="1:4" ht="15.75" hidden="1" thickBot="1" x14ac:dyDescent="0.3">
      <c r="C551" s="65"/>
      <c r="D551" s="66"/>
    </row>
    <row r="552" spans="1:4" hidden="1" x14ac:dyDescent="0.25">
      <c r="A552" s="160" t="str">
        <f>IF(D552&lt;&gt;"","Comp","Blank")</f>
        <v>Blank</v>
      </c>
      <c r="C552" s="45" t="s">
        <v>87</v>
      </c>
      <c r="D552" s="46" t="str">
        <f>IF('KE PRB Summary Data'!A80&lt;&gt;"",('KE PRB Summary Data'!A80),"")</f>
        <v/>
      </c>
    </row>
    <row r="553" spans="1:4" hidden="1" x14ac:dyDescent="0.25">
      <c r="C553" s="49" t="s">
        <v>47</v>
      </c>
      <c r="D553" s="50" t="str">
        <f>IFERROR(VLOOKUP(D552,'KE PRB Summary Data'!A:U,6,FALSE),"")</f>
        <v/>
      </c>
    </row>
    <row r="554" spans="1:4" ht="30" hidden="1" x14ac:dyDescent="0.25">
      <c r="C554" s="49" t="s">
        <v>88</v>
      </c>
      <c r="D554" s="48" t="str">
        <f>IFERROR(VLOOKUP(D552,'KE PRB Summary Data'!A:U,15,FALSE),"")&amp;CHAR(10)</f>
        <v xml:space="preserve">
</v>
      </c>
    </row>
    <row r="555" spans="1:4" ht="30" hidden="1" x14ac:dyDescent="0.25">
      <c r="C555" s="49" t="s">
        <v>89</v>
      </c>
      <c r="D555" s="48" t="str">
        <f>IFERROR(VLOOKUP(D552,'KE PRB Summary Data'!A:U,11,FALSE),"")&amp;CHAR(10)</f>
        <v xml:space="preserve">
</v>
      </c>
    </row>
    <row r="556" spans="1:4" ht="30" hidden="1" x14ac:dyDescent="0.25">
      <c r="C556" s="49" t="s">
        <v>90</v>
      </c>
      <c r="D556" s="48" t="str">
        <f>IFERROR(VLOOKUP(D552,'KE PRB Summary Data'!A:U,12,FALSE),"")&amp;CHAR(10)</f>
        <v xml:space="preserve">
</v>
      </c>
    </row>
    <row r="557" spans="1:4" ht="30.75" hidden="1" thickBot="1" x14ac:dyDescent="0.3">
      <c r="C557" s="51" t="s">
        <v>49</v>
      </c>
      <c r="D557" s="52" t="str">
        <f>IFERROR(VLOOKUP(D552,'KE PRB Summary Data'!A:U,16,FALSE),"")&amp;CHAR(10)</f>
        <v xml:space="preserve">
</v>
      </c>
    </row>
    <row r="558" spans="1:4" ht="15.75" hidden="1" thickBot="1" x14ac:dyDescent="0.3">
      <c r="C558" s="65"/>
      <c r="D558" s="66"/>
    </row>
    <row r="559" spans="1:4" hidden="1" x14ac:dyDescent="0.25">
      <c r="A559" s="160" t="str">
        <f>IF(D559&lt;&gt;"","Comp","Blank")</f>
        <v>Blank</v>
      </c>
      <c r="C559" s="45" t="s">
        <v>87</v>
      </c>
      <c r="D559" s="46" t="str">
        <f>IF('KE PRB Summary Data'!A81&lt;&gt;"",('KE PRB Summary Data'!A81),"")</f>
        <v/>
      </c>
    </row>
    <row r="560" spans="1:4" hidden="1" x14ac:dyDescent="0.25">
      <c r="C560" s="49" t="s">
        <v>47</v>
      </c>
      <c r="D560" s="50" t="str">
        <f>IFERROR(VLOOKUP(D559,'KE PRB Summary Data'!A:U,6,FALSE),"")</f>
        <v/>
      </c>
    </row>
    <row r="561" spans="1:4" ht="30" hidden="1" x14ac:dyDescent="0.25">
      <c r="C561" s="49" t="s">
        <v>88</v>
      </c>
      <c r="D561" s="48" t="str">
        <f>IFERROR(VLOOKUP(D559,'KE PRB Summary Data'!A:U,15,FALSE),"")&amp;CHAR(10)</f>
        <v xml:space="preserve">
</v>
      </c>
    </row>
    <row r="562" spans="1:4" ht="30" hidden="1" x14ac:dyDescent="0.25">
      <c r="C562" s="49" t="s">
        <v>89</v>
      </c>
      <c r="D562" s="48" t="str">
        <f>IFERROR(VLOOKUP(D559,'KE PRB Summary Data'!A:U,11,FALSE),"")&amp;CHAR(10)</f>
        <v xml:space="preserve">
</v>
      </c>
    </row>
    <row r="563" spans="1:4" ht="30" hidden="1" x14ac:dyDescent="0.25">
      <c r="C563" s="49" t="s">
        <v>90</v>
      </c>
      <c r="D563" s="48" t="str">
        <f>IFERROR(VLOOKUP(D559,'KE PRB Summary Data'!A:U,12,FALSE),"")&amp;CHAR(10)</f>
        <v xml:space="preserve">
</v>
      </c>
    </row>
    <row r="564" spans="1:4" ht="30.75" hidden="1" thickBot="1" x14ac:dyDescent="0.3">
      <c r="C564" s="51" t="s">
        <v>49</v>
      </c>
      <c r="D564" s="52" t="str">
        <f>IFERROR(VLOOKUP(D559,'KE PRB Summary Data'!A:U,16,FALSE),"")&amp;CHAR(10)</f>
        <v xml:space="preserve">
</v>
      </c>
    </row>
    <row r="565" spans="1:4" ht="15.75" hidden="1" thickBot="1" x14ac:dyDescent="0.3">
      <c r="C565" s="65"/>
      <c r="D565" s="66"/>
    </row>
    <row r="566" spans="1:4" hidden="1" x14ac:dyDescent="0.25">
      <c r="A566" s="160" t="str">
        <f>IF(D566&lt;&gt;"","Comp","Blank")</f>
        <v>Blank</v>
      </c>
      <c r="C566" s="45" t="s">
        <v>87</v>
      </c>
      <c r="D566" s="46" t="str">
        <f>IF('KE PRB Summary Data'!A82&lt;&gt;"",('KE PRB Summary Data'!A82),"")</f>
        <v/>
      </c>
    </row>
    <row r="567" spans="1:4" hidden="1" x14ac:dyDescent="0.25">
      <c r="C567" s="49" t="s">
        <v>47</v>
      </c>
      <c r="D567" s="50" t="str">
        <f>IFERROR(VLOOKUP(D566,'KE PRB Summary Data'!A:U,6,FALSE),"")</f>
        <v/>
      </c>
    </row>
    <row r="568" spans="1:4" ht="30" hidden="1" x14ac:dyDescent="0.25">
      <c r="C568" s="49" t="s">
        <v>88</v>
      </c>
      <c r="D568" s="48" t="str">
        <f>IFERROR(VLOOKUP(D566,'KE PRB Summary Data'!A:U,15,FALSE),"")&amp;CHAR(10)</f>
        <v xml:space="preserve">
</v>
      </c>
    </row>
    <row r="569" spans="1:4" ht="30" hidden="1" x14ac:dyDescent="0.25">
      <c r="C569" s="49" t="s">
        <v>89</v>
      </c>
      <c r="D569" s="48" t="str">
        <f>IFERROR(VLOOKUP(D566,'KE PRB Summary Data'!A:U,11,FALSE),"")&amp;CHAR(10)</f>
        <v xml:space="preserve">
</v>
      </c>
    </row>
    <row r="570" spans="1:4" ht="30" hidden="1" x14ac:dyDescent="0.25">
      <c r="C570" s="49" t="s">
        <v>90</v>
      </c>
      <c r="D570" s="48" t="str">
        <f>IFERROR(VLOOKUP(D566,'KE PRB Summary Data'!A:U,12,FALSE),"")&amp;CHAR(10)</f>
        <v xml:space="preserve">
</v>
      </c>
    </row>
    <row r="571" spans="1:4" ht="30.75" hidden="1" thickBot="1" x14ac:dyDescent="0.3">
      <c r="C571" s="51" t="s">
        <v>49</v>
      </c>
      <c r="D571" s="52" t="str">
        <f>IFERROR(VLOOKUP(D566,'KE PRB Summary Data'!A:U,16,FALSE),"")&amp;CHAR(10)</f>
        <v xml:space="preserve">
</v>
      </c>
    </row>
    <row r="572" spans="1:4" ht="15.75" hidden="1" thickBot="1" x14ac:dyDescent="0.3">
      <c r="C572" s="65"/>
      <c r="D572" s="66"/>
    </row>
    <row r="573" spans="1:4" hidden="1" x14ac:dyDescent="0.25">
      <c r="A573" s="160" t="str">
        <f>IF(D573&lt;&gt;"","Comp","Blank")</f>
        <v>Blank</v>
      </c>
      <c r="C573" s="45" t="s">
        <v>87</v>
      </c>
      <c r="D573" s="46" t="str">
        <f>IF('KE PRB Summary Data'!A83&lt;&gt;"",('KE PRB Summary Data'!A83),"")</f>
        <v/>
      </c>
    </row>
    <row r="574" spans="1:4" hidden="1" x14ac:dyDescent="0.25">
      <c r="C574" s="49" t="s">
        <v>47</v>
      </c>
      <c r="D574" s="50" t="str">
        <f>IFERROR(VLOOKUP(D573,'KE PRB Summary Data'!A:U,6,FALSE),"")</f>
        <v/>
      </c>
    </row>
    <row r="575" spans="1:4" ht="30" hidden="1" x14ac:dyDescent="0.25">
      <c r="C575" s="49" t="s">
        <v>88</v>
      </c>
      <c r="D575" s="48" t="str">
        <f>IFERROR(VLOOKUP(D573,'KE PRB Summary Data'!A:U,15,FALSE),"")&amp;CHAR(10)</f>
        <v xml:space="preserve">
</v>
      </c>
    </row>
    <row r="576" spans="1:4" ht="30" hidden="1" x14ac:dyDescent="0.25">
      <c r="C576" s="49" t="s">
        <v>89</v>
      </c>
      <c r="D576" s="48" t="str">
        <f>IFERROR(VLOOKUP(D573,'KE PRB Summary Data'!A:U,11,FALSE),"")&amp;CHAR(10)</f>
        <v xml:space="preserve">
</v>
      </c>
    </row>
    <row r="577" spans="1:4" ht="30" hidden="1" x14ac:dyDescent="0.25">
      <c r="C577" s="49" t="s">
        <v>90</v>
      </c>
      <c r="D577" s="48" t="str">
        <f>IFERROR(VLOOKUP(D573,'KE PRB Summary Data'!A:U,12,FALSE),"")&amp;CHAR(10)</f>
        <v xml:space="preserve">
</v>
      </c>
    </row>
    <row r="578" spans="1:4" ht="30.75" hidden="1" thickBot="1" x14ac:dyDescent="0.3">
      <c r="C578" s="51" t="s">
        <v>49</v>
      </c>
      <c r="D578" s="52" t="str">
        <f>IFERROR(VLOOKUP(D573,'KE PRB Summary Data'!A:U,16,FALSE),"")&amp;CHAR(10)</f>
        <v xml:space="preserve">
</v>
      </c>
    </row>
    <row r="579" spans="1:4" ht="15.75" hidden="1" thickBot="1" x14ac:dyDescent="0.3">
      <c r="C579" s="65"/>
      <c r="D579" s="66"/>
    </row>
    <row r="580" spans="1:4" hidden="1" x14ac:dyDescent="0.25">
      <c r="A580" s="160" t="str">
        <f>IF(D580&lt;&gt;"","Comp","Blank")</f>
        <v>Blank</v>
      </c>
      <c r="C580" s="45" t="s">
        <v>87</v>
      </c>
      <c r="D580" s="46" t="str">
        <f>IF('KE PRB Summary Data'!A84&lt;&gt;"",('KE PRB Summary Data'!A84),"")</f>
        <v/>
      </c>
    </row>
    <row r="581" spans="1:4" hidden="1" x14ac:dyDescent="0.25">
      <c r="C581" s="49" t="s">
        <v>47</v>
      </c>
      <c r="D581" s="50" t="str">
        <f>IFERROR(VLOOKUP(D580,'KE PRB Summary Data'!A:U,6,FALSE),"")</f>
        <v/>
      </c>
    </row>
    <row r="582" spans="1:4" ht="30" hidden="1" x14ac:dyDescent="0.25">
      <c r="C582" s="49" t="s">
        <v>88</v>
      </c>
      <c r="D582" s="48" t="str">
        <f>IFERROR(VLOOKUP(D580,'KE PRB Summary Data'!A:U,15,FALSE),"")&amp;CHAR(10)</f>
        <v xml:space="preserve">
</v>
      </c>
    </row>
    <row r="583" spans="1:4" ht="30" hidden="1" x14ac:dyDescent="0.25">
      <c r="C583" s="49" t="s">
        <v>89</v>
      </c>
      <c r="D583" s="48" t="str">
        <f>IFERROR(VLOOKUP(D580,'KE PRB Summary Data'!A:U,11,FALSE),"")&amp;CHAR(10)</f>
        <v xml:space="preserve">
</v>
      </c>
    </row>
    <row r="584" spans="1:4" ht="30" hidden="1" x14ac:dyDescent="0.25">
      <c r="C584" s="49" t="s">
        <v>90</v>
      </c>
      <c r="D584" s="48" t="str">
        <f>IFERROR(VLOOKUP(D580,'KE PRB Summary Data'!A:U,12,FALSE),"")&amp;CHAR(10)</f>
        <v xml:space="preserve">
</v>
      </c>
    </row>
    <row r="585" spans="1:4" ht="30.75" hidden="1" thickBot="1" x14ac:dyDescent="0.3">
      <c r="C585" s="51" t="s">
        <v>49</v>
      </c>
      <c r="D585" s="52" t="str">
        <f>IFERROR(VLOOKUP(D580,'KE PRB Summary Data'!A:U,16,FALSE),"")&amp;CHAR(10)</f>
        <v xml:space="preserve">
</v>
      </c>
    </row>
    <row r="586" spans="1:4" ht="15.75" hidden="1" thickBot="1" x14ac:dyDescent="0.3">
      <c r="C586" s="65"/>
      <c r="D586" s="66"/>
    </row>
    <row r="587" spans="1:4" hidden="1" x14ac:dyDescent="0.25">
      <c r="A587" s="160" t="str">
        <f>IF(D587&lt;&gt;"","Comp","Blank")</f>
        <v>Blank</v>
      </c>
      <c r="C587" s="45" t="s">
        <v>87</v>
      </c>
      <c r="D587" s="46" t="str">
        <f>IF('KE PRB Summary Data'!A85&lt;&gt;"",('KE PRB Summary Data'!A85),"")</f>
        <v/>
      </c>
    </row>
    <row r="588" spans="1:4" hidden="1" x14ac:dyDescent="0.25">
      <c r="C588" s="49" t="s">
        <v>47</v>
      </c>
      <c r="D588" s="50" t="str">
        <f>IFERROR(VLOOKUP(D587,'KE PRB Summary Data'!A:U,6,FALSE),"")</f>
        <v/>
      </c>
    </row>
    <row r="589" spans="1:4" ht="30" hidden="1" x14ac:dyDescent="0.25">
      <c r="C589" s="49" t="s">
        <v>88</v>
      </c>
      <c r="D589" s="48" t="str">
        <f>IFERROR(VLOOKUP(D587,'KE PRB Summary Data'!A:U,15,FALSE),"")&amp;CHAR(10)</f>
        <v xml:space="preserve">
</v>
      </c>
    </row>
    <row r="590" spans="1:4" ht="30" hidden="1" x14ac:dyDescent="0.25">
      <c r="C590" s="49" t="s">
        <v>89</v>
      </c>
      <c r="D590" s="48" t="str">
        <f>IFERROR(VLOOKUP(D587,'KE PRB Summary Data'!A:U,11,FALSE),"")&amp;CHAR(10)</f>
        <v xml:space="preserve">
</v>
      </c>
    </row>
    <row r="591" spans="1:4" ht="30" hidden="1" x14ac:dyDescent="0.25">
      <c r="C591" s="49" t="s">
        <v>90</v>
      </c>
      <c r="D591" s="48" t="str">
        <f>IFERROR(VLOOKUP(D587,'KE PRB Summary Data'!A:U,12,FALSE),"")&amp;CHAR(10)</f>
        <v xml:space="preserve">
</v>
      </c>
    </row>
    <row r="592" spans="1:4" ht="30.75" hidden="1" thickBot="1" x14ac:dyDescent="0.3">
      <c r="C592" s="51" t="s">
        <v>49</v>
      </c>
      <c r="D592" s="52" t="str">
        <f>IFERROR(VLOOKUP(D587,'KE PRB Summary Data'!A:U,16,FALSE),"")&amp;CHAR(10)</f>
        <v xml:space="preserve">
</v>
      </c>
    </row>
    <row r="593" spans="1:4" ht="15.75" hidden="1" thickBot="1" x14ac:dyDescent="0.3">
      <c r="C593" s="65"/>
      <c r="D593" s="66"/>
    </row>
    <row r="594" spans="1:4" hidden="1" x14ac:dyDescent="0.25">
      <c r="A594" s="160" t="str">
        <f>IF(D594&lt;&gt;"","Comp","Blank")</f>
        <v>Blank</v>
      </c>
      <c r="C594" s="45" t="s">
        <v>87</v>
      </c>
      <c r="D594" s="46" t="str">
        <f>IF('KE PRB Summary Data'!A86&lt;&gt;"",('KE PRB Summary Data'!A86),"")</f>
        <v/>
      </c>
    </row>
    <row r="595" spans="1:4" hidden="1" x14ac:dyDescent="0.25">
      <c r="C595" s="49" t="s">
        <v>47</v>
      </c>
      <c r="D595" s="50" t="str">
        <f>IFERROR(VLOOKUP(D594,'KE PRB Summary Data'!A:U,6,FALSE),"")</f>
        <v/>
      </c>
    </row>
    <row r="596" spans="1:4" ht="30" hidden="1" x14ac:dyDescent="0.25">
      <c r="C596" s="49" t="s">
        <v>88</v>
      </c>
      <c r="D596" s="48" t="str">
        <f>IFERROR(VLOOKUP(D594,'KE PRB Summary Data'!A:U,15,FALSE),"")&amp;CHAR(10)</f>
        <v xml:space="preserve">
</v>
      </c>
    </row>
    <row r="597" spans="1:4" ht="30" hidden="1" x14ac:dyDescent="0.25">
      <c r="C597" s="49" t="s">
        <v>89</v>
      </c>
      <c r="D597" s="48" t="str">
        <f>IFERROR(VLOOKUP(D594,'KE PRB Summary Data'!A:U,11,FALSE),"")&amp;CHAR(10)</f>
        <v xml:space="preserve">
</v>
      </c>
    </row>
    <row r="598" spans="1:4" ht="30" hidden="1" x14ac:dyDescent="0.25">
      <c r="C598" s="49" t="s">
        <v>90</v>
      </c>
      <c r="D598" s="48" t="str">
        <f>IFERROR(VLOOKUP(D594,'KE PRB Summary Data'!A:U,12,FALSE),"")&amp;CHAR(10)</f>
        <v xml:space="preserve">
</v>
      </c>
    </row>
    <row r="599" spans="1:4" ht="30.75" hidden="1" thickBot="1" x14ac:dyDescent="0.3">
      <c r="C599" s="51" t="s">
        <v>49</v>
      </c>
      <c r="D599" s="52" t="str">
        <f>IFERROR(VLOOKUP(D594,'KE PRB Summary Data'!A:U,16,FALSE),"")&amp;CHAR(10)</f>
        <v xml:space="preserve">
</v>
      </c>
    </row>
    <row r="600" spans="1:4" ht="15.75" hidden="1" thickBot="1" x14ac:dyDescent="0.3">
      <c r="C600" s="65"/>
      <c r="D600" s="66"/>
    </row>
    <row r="601" spans="1:4" hidden="1" x14ac:dyDescent="0.25">
      <c r="A601" s="160" t="str">
        <f>IF(D601&lt;&gt;"","Comp","Blank")</f>
        <v>Blank</v>
      </c>
      <c r="C601" s="45" t="s">
        <v>87</v>
      </c>
      <c r="D601" s="46" t="str">
        <f>IF('KE PRB Summary Data'!A87&lt;&gt;"",('KE PRB Summary Data'!A87),"")</f>
        <v/>
      </c>
    </row>
    <row r="602" spans="1:4" hidden="1" x14ac:dyDescent="0.25">
      <c r="C602" s="49" t="s">
        <v>47</v>
      </c>
      <c r="D602" s="50" t="str">
        <f>IFERROR(VLOOKUP(D601,'KE PRB Summary Data'!A:U,6,FALSE),"")</f>
        <v/>
      </c>
    </row>
    <row r="603" spans="1:4" ht="30" hidden="1" x14ac:dyDescent="0.25">
      <c r="C603" s="49" t="s">
        <v>88</v>
      </c>
      <c r="D603" s="48" t="str">
        <f>IFERROR(VLOOKUP(D601,'KE PRB Summary Data'!A:U,15,FALSE),"")&amp;CHAR(10)</f>
        <v xml:space="preserve">
</v>
      </c>
    </row>
    <row r="604" spans="1:4" ht="30" hidden="1" x14ac:dyDescent="0.25">
      <c r="C604" s="49" t="s">
        <v>89</v>
      </c>
      <c r="D604" s="48" t="str">
        <f>IFERROR(VLOOKUP(D601,'KE PRB Summary Data'!A:U,11,FALSE),"")&amp;CHAR(10)</f>
        <v xml:space="preserve">
</v>
      </c>
    </row>
    <row r="605" spans="1:4" ht="30" hidden="1" x14ac:dyDescent="0.25">
      <c r="C605" s="49" t="s">
        <v>90</v>
      </c>
      <c r="D605" s="48" t="str">
        <f>IFERROR(VLOOKUP(D601,'KE PRB Summary Data'!A:U,12,FALSE),"")&amp;CHAR(10)</f>
        <v xml:space="preserve">
</v>
      </c>
    </row>
    <row r="606" spans="1:4" ht="30.75" hidden="1" thickBot="1" x14ac:dyDescent="0.3">
      <c r="C606" s="51" t="s">
        <v>49</v>
      </c>
      <c r="D606" s="52" t="str">
        <f>IFERROR(VLOOKUP(D601,'KE PRB Summary Data'!A:U,16,FALSE),"")&amp;CHAR(10)</f>
        <v xml:space="preserve">
</v>
      </c>
    </row>
    <row r="607" spans="1:4" ht="15.75" hidden="1" thickBot="1" x14ac:dyDescent="0.3">
      <c r="C607" s="65"/>
      <c r="D607" s="66"/>
    </row>
    <row r="608" spans="1:4" hidden="1" x14ac:dyDescent="0.25">
      <c r="A608" s="160" t="str">
        <f>IF(D608&lt;&gt;"","Comp","Blank")</f>
        <v>Blank</v>
      </c>
      <c r="C608" s="45" t="s">
        <v>87</v>
      </c>
      <c r="D608" s="46" t="str">
        <f>IF('KE PRB Summary Data'!A88&lt;&gt;"",('KE PRB Summary Data'!A88),"")</f>
        <v/>
      </c>
    </row>
    <row r="609" spans="1:4" hidden="1" x14ac:dyDescent="0.25">
      <c r="C609" s="49" t="s">
        <v>47</v>
      </c>
      <c r="D609" s="50" t="str">
        <f>IFERROR(VLOOKUP(D608,'KE PRB Summary Data'!A:U,6,FALSE),"")</f>
        <v/>
      </c>
    </row>
    <row r="610" spans="1:4" ht="30" hidden="1" x14ac:dyDescent="0.25">
      <c r="C610" s="49" t="s">
        <v>88</v>
      </c>
      <c r="D610" s="48" t="str">
        <f>IFERROR(VLOOKUP(D608,'KE PRB Summary Data'!A:U,15,FALSE),"")&amp;CHAR(10)</f>
        <v xml:space="preserve">
</v>
      </c>
    </row>
    <row r="611" spans="1:4" ht="30" hidden="1" x14ac:dyDescent="0.25">
      <c r="C611" s="49" t="s">
        <v>89</v>
      </c>
      <c r="D611" s="48" t="str">
        <f>IFERROR(VLOOKUP(D608,'KE PRB Summary Data'!A:U,11,FALSE),"")&amp;CHAR(10)</f>
        <v xml:space="preserve">
</v>
      </c>
    </row>
    <row r="612" spans="1:4" ht="30" hidden="1" x14ac:dyDescent="0.25">
      <c r="C612" s="49" t="s">
        <v>90</v>
      </c>
      <c r="D612" s="48" t="str">
        <f>IFERROR(VLOOKUP(D608,'KE PRB Summary Data'!A:U,12,FALSE),"")&amp;CHAR(10)</f>
        <v xml:space="preserve">
</v>
      </c>
    </row>
    <row r="613" spans="1:4" ht="30.75" hidden="1" thickBot="1" x14ac:dyDescent="0.3">
      <c r="C613" s="51" t="s">
        <v>49</v>
      </c>
      <c r="D613" s="52" t="str">
        <f>IFERROR(VLOOKUP(D608,'KE PRB Summary Data'!A:U,16,FALSE),"")&amp;CHAR(10)</f>
        <v xml:space="preserve">
</v>
      </c>
    </row>
    <row r="614" spans="1:4" ht="15.75" hidden="1" thickBot="1" x14ac:dyDescent="0.3">
      <c r="C614" s="65"/>
      <c r="D614" s="66"/>
    </row>
    <row r="615" spans="1:4" hidden="1" x14ac:dyDescent="0.25">
      <c r="A615" s="160" t="str">
        <f>IF(D615&lt;&gt;"","Comp","Blank")</f>
        <v>Blank</v>
      </c>
      <c r="C615" s="45" t="s">
        <v>87</v>
      </c>
      <c r="D615" s="46" t="str">
        <f>IF('KE PRB Summary Data'!A89&lt;&gt;"",('KE PRB Summary Data'!A89),"")</f>
        <v/>
      </c>
    </row>
    <row r="616" spans="1:4" hidden="1" x14ac:dyDescent="0.25">
      <c r="C616" s="49" t="s">
        <v>47</v>
      </c>
      <c r="D616" s="50" t="str">
        <f>IFERROR(VLOOKUP(D615,'KE PRB Summary Data'!A:U,6,FALSE),"")</f>
        <v/>
      </c>
    </row>
    <row r="617" spans="1:4" ht="30" hidden="1" x14ac:dyDescent="0.25">
      <c r="C617" s="49" t="s">
        <v>88</v>
      </c>
      <c r="D617" s="48" t="str">
        <f>IFERROR(VLOOKUP(D615,'KE PRB Summary Data'!A:U,15,FALSE),"")&amp;CHAR(10)</f>
        <v xml:space="preserve">
</v>
      </c>
    </row>
    <row r="618" spans="1:4" ht="30" hidden="1" x14ac:dyDescent="0.25">
      <c r="C618" s="49" t="s">
        <v>89</v>
      </c>
      <c r="D618" s="48" t="str">
        <f>IFERROR(VLOOKUP(D615,'KE PRB Summary Data'!A:U,11,FALSE),"")&amp;CHAR(10)</f>
        <v xml:space="preserve">
</v>
      </c>
    </row>
    <row r="619" spans="1:4" ht="30" hidden="1" x14ac:dyDescent="0.25">
      <c r="C619" s="49" t="s">
        <v>90</v>
      </c>
      <c r="D619" s="48" t="str">
        <f>IFERROR(VLOOKUP(D615,'KE PRB Summary Data'!A:U,12,FALSE),"")&amp;CHAR(10)</f>
        <v xml:space="preserve">
</v>
      </c>
    </row>
    <row r="620" spans="1:4" ht="30.75" hidden="1" thickBot="1" x14ac:dyDescent="0.3">
      <c r="C620" s="51" t="s">
        <v>49</v>
      </c>
      <c r="D620" s="52" t="str">
        <f>IFERROR(VLOOKUP(D615,'KE PRB Summary Data'!A:U,16,FALSE),"")&amp;CHAR(10)</f>
        <v xml:space="preserve">
</v>
      </c>
    </row>
    <row r="621" spans="1:4" ht="15.75" hidden="1" thickBot="1" x14ac:dyDescent="0.3">
      <c r="C621" s="65"/>
      <c r="D621" s="66"/>
    </row>
    <row r="622" spans="1:4" hidden="1" x14ac:dyDescent="0.25">
      <c r="A622" s="160" t="str">
        <f>IF(D622&lt;&gt;"","Comp","Blank")</f>
        <v>Blank</v>
      </c>
      <c r="C622" s="45" t="s">
        <v>87</v>
      </c>
      <c r="D622" s="46" t="str">
        <f>IF('KE PRB Summary Data'!A90&lt;&gt;"",('KE PRB Summary Data'!A90),"")</f>
        <v/>
      </c>
    </row>
    <row r="623" spans="1:4" hidden="1" x14ac:dyDescent="0.25">
      <c r="C623" s="49" t="s">
        <v>47</v>
      </c>
      <c r="D623" s="50" t="str">
        <f>IFERROR(VLOOKUP(D622,'KE PRB Summary Data'!A:U,6,FALSE),"")</f>
        <v/>
      </c>
    </row>
    <row r="624" spans="1:4" ht="30" hidden="1" x14ac:dyDescent="0.25">
      <c r="C624" s="49" t="s">
        <v>88</v>
      </c>
      <c r="D624" s="48" t="str">
        <f>IFERROR(VLOOKUP(D622,'KE PRB Summary Data'!A:U,15,FALSE),"")&amp;CHAR(10)</f>
        <v xml:space="preserve">
</v>
      </c>
    </row>
    <row r="625" spans="1:4" ht="30" hidden="1" x14ac:dyDescent="0.25">
      <c r="C625" s="49" t="s">
        <v>89</v>
      </c>
      <c r="D625" s="48" t="str">
        <f>IFERROR(VLOOKUP(D622,'KE PRB Summary Data'!A:U,11,FALSE),"")&amp;CHAR(10)</f>
        <v xml:space="preserve">
</v>
      </c>
    </row>
    <row r="626" spans="1:4" ht="30" hidden="1" x14ac:dyDescent="0.25">
      <c r="C626" s="49" t="s">
        <v>90</v>
      </c>
      <c r="D626" s="48" t="str">
        <f>IFERROR(VLOOKUP(D622,'KE PRB Summary Data'!A:U,12,FALSE),"")&amp;CHAR(10)</f>
        <v xml:space="preserve">
</v>
      </c>
    </row>
    <row r="627" spans="1:4" ht="30.75" hidden="1" thickBot="1" x14ac:dyDescent="0.3">
      <c r="C627" s="51" t="s">
        <v>49</v>
      </c>
      <c r="D627" s="52" t="str">
        <f>IFERROR(VLOOKUP(D622,'KE PRB Summary Data'!A:U,16,FALSE),"")&amp;CHAR(10)</f>
        <v xml:space="preserve">
</v>
      </c>
    </row>
    <row r="628" spans="1:4" ht="15.75" hidden="1" thickBot="1" x14ac:dyDescent="0.3">
      <c r="C628" s="65"/>
      <c r="D628" s="66"/>
    </row>
    <row r="629" spans="1:4" hidden="1" x14ac:dyDescent="0.25">
      <c r="A629" s="160" t="str">
        <f>IF(D629&lt;&gt;"","Comp","Blank")</f>
        <v>Blank</v>
      </c>
      <c r="C629" s="45" t="s">
        <v>87</v>
      </c>
      <c r="D629" s="46" t="str">
        <f>IF('KE PRB Summary Data'!A91&lt;&gt;"",('KE PRB Summary Data'!A91),"")</f>
        <v/>
      </c>
    </row>
    <row r="630" spans="1:4" hidden="1" x14ac:dyDescent="0.25">
      <c r="C630" s="49" t="s">
        <v>47</v>
      </c>
      <c r="D630" s="50" t="str">
        <f>IFERROR(VLOOKUP(D629,'KE PRB Summary Data'!A:U,6,FALSE),"")</f>
        <v/>
      </c>
    </row>
    <row r="631" spans="1:4" ht="30" hidden="1" x14ac:dyDescent="0.25">
      <c r="C631" s="49" t="s">
        <v>88</v>
      </c>
      <c r="D631" s="48" t="str">
        <f>IFERROR(VLOOKUP(D629,'KE PRB Summary Data'!A:U,15,FALSE),"")&amp;CHAR(10)</f>
        <v xml:space="preserve">
</v>
      </c>
    </row>
    <row r="632" spans="1:4" ht="30" hidden="1" x14ac:dyDescent="0.25">
      <c r="C632" s="49" t="s">
        <v>89</v>
      </c>
      <c r="D632" s="48" t="str">
        <f>IFERROR(VLOOKUP(D629,'KE PRB Summary Data'!A:U,11,FALSE),"")&amp;CHAR(10)</f>
        <v xml:space="preserve">
</v>
      </c>
    </row>
    <row r="633" spans="1:4" ht="30" hidden="1" x14ac:dyDescent="0.25">
      <c r="C633" s="49" t="s">
        <v>90</v>
      </c>
      <c r="D633" s="48" t="str">
        <f>IFERROR(VLOOKUP(D629,'KE PRB Summary Data'!A:U,12,FALSE),"")&amp;CHAR(10)</f>
        <v xml:space="preserve">
</v>
      </c>
    </row>
    <row r="634" spans="1:4" ht="30.75" hidden="1" thickBot="1" x14ac:dyDescent="0.3">
      <c r="C634" s="51" t="s">
        <v>49</v>
      </c>
      <c r="D634" s="52" t="str">
        <f>IFERROR(VLOOKUP(D629,'KE PRB Summary Data'!A:U,16,FALSE),"")&amp;CHAR(10)</f>
        <v xml:space="preserve">
</v>
      </c>
    </row>
    <row r="635" spans="1:4" ht="15.75" hidden="1" thickBot="1" x14ac:dyDescent="0.3">
      <c r="C635" s="65"/>
      <c r="D635" s="66"/>
    </row>
    <row r="636" spans="1:4" hidden="1" x14ac:dyDescent="0.25">
      <c r="A636" s="160" t="str">
        <f>IF(D636&lt;&gt;"","Comp","Blank")</f>
        <v>Blank</v>
      </c>
      <c r="C636" s="45" t="s">
        <v>87</v>
      </c>
      <c r="D636" s="46" t="str">
        <f>IF('KE PRB Summary Data'!A92&lt;&gt;"",('KE PRB Summary Data'!A92),"")</f>
        <v/>
      </c>
    </row>
    <row r="637" spans="1:4" hidden="1" x14ac:dyDescent="0.25">
      <c r="C637" s="49" t="s">
        <v>47</v>
      </c>
      <c r="D637" s="50" t="str">
        <f>IFERROR(VLOOKUP(D636,'KE PRB Summary Data'!A:U,6,FALSE),"")</f>
        <v/>
      </c>
    </row>
    <row r="638" spans="1:4" ht="30" hidden="1" x14ac:dyDescent="0.25">
      <c r="C638" s="49" t="s">
        <v>88</v>
      </c>
      <c r="D638" s="48" t="str">
        <f>IFERROR(VLOOKUP(D636,'KE PRB Summary Data'!A:U,15,FALSE),"")&amp;CHAR(10)</f>
        <v xml:space="preserve">
</v>
      </c>
    </row>
    <row r="639" spans="1:4" ht="30" hidden="1" x14ac:dyDescent="0.25">
      <c r="C639" s="49" t="s">
        <v>89</v>
      </c>
      <c r="D639" s="48" t="str">
        <f>IFERROR(VLOOKUP(D636,'KE PRB Summary Data'!A:U,11,FALSE),"")&amp;CHAR(10)</f>
        <v xml:space="preserve">
</v>
      </c>
    </row>
    <row r="640" spans="1:4" ht="30" hidden="1" x14ac:dyDescent="0.25">
      <c r="C640" s="49" t="s">
        <v>90</v>
      </c>
      <c r="D640" s="48" t="str">
        <f>IFERROR(VLOOKUP(D636,'KE PRB Summary Data'!A:U,12,FALSE),"")&amp;CHAR(10)</f>
        <v xml:space="preserve">
</v>
      </c>
    </row>
    <row r="641" spans="1:4" ht="30.75" hidden="1" thickBot="1" x14ac:dyDescent="0.3">
      <c r="C641" s="51" t="s">
        <v>49</v>
      </c>
      <c r="D641" s="52" t="str">
        <f>IFERROR(VLOOKUP(D636,'KE PRB Summary Data'!A:U,16,FALSE),"")&amp;CHAR(10)</f>
        <v xml:space="preserve">
</v>
      </c>
    </row>
    <row r="642" spans="1:4" ht="15.75" hidden="1" thickBot="1" x14ac:dyDescent="0.3">
      <c r="C642" s="65"/>
      <c r="D642" s="66"/>
    </row>
    <row r="643" spans="1:4" hidden="1" x14ac:dyDescent="0.25">
      <c r="A643" s="160" t="str">
        <f>IF(D643&lt;&gt;"","Comp","Blank")</f>
        <v>Blank</v>
      </c>
      <c r="C643" s="45" t="s">
        <v>87</v>
      </c>
      <c r="D643" s="46" t="str">
        <f>IF('KE PRB Summary Data'!A93&lt;&gt;"",('KE PRB Summary Data'!A93),"")</f>
        <v/>
      </c>
    </row>
    <row r="644" spans="1:4" hidden="1" x14ac:dyDescent="0.25">
      <c r="C644" s="49" t="s">
        <v>47</v>
      </c>
      <c r="D644" s="50" t="str">
        <f>IFERROR(VLOOKUP(D643,'KE PRB Summary Data'!A:U,6,FALSE),"")</f>
        <v/>
      </c>
    </row>
    <row r="645" spans="1:4" ht="30" hidden="1" x14ac:dyDescent="0.25">
      <c r="C645" s="49" t="s">
        <v>88</v>
      </c>
      <c r="D645" s="48" t="str">
        <f>IFERROR(VLOOKUP(D643,'KE PRB Summary Data'!A:U,15,FALSE),"")&amp;CHAR(10)</f>
        <v xml:space="preserve">
</v>
      </c>
    </row>
    <row r="646" spans="1:4" ht="30" hidden="1" x14ac:dyDescent="0.25">
      <c r="C646" s="49" t="s">
        <v>89</v>
      </c>
      <c r="D646" s="48" t="str">
        <f>IFERROR(VLOOKUP(D643,'KE PRB Summary Data'!A:U,11,FALSE),"")&amp;CHAR(10)</f>
        <v xml:space="preserve">
</v>
      </c>
    </row>
    <row r="647" spans="1:4" ht="30" hidden="1" x14ac:dyDescent="0.25">
      <c r="C647" s="49" t="s">
        <v>90</v>
      </c>
      <c r="D647" s="48" t="str">
        <f>IFERROR(VLOOKUP(D643,'KE PRB Summary Data'!A:U,12,FALSE),"")&amp;CHAR(10)</f>
        <v xml:space="preserve">
</v>
      </c>
    </row>
    <row r="648" spans="1:4" ht="30.75" hidden="1" thickBot="1" x14ac:dyDescent="0.3">
      <c r="C648" s="51" t="s">
        <v>49</v>
      </c>
      <c r="D648" s="52" t="str">
        <f>IFERROR(VLOOKUP(D643,'KE PRB Summary Data'!A:U,16,FALSE),"")&amp;CHAR(10)</f>
        <v xml:space="preserve">
</v>
      </c>
    </row>
    <row r="649" spans="1:4" ht="15.75" hidden="1" thickBot="1" x14ac:dyDescent="0.3">
      <c r="C649" s="65"/>
      <c r="D649" s="66"/>
    </row>
    <row r="650" spans="1:4" hidden="1" x14ac:dyDescent="0.25">
      <c r="A650" s="160" t="str">
        <f>IF(D650&lt;&gt;"","Comp","Blank")</f>
        <v>Blank</v>
      </c>
      <c r="C650" s="45" t="s">
        <v>87</v>
      </c>
      <c r="D650" s="46" t="str">
        <f>IF('KE PRB Summary Data'!A94&lt;&gt;"",('KE PRB Summary Data'!A94),"")</f>
        <v/>
      </c>
    </row>
    <row r="651" spans="1:4" hidden="1" x14ac:dyDescent="0.25">
      <c r="C651" s="49" t="s">
        <v>47</v>
      </c>
      <c r="D651" s="50" t="str">
        <f>IFERROR(VLOOKUP(D650,'KE PRB Summary Data'!A:U,6,FALSE),"")</f>
        <v/>
      </c>
    </row>
    <row r="652" spans="1:4" ht="30" hidden="1" x14ac:dyDescent="0.25">
      <c r="C652" s="49" t="s">
        <v>88</v>
      </c>
      <c r="D652" s="48" t="str">
        <f>IFERROR(VLOOKUP(D650,'KE PRB Summary Data'!A:U,15,FALSE),"")&amp;CHAR(10)</f>
        <v xml:space="preserve">
</v>
      </c>
    </row>
    <row r="653" spans="1:4" ht="30" hidden="1" x14ac:dyDescent="0.25">
      <c r="C653" s="49" t="s">
        <v>89</v>
      </c>
      <c r="D653" s="48" t="str">
        <f>IFERROR(VLOOKUP(D650,'KE PRB Summary Data'!A:U,11,FALSE),"")&amp;CHAR(10)</f>
        <v xml:space="preserve">
</v>
      </c>
    </row>
    <row r="654" spans="1:4" ht="30" hidden="1" x14ac:dyDescent="0.25">
      <c r="C654" s="49" t="s">
        <v>90</v>
      </c>
      <c r="D654" s="48" t="str">
        <f>IFERROR(VLOOKUP(D650,'KE PRB Summary Data'!A:U,12,FALSE),"")&amp;CHAR(10)</f>
        <v xml:space="preserve">
</v>
      </c>
    </row>
    <row r="655" spans="1:4" ht="30.75" hidden="1" thickBot="1" x14ac:dyDescent="0.3">
      <c r="C655" s="51" t="s">
        <v>49</v>
      </c>
      <c r="D655" s="52" t="str">
        <f>IFERROR(VLOOKUP(D650,'KE PRB Summary Data'!A:U,16,FALSE),"")&amp;CHAR(10)</f>
        <v xml:space="preserve">
</v>
      </c>
    </row>
    <row r="656" spans="1:4" ht="15.75" hidden="1" thickBot="1" x14ac:dyDescent="0.3">
      <c r="C656" s="65"/>
      <c r="D656" s="66"/>
    </row>
    <row r="657" spans="1:4" hidden="1" x14ac:dyDescent="0.25">
      <c r="A657" s="160" t="str">
        <f>IF(D657&lt;&gt;"","Comp","Blank")</f>
        <v>Blank</v>
      </c>
      <c r="C657" s="45" t="s">
        <v>87</v>
      </c>
      <c r="D657" s="46" t="str">
        <f>IF('KE PRB Summary Data'!A95&lt;&gt;"",('KE PRB Summary Data'!A95),"")</f>
        <v/>
      </c>
    </row>
    <row r="658" spans="1:4" hidden="1" x14ac:dyDescent="0.25">
      <c r="C658" s="49" t="s">
        <v>47</v>
      </c>
      <c r="D658" s="50" t="str">
        <f>IFERROR(VLOOKUP(D657,'KE PRB Summary Data'!A:U,6,FALSE),"")</f>
        <v/>
      </c>
    </row>
    <row r="659" spans="1:4" ht="30" hidden="1" x14ac:dyDescent="0.25">
      <c r="C659" s="49" t="s">
        <v>88</v>
      </c>
      <c r="D659" s="48" t="str">
        <f>IFERROR(VLOOKUP(D657,'KE PRB Summary Data'!A:U,15,FALSE),"")&amp;CHAR(10)</f>
        <v xml:space="preserve">
</v>
      </c>
    </row>
    <row r="660" spans="1:4" ht="30" hidden="1" x14ac:dyDescent="0.25">
      <c r="C660" s="49" t="s">
        <v>89</v>
      </c>
      <c r="D660" s="48" t="str">
        <f>IFERROR(VLOOKUP(D657,'KE PRB Summary Data'!A:U,11,FALSE),"")&amp;CHAR(10)</f>
        <v xml:space="preserve">
</v>
      </c>
    </row>
    <row r="661" spans="1:4" ht="30" hidden="1" x14ac:dyDescent="0.25">
      <c r="C661" s="49" t="s">
        <v>90</v>
      </c>
      <c r="D661" s="48" t="str">
        <f>IFERROR(VLOOKUP(D657,'KE PRB Summary Data'!A:U,12,FALSE),"")&amp;CHAR(10)</f>
        <v xml:space="preserve">
</v>
      </c>
    </row>
    <row r="662" spans="1:4" ht="30.75" hidden="1" thickBot="1" x14ac:dyDescent="0.3">
      <c r="C662" s="51" t="s">
        <v>49</v>
      </c>
      <c r="D662" s="52" t="str">
        <f>IFERROR(VLOOKUP(D657,'KE PRB Summary Data'!A:U,16,FALSE),"")&amp;CHAR(10)</f>
        <v xml:space="preserve">
</v>
      </c>
    </row>
    <row r="663" spans="1:4" ht="15.75" hidden="1" thickBot="1" x14ac:dyDescent="0.3">
      <c r="C663" s="65"/>
      <c r="D663" s="66"/>
    </row>
    <row r="664" spans="1:4" hidden="1" x14ac:dyDescent="0.25">
      <c r="A664" s="160" t="str">
        <f>IF(D664&lt;&gt;"","Comp","Blank")</f>
        <v>Blank</v>
      </c>
      <c r="C664" s="45" t="s">
        <v>87</v>
      </c>
      <c r="D664" s="46" t="str">
        <f>IF('KE PRB Summary Data'!A96&lt;&gt;"",('KE PRB Summary Data'!A96),"")</f>
        <v/>
      </c>
    </row>
    <row r="665" spans="1:4" hidden="1" x14ac:dyDescent="0.25">
      <c r="C665" s="49" t="s">
        <v>47</v>
      </c>
      <c r="D665" s="50" t="str">
        <f>IFERROR(VLOOKUP(D664,'KE PRB Summary Data'!A:U,6,FALSE),"")</f>
        <v/>
      </c>
    </row>
    <row r="666" spans="1:4" ht="30" hidden="1" x14ac:dyDescent="0.25">
      <c r="C666" s="49" t="s">
        <v>88</v>
      </c>
      <c r="D666" s="48" t="str">
        <f>IFERROR(VLOOKUP(D664,'KE PRB Summary Data'!A:U,15,FALSE),"")&amp;CHAR(10)</f>
        <v xml:space="preserve">
</v>
      </c>
    </row>
    <row r="667" spans="1:4" ht="30" hidden="1" x14ac:dyDescent="0.25">
      <c r="C667" s="49" t="s">
        <v>89</v>
      </c>
      <c r="D667" s="48" t="str">
        <f>IFERROR(VLOOKUP(D664,'KE PRB Summary Data'!A:U,11,FALSE),"")&amp;CHAR(10)</f>
        <v xml:space="preserve">
</v>
      </c>
    </row>
    <row r="668" spans="1:4" ht="30" hidden="1" x14ac:dyDescent="0.25">
      <c r="C668" s="49" t="s">
        <v>90</v>
      </c>
      <c r="D668" s="48" t="str">
        <f>IFERROR(VLOOKUP(D664,'KE PRB Summary Data'!A:U,12,FALSE),"")&amp;CHAR(10)</f>
        <v xml:space="preserve">
</v>
      </c>
    </row>
    <row r="669" spans="1:4" ht="30.75" hidden="1" thickBot="1" x14ac:dyDescent="0.3">
      <c r="C669" s="51" t="s">
        <v>49</v>
      </c>
      <c r="D669" s="52" t="str">
        <f>IFERROR(VLOOKUP(D664,'KE PRB Summary Data'!A:U,16,FALSE),"")&amp;CHAR(10)</f>
        <v xml:space="preserve">
</v>
      </c>
    </row>
    <row r="670" spans="1:4" ht="15.75" hidden="1" thickBot="1" x14ac:dyDescent="0.3">
      <c r="C670" s="65"/>
      <c r="D670" s="66"/>
    </row>
    <row r="671" spans="1:4" hidden="1" x14ac:dyDescent="0.25">
      <c r="A671" s="160" t="str">
        <f>IF(D671&lt;&gt;"","Comp","Blank")</f>
        <v>Blank</v>
      </c>
      <c r="C671" s="45" t="s">
        <v>87</v>
      </c>
      <c r="D671" s="46" t="str">
        <f>IF('KE PRB Summary Data'!A97&lt;&gt;"",('KE PRB Summary Data'!A97),"")</f>
        <v/>
      </c>
    </row>
    <row r="672" spans="1:4" hidden="1" x14ac:dyDescent="0.25">
      <c r="C672" s="49" t="s">
        <v>47</v>
      </c>
      <c r="D672" s="50" t="str">
        <f>IFERROR(VLOOKUP(D671,'KE PRB Summary Data'!A:U,6,FALSE),"")</f>
        <v/>
      </c>
    </row>
    <row r="673" spans="1:4" ht="30" hidden="1" x14ac:dyDescent="0.25">
      <c r="C673" s="49" t="s">
        <v>88</v>
      </c>
      <c r="D673" s="48" t="str">
        <f>IFERROR(VLOOKUP(D671,'KE PRB Summary Data'!A:U,15,FALSE),"")&amp;CHAR(10)</f>
        <v xml:space="preserve">
</v>
      </c>
    </row>
    <row r="674" spans="1:4" ht="30" hidden="1" x14ac:dyDescent="0.25">
      <c r="C674" s="49" t="s">
        <v>89</v>
      </c>
      <c r="D674" s="48" t="str">
        <f>IFERROR(VLOOKUP(D671,'KE PRB Summary Data'!A:U,11,FALSE),"")&amp;CHAR(10)</f>
        <v xml:space="preserve">
</v>
      </c>
    </row>
    <row r="675" spans="1:4" ht="30" hidden="1" x14ac:dyDescent="0.25">
      <c r="C675" s="49" t="s">
        <v>90</v>
      </c>
      <c r="D675" s="48" t="str">
        <f>IFERROR(VLOOKUP(D671,'KE PRB Summary Data'!A:U,12,FALSE),"")&amp;CHAR(10)</f>
        <v xml:space="preserve">
</v>
      </c>
    </row>
    <row r="676" spans="1:4" ht="30.75" hidden="1" thickBot="1" x14ac:dyDescent="0.3">
      <c r="C676" s="51" t="s">
        <v>49</v>
      </c>
      <c r="D676" s="52" t="str">
        <f>IFERROR(VLOOKUP(D671,'KE PRB Summary Data'!A:U,16,FALSE),"")&amp;CHAR(10)</f>
        <v xml:space="preserve">
</v>
      </c>
    </row>
    <row r="677" spans="1:4" ht="15.75" hidden="1" thickBot="1" x14ac:dyDescent="0.3">
      <c r="C677" s="65"/>
      <c r="D677" s="66"/>
    </row>
    <row r="678" spans="1:4" hidden="1" x14ac:dyDescent="0.25">
      <c r="A678" s="160" t="str">
        <f>IF(D678&lt;&gt;"","Comp","Blank")</f>
        <v>Blank</v>
      </c>
      <c r="C678" s="45" t="s">
        <v>87</v>
      </c>
      <c r="D678" s="46" t="str">
        <f>IF('KE PRB Summary Data'!A98&lt;&gt;"",('KE PRB Summary Data'!A98),"")</f>
        <v/>
      </c>
    </row>
    <row r="679" spans="1:4" hidden="1" x14ac:dyDescent="0.25">
      <c r="C679" s="49" t="s">
        <v>47</v>
      </c>
      <c r="D679" s="50" t="str">
        <f>IFERROR(VLOOKUP(D678,'KE PRB Summary Data'!A:U,6,FALSE),"")</f>
        <v/>
      </c>
    </row>
    <row r="680" spans="1:4" ht="30" hidden="1" x14ac:dyDescent="0.25">
      <c r="C680" s="49" t="s">
        <v>88</v>
      </c>
      <c r="D680" s="48" t="str">
        <f>IFERROR(VLOOKUP(D678,'KE PRB Summary Data'!A:U,15,FALSE),"")&amp;CHAR(10)</f>
        <v xml:space="preserve">
</v>
      </c>
    </row>
    <row r="681" spans="1:4" ht="30" hidden="1" x14ac:dyDescent="0.25">
      <c r="C681" s="49" t="s">
        <v>89</v>
      </c>
      <c r="D681" s="48" t="str">
        <f>IFERROR(VLOOKUP(D678,'KE PRB Summary Data'!A:U,11,FALSE),"")&amp;CHAR(10)</f>
        <v xml:space="preserve">
</v>
      </c>
    </row>
    <row r="682" spans="1:4" ht="30" hidden="1" x14ac:dyDescent="0.25">
      <c r="C682" s="49" t="s">
        <v>90</v>
      </c>
      <c r="D682" s="48" t="str">
        <f>IFERROR(VLOOKUP(D678,'KE PRB Summary Data'!A:U,12,FALSE),"")&amp;CHAR(10)</f>
        <v xml:space="preserve">
</v>
      </c>
    </row>
    <row r="683" spans="1:4" ht="30.75" hidden="1" thickBot="1" x14ac:dyDescent="0.3">
      <c r="C683" s="51" t="s">
        <v>49</v>
      </c>
      <c r="D683" s="52" t="str">
        <f>IFERROR(VLOOKUP(D678,'KE PRB Summary Data'!A:U,16,FALSE),"")&amp;CHAR(10)</f>
        <v xml:space="preserve">
</v>
      </c>
    </row>
    <row r="684" spans="1:4" ht="15.75" hidden="1" thickBot="1" x14ac:dyDescent="0.3">
      <c r="C684" s="65"/>
      <c r="D684" s="66"/>
    </row>
    <row r="685" spans="1:4" hidden="1" x14ac:dyDescent="0.25">
      <c r="A685" s="160" t="str">
        <f>IF(D685&lt;&gt;"","Comp","Blank")</f>
        <v>Blank</v>
      </c>
      <c r="C685" s="45" t="s">
        <v>87</v>
      </c>
      <c r="D685" s="46" t="str">
        <f>IF('KE PRB Summary Data'!A99&lt;&gt;"",('KE PRB Summary Data'!A99),"")</f>
        <v/>
      </c>
    </row>
    <row r="686" spans="1:4" hidden="1" x14ac:dyDescent="0.25">
      <c r="C686" s="49" t="s">
        <v>47</v>
      </c>
      <c r="D686" s="50" t="str">
        <f>IFERROR(VLOOKUP(D685,'KE PRB Summary Data'!A:U,6,FALSE),"")</f>
        <v/>
      </c>
    </row>
    <row r="687" spans="1:4" ht="30" hidden="1" x14ac:dyDescent="0.25">
      <c r="C687" s="49" t="s">
        <v>88</v>
      </c>
      <c r="D687" s="48" t="str">
        <f>IFERROR(VLOOKUP(D685,'KE PRB Summary Data'!A:U,15,FALSE),"")&amp;CHAR(10)</f>
        <v xml:space="preserve">
</v>
      </c>
    </row>
    <row r="688" spans="1:4" ht="30" hidden="1" x14ac:dyDescent="0.25">
      <c r="C688" s="49" t="s">
        <v>89</v>
      </c>
      <c r="D688" s="48" t="str">
        <f>IFERROR(VLOOKUP(D685,'KE PRB Summary Data'!A:U,11,FALSE),"")&amp;CHAR(10)</f>
        <v xml:space="preserve">
</v>
      </c>
    </row>
    <row r="689" spans="1:4" ht="30" hidden="1" x14ac:dyDescent="0.25">
      <c r="C689" s="49" t="s">
        <v>90</v>
      </c>
      <c r="D689" s="48" t="str">
        <f>IFERROR(VLOOKUP(D685,'KE PRB Summary Data'!A:U,12,FALSE),"")&amp;CHAR(10)</f>
        <v xml:space="preserve">
</v>
      </c>
    </row>
    <row r="690" spans="1:4" ht="30.75" hidden="1" thickBot="1" x14ac:dyDescent="0.3">
      <c r="C690" s="51" t="s">
        <v>49</v>
      </c>
      <c r="D690" s="52" t="str">
        <f>IFERROR(VLOOKUP(D685,'KE PRB Summary Data'!A:U,16,FALSE),"")&amp;CHAR(10)</f>
        <v xml:space="preserve">
</v>
      </c>
    </row>
    <row r="691" spans="1:4" ht="15.75" hidden="1" thickBot="1" x14ac:dyDescent="0.3">
      <c r="C691" s="65"/>
      <c r="D691" s="66"/>
    </row>
    <row r="692" spans="1:4" hidden="1" x14ac:dyDescent="0.25">
      <c r="A692" s="160" t="str">
        <f>IF(D692&lt;&gt;"","Comp","Blank")</f>
        <v>Blank</v>
      </c>
      <c r="C692" s="45" t="s">
        <v>87</v>
      </c>
      <c r="D692" s="46" t="str">
        <f>IF('KE PRB Summary Data'!A100&lt;&gt;"",('KE PRB Summary Data'!A100),"")</f>
        <v/>
      </c>
    </row>
    <row r="693" spans="1:4" hidden="1" x14ac:dyDescent="0.25">
      <c r="C693" s="49" t="s">
        <v>47</v>
      </c>
      <c r="D693" s="50" t="str">
        <f>IFERROR(VLOOKUP(D692,'KE PRB Summary Data'!A:U,6,FALSE),"")</f>
        <v/>
      </c>
    </row>
    <row r="694" spans="1:4" ht="30" hidden="1" x14ac:dyDescent="0.25">
      <c r="C694" s="49" t="s">
        <v>88</v>
      </c>
      <c r="D694" s="48" t="str">
        <f>IFERROR(VLOOKUP(D692,'KE PRB Summary Data'!A:U,15,FALSE),"")&amp;CHAR(10)</f>
        <v xml:space="preserve">
</v>
      </c>
    </row>
    <row r="695" spans="1:4" ht="30" hidden="1" x14ac:dyDescent="0.25">
      <c r="C695" s="49" t="s">
        <v>89</v>
      </c>
      <c r="D695" s="48" t="str">
        <f>IFERROR(VLOOKUP(D692,'KE PRB Summary Data'!A:U,11,FALSE),"")&amp;CHAR(10)</f>
        <v xml:space="preserve">
</v>
      </c>
    </row>
    <row r="696" spans="1:4" ht="30" hidden="1" x14ac:dyDescent="0.25">
      <c r="C696" s="49" t="s">
        <v>90</v>
      </c>
      <c r="D696" s="48" t="str">
        <f>IFERROR(VLOOKUP(D692,'KE PRB Summary Data'!A:U,12,FALSE),"")&amp;CHAR(10)</f>
        <v xml:space="preserve">
</v>
      </c>
    </row>
    <row r="697" spans="1:4" ht="30.75" hidden="1" thickBot="1" x14ac:dyDescent="0.3">
      <c r="C697" s="51" t="s">
        <v>49</v>
      </c>
      <c r="D697" s="52" t="str">
        <f>IFERROR(VLOOKUP(D692,'KE PRB Summary Data'!A:U,16,FALSE),"")&amp;CHAR(10)</f>
        <v xml:space="preserve">
</v>
      </c>
    </row>
    <row r="698" spans="1:4" ht="15.75" hidden="1" thickBot="1" x14ac:dyDescent="0.3">
      <c r="C698" s="65"/>
      <c r="D698" s="66"/>
    </row>
    <row r="699" spans="1:4" hidden="1" x14ac:dyDescent="0.25">
      <c r="A699" s="160" t="str">
        <f>IF(D699&lt;&gt;"","Comp","Blank")</f>
        <v>Blank</v>
      </c>
      <c r="C699" s="45" t="s">
        <v>87</v>
      </c>
      <c r="D699" s="46" t="str">
        <f>IF('KE PRB Summary Data'!A101&lt;&gt;"",('KE PRB Summary Data'!A101),"")</f>
        <v/>
      </c>
    </row>
    <row r="700" spans="1:4" hidden="1" x14ac:dyDescent="0.25">
      <c r="C700" s="49" t="s">
        <v>47</v>
      </c>
      <c r="D700" s="50" t="str">
        <f>IFERROR(VLOOKUP(D699,'KE PRB Summary Data'!A:U,6,FALSE),"")</f>
        <v/>
      </c>
    </row>
    <row r="701" spans="1:4" ht="30" hidden="1" x14ac:dyDescent="0.25">
      <c r="C701" s="49" t="s">
        <v>88</v>
      </c>
      <c r="D701" s="48" t="str">
        <f>IFERROR(VLOOKUP(D699,'KE PRB Summary Data'!A:U,15,FALSE),"")&amp;CHAR(10)</f>
        <v xml:space="preserve">
</v>
      </c>
    </row>
    <row r="702" spans="1:4" ht="30" hidden="1" x14ac:dyDescent="0.25">
      <c r="C702" s="49" t="s">
        <v>89</v>
      </c>
      <c r="D702" s="48" t="str">
        <f>IFERROR(VLOOKUP(D699,'KE PRB Summary Data'!A:U,11,FALSE),"")&amp;CHAR(10)</f>
        <v xml:space="preserve">
</v>
      </c>
    </row>
    <row r="703" spans="1:4" ht="30" hidden="1" x14ac:dyDescent="0.25">
      <c r="C703" s="49" t="s">
        <v>90</v>
      </c>
      <c r="D703" s="48" t="str">
        <f>IFERROR(VLOOKUP(D699,'KE PRB Summary Data'!A:U,12,FALSE),"")&amp;CHAR(10)</f>
        <v xml:space="preserve">
</v>
      </c>
    </row>
    <row r="704" spans="1:4" ht="30.75" hidden="1" thickBot="1" x14ac:dyDescent="0.3">
      <c r="C704" s="51" t="s">
        <v>49</v>
      </c>
      <c r="D704" s="52" t="str">
        <f>IFERROR(VLOOKUP(D699,'KE PRB Summary Data'!A:U,16,FALSE),"")&amp;CHAR(10)</f>
        <v xml:space="preserve">
</v>
      </c>
    </row>
    <row r="705" spans="1:4" ht="15.75" hidden="1" thickBot="1" x14ac:dyDescent="0.3">
      <c r="C705" s="65"/>
      <c r="D705" s="66"/>
    </row>
    <row r="706" spans="1:4" hidden="1" x14ac:dyDescent="0.25">
      <c r="A706" s="160" t="str">
        <f>IF(D706&lt;&gt;"","Comp","Blank")</f>
        <v>Blank</v>
      </c>
      <c r="C706" s="45" t="s">
        <v>87</v>
      </c>
      <c r="D706" s="46" t="str">
        <f>IF('KE PRB Summary Data'!A102&lt;&gt;"",('KE PRB Summary Data'!A102),"")</f>
        <v/>
      </c>
    </row>
    <row r="707" spans="1:4" hidden="1" x14ac:dyDescent="0.25">
      <c r="C707" s="49" t="s">
        <v>47</v>
      </c>
      <c r="D707" s="50" t="str">
        <f>IFERROR(VLOOKUP(D706,'KE PRB Summary Data'!A:U,6,FALSE),"")</f>
        <v/>
      </c>
    </row>
    <row r="708" spans="1:4" ht="30" hidden="1" x14ac:dyDescent="0.25">
      <c r="C708" s="49" t="s">
        <v>88</v>
      </c>
      <c r="D708" s="48" t="str">
        <f>IFERROR(VLOOKUP(D706,'KE PRB Summary Data'!A:U,15,FALSE),"")&amp;CHAR(10)</f>
        <v xml:space="preserve">
</v>
      </c>
    </row>
    <row r="709" spans="1:4" ht="30" hidden="1" x14ac:dyDescent="0.25">
      <c r="C709" s="49" t="s">
        <v>89</v>
      </c>
      <c r="D709" s="48" t="str">
        <f>IFERROR(VLOOKUP(D706,'KE PRB Summary Data'!A:U,11,FALSE),"")&amp;CHAR(10)</f>
        <v xml:space="preserve">
</v>
      </c>
    </row>
    <row r="710" spans="1:4" ht="30" hidden="1" x14ac:dyDescent="0.25">
      <c r="C710" s="49" t="s">
        <v>90</v>
      </c>
      <c r="D710" s="48" t="str">
        <f>IFERROR(VLOOKUP(D706,'KE PRB Summary Data'!A:U,12,FALSE),"")&amp;CHAR(10)</f>
        <v xml:space="preserve">
</v>
      </c>
    </row>
    <row r="711" spans="1:4" ht="30.75" hidden="1" thickBot="1" x14ac:dyDescent="0.3">
      <c r="C711" s="51" t="s">
        <v>49</v>
      </c>
      <c r="D711" s="52" t="str">
        <f>IFERROR(VLOOKUP(D706,'KE PRB Summary Data'!A:U,16,FALSE),"")&amp;CHAR(10)</f>
        <v xml:space="preserve">
</v>
      </c>
    </row>
    <row r="712" spans="1:4" ht="15.75" hidden="1" thickBot="1" x14ac:dyDescent="0.3">
      <c r="C712" s="65"/>
      <c r="D712" s="66"/>
    </row>
    <row r="713" spans="1:4" hidden="1" x14ac:dyDescent="0.25">
      <c r="A713" s="160" t="str">
        <f>IF(D713&lt;&gt;"","Comp","Blank")</f>
        <v>Blank</v>
      </c>
      <c r="C713" s="45" t="s">
        <v>87</v>
      </c>
      <c r="D713" s="46" t="str">
        <f>IF('KE PRB Summary Data'!A103&lt;&gt;"",('KE PRB Summary Data'!A103),"")</f>
        <v/>
      </c>
    </row>
    <row r="714" spans="1:4" hidden="1" x14ac:dyDescent="0.25">
      <c r="C714" s="49" t="s">
        <v>47</v>
      </c>
      <c r="D714" s="50" t="str">
        <f>IFERROR(VLOOKUP(D713,'KE PRB Summary Data'!A:U,6,FALSE),"")</f>
        <v/>
      </c>
    </row>
    <row r="715" spans="1:4" ht="30" hidden="1" x14ac:dyDescent="0.25">
      <c r="C715" s="49" t="s">
        <v>88</v>
      </c>
      <c r="D715" s="48" t="str">
        <f>IFERROR(VLOOKUP(D713,'KE PRB Summary Data'!A:U,15,FALSE),"")&amp;CHAR(10)</f>
        <v xml:space="preserve">
</v>
      </c>
    </row>
    <row r="716" spans="1:4" ht="30" hidden="1" x14ac:dyDescent="0.25">
      <c r="C716" s="49" t="s">
        <v>89</v>
      </c>
      <c r="D716" s="48" t="str">
        <f>IFERROR(VLOOKUP(D713,'KE PRB Summary Data'!A:U,11,FALSE),"")&amp;CHAR(10)</f>
        <v xml:space="preserve">
</v>
      </c>
    </row>
    <row r="717" spans="1:4" ht="30" hidden="1" x14ac:dyDescent="0.25">
      <c r="C717" s="49" t="s">
        <v>90</v>
      </c>
      <c r="D717" s="48" t="str">
        <f>IFERROR(VLOOKUP(D713,'KE PRB Summary Data'!A:U,12,FALSE),"")&amp;CHAR(10)</f>
        <v xml:space="preserve">
</v>
      </c>
    </row>
    <row r="718" spans="1:4" ht="30.75" hidden="1" thickBot="1" x14ac:dyDescent="0.3">
      <c r="C718" s="51" t="s">
        <v>49</v>
      </c>
      <c r="D718" s="52" t="str">
        <f>IFERROR(VLOOKUP(D713,'KE PRB Summary Data'!A:U,16,FALSE),"")&amp;CHAR(10)</f>
        <v xml:space="preserve">
</v>
      </c>
    </row>
    <row r="719" spans="1:4" ht="15.75" hidden="1" thickBot="1" x14ac:dyDescent="0.3">
      <c r="C719" s="65"/>
      <c r="D719" s="66"/>
    </row>
    <row r="720" spans="1:4" hidden="1" x14ac:dyDescent="0.25">
      <c r="A720" s="160" t="str">
        <f>IF(D720&lt;&gt;"","Comp","Blank")</f>
        <v>Blank</v>
      </c>
      <c r="C720" s="45" t="s">
        <v>87</v>
      </c>
      <c r="D720" s="46" t="str">
        <f>IF('KE PRB Summary Data'!A104&lt;&gt;"",('KE PRB Summary Data'!A104),"")</f>
        <v/>
      </c>
    </row>
    <row r="721" spans="1:4" hidden="1" x14ac:dyDescent="0.25">
      <c r="C721" s="49" t="s">
        <v>47</v>
      </c>
      <c r="D721" s="50" t="str">
        <f>IFERROR(VLOOKUP(D720,'KE PRB Summary Data'!A:U,6,FALSE),"")</f>
        <v/>
      </c>
    </row>
    <row r="722" spans="1:4" ht="30" hidden="1" x14ac:dyDescent="0.25">
      <c r="C722" s="49" t="s">
        <v>88</v>
      </c>
      <c r="D722" s="48" t="str">
        <f>IFERROR(VLOOKUP(D720,'KE PRB Summary Data'!A:U,15,FALSE),"")&amp;CHAR(10)</f>
        <v xml:space="preserve">
</v>
      </c>
    </row>
    <row r="723" spans="1:4" ht="30" hidden="1" x14ac:dyDescent="0.25">
      <c r="C723" s="49" t="s">
        <v>89</v>
      </c>
      <c r="D723" s="48" t="str">
        <f>IFERROR(VLOOKUP(D720,'KE PRB Summary Data'!A:U,11,FALSE),"")&amp;CHAR(10)</f>
        <v xml:space="preserve">
</v>
      </c>
    </row>
    <row r="724" spans="1:4" ht="30" hidden="1" x14ac:dyDescent="0.25">
      <c r="C724" s="49" t="s">
        <v>90</v>
      </c>
      <c r="D724" s="48" t="str">
        <f>IFERROR(VLOOKUP(D720,'KE PRB Summary Data'!A:U,12,FALSE),"")&amp;CHAR(10)</f>
        <v xml:space="preserve">
</v>
      </c>
    </row>
    <row r="725" spans="1:4" ht="30.75" hidden="1" thickBot="1" x14ac:dyDescent="0.3">
      <c r="C725" s="51" t="s">
        <v>49</v>
      </c>
      <c r="D725" s="52" t="str">
        <f>IFERROR(VLOOKUP(D720,'KE PRB Summary Data'!A:U,16,FALSE),"")&amp;CHAR(10)</f>
        <v xml:space="preserve">
</v>
      </c>
    </row>
    <row r="726" spans="1:4" ht="15.75" hidden="1" thickBot="1" x14ac:dyDescent="0.3">
      <c r="C726" s="65"/>
      <c r="D726" s="66"/>
    </row>
    <row r="727" spans="1:4" hidden="1" x14ac:dyDescent="0.25">
      <c r="A727" s="160" t="str">
        <f>IF(D727&lt;&gt;"","Comp","Blank")</f>
        <v>Blank</v>
      </c>
      <c r="C727" s="45" t="s">
        <v>87</v>
      </c>
      <c r="D727" s="46" t="str">
        <f>IF('KE PRB Summary Data'!A105&lt;&gt;"",('KE PRB Summary Data'!A105),"")</f>
        <v/>
      </c>
    </row>
    <row r="728" spans="1:4" hidden="1" x14ac:dyDescent="0.25">
      <c r="C728" s="49" t="s">
        <v>47</v>
      </c>
      <c r="D728" s="50" t="str">
        <f>IFERROR(VLOOKUP(D727,'KE PRB Summary Data'!A:U,6,FALSE),"")</f>
        <v/>
      </c>
    </row>
    <row r="729" spans="1:4" ht="30" hidden="1" x14ac:dyDescent="0.25">
      <c r="C729" s="49" t="s">
        <v>88</v>
      </c>
      <c r="D729" s="48" t="str">
        <f>IFERROR(VLOOKUP(D727,'KE PRB Summary Data'!A:U,15,FALSE),"")&amp;CHAR(10)</f>
        <v xml:space="preserve">
</v>
      </c>
    </row>
    <row r="730" spans="1:4" ht="30" hidden="1" x14ac:dyDescent="0.25">
      <c r="C730" s="49" t="s">
        <v>89</v>
      </c>
      <c r="D730" s="48" t="str">
        <f>IFERROR(VLOOKUP(D727,'KE PRB Summary Data'!A:U,11,FALSE),"")&amp;CHAR(10)</f>
        <v xml:space="preserve">
</v>
      </c>
    </row>
    <row r="731" spans="1:4" ht="30" hidden="1" x14ac:dyDescent="0.25">
      <c r="C731" s="49" t="s">
        <v>90</v>
      </c>
      <c r="D731" s="48" t="str">
        <f>IFERROR(VLOOKUP(D727,'KE PRB Summary Data'!A:U,12,FALSE),"")&amp;CHAR(10)</f>
        <v xml:space="preserve">
</v>
      </c>
    </row>
    <row r="732" spans="1:4" ht="30.75" hidden="1" thickBot="1" x14ac:dyDescent="0.3">
      <c r="C732" s="51" t="s">
        <v>49</v>
      </c>
      <c r="D732" s="52" t="str">
        <f>IFERROR(VLOOKUP(D727,'KE PRB Summary Data'!A:U,16,FALSE),"")&amp;CHAR(10)</f>
        <v xml:space="preserve">
</v>
      </c>
    </row>
    <row r="733" spans="1:4" ht="15.75" hidden="1" thickBot="1" x14ac:dyDescent="0.3">
      <c r="C733" s="65"/>
      <c r="D733" s="66"/>
    </row>
    <row r="734" spans="1:4" hidden="1" x14ac:dyDescent="0.25">
      <c r="A734" s="160" t="str">
        <f>IF(D734&lt;&gt;"","Comp","Blank")</f>
        <v>Blank</v>
      </c>
      <c r="C734" s="45" t="s">
        <v>87</v>
      </c>
      <c r="D734" s="46" t="str">
        <f>IF('KE PRB Summary Data'!A106&lt;&gt;"",('KE PRB Summary Data'!A106),"")</f>
        <v/>
      </c>
    </row>
    <row r="735" spans="1:4" hidden="1" x14ac:dyDescent="0.25">
      <c r="C735" s="49" t="s">
        <v>47</v>
      </c>
      <c r="D735" s="50" t="str">
        <f>IFERROR(VLOOKUP(D734,'KE PRB Summary Data'!A:U,6,FALSE),"")</f>
        <v/>
      </c>
    </row>
    <row r="736" spans="1:4" ht="30" hidden="1" x14ac:dyDescent="0.25">
      <c r="C736" s="49" t="s">
        <v>88</v>
      </c>
      <c r="D736" s="48" t="str">
        <f>IFERROR(VLOOKUP(D734,'KE PRB Summary Data'!A:U,15,FALSE),"")&amp;CHAR(10)</f>
        <v xml:space="preserve">
</v>
      </c>
    </row>
    <row r="737" spans="1:4" ht="30" hidden="1" x14ac:dyDescent="0.25">
      <c r="C737" s="49" t="s">
        <v>89</v>
      </c>
      <c r="D737" s="48" t="str">
        <f>IFERROR(VLOOKUP(D734,'KE PRB Summary Data'!A:U,11,FALSE),"")&amp;CHAR(10)</f>
        <v xml:space="preserve">
</v>
      </c>
    </row>
    <row r="738" spans="1:4" ht="30" hidden="1" x14ac:dyDescent="0.25">
      <c r="C738" s="49" t="s">
        <v>90</v>
      </c>
      <c r="D738" s="48" t="str">
        <f>IFERROR(VLOOKUP(D734,'KE PRB Summary Data'!A:U,12,FALSE),"")&amp;CHAR(10)</f>
        <v xml:space="preserve">
</v>
      </c>
    </row>
    <row r="739" spans="1:4" ht="30.75" hidden="1" thickBot="1" x14ac:dyDescent="0.3">
      <c r="C739" s="51" t="s">
        <v>49</v>
      </c>
      <c r="D739" s="52" t="str">
        <f>IFERROR(VLOOKUP(D734,'KE PRB Summary Data'!A:U,16,FALSE),"")&amp;CHAR(10)</f>
        <v xml:space="preserve">
</v>
      </c>
    </row>
    <row r="740" spans="1:4" ht="15.75" hidden="1" thickBot="1" x14ac:dyDescent="0.3">
      <c r="C740" s="65"/>
      <c r="D740" s="66"/>
    </row>
    <row r="741" spans="1:4" hidden="1" x14ac:dyDescent="0.25">
      <c r="A741" s="160" t="str">
        <f>IF(D741&lt;&gt;"","Comp","Blank")</f>
        <v>Blank</v>
      </c>
      <c r="C741" s="45" t="s">
        <v>87</v>
      </c>
      <c r="D741" s="46" t="str">
        <f>IF('KE PRB Summary Data'!A107&lt;&gt;"",('KE PRB Summary Data'!A107),"")</f>
        <v/>
      </c>
    </row>
    <row r="742" spans="1:4" hidden="1" x14ac:dyDescent="0.25">
      <c r="C742" s="49" t="s">
        <v>47</v>
      </c>
      <c r="D742" s="50" t="str">
        <f>IFERROR(VLOOKUP(D741,'KE PRB Summary Data'!A:U,6,FALSE),"")</f>
        <v/>
      </c>
    </row>
    <row r="743" spans="1:4" ht="30" hidden="1" x14ac:dyDescent="0.25">
      <c r="C743" s="49" t="s">
        <v>88</v>
      </c>
      <c r="D743" s="48" t="str">
        <f>IFERROR(VLOOKUP(D741,'KE PRB Summary Data'!A:U,15,FALSE),"")&amp;CHAR(10)</f>
        <v xml:space="preserve">
</v>
      </c>
    </row>
    <row r="744" spans="1:4" ht="30" hidden="1" x14ac:dyDescent="0.25">
      <c r="C744" s="49" t="s">
        <v>89</v>
      </c>
      <c r="D744" s="48" t="str">
        <f>IFERROR(VLOOKUP(D741,'KE PRB Summary Data'!A:U,11,FALSE),"")&amp;CHAR(10)</f>
        <v xml:space="preserve">
</v>
      </c>
    </row>
    <row r="745" spans="1:4" ht="30" hidden="1" x14ac:dyDescent="0.25">
      <c r="C745" s="49" t="s">
        <v>90</v>
      </c>
      <c r="D745" s="48" t="str">
        <f>IFERROR(VLOOKUP(D741,'KE PRB Summary Data'!A:U,12,FALSE),"")&amp;CHAR(10)</f>
        <v xml:space="preserve">
</v>
      </c>
    </row>
    <row r="746" spans="1:4" ht="30.75" hidden="1" thickBot="1" x14ac:dyDescent="0.3">
      <c r="C746" s="51" t="s">
        <v>49</v>
      </c>
      <c r="D746" s="52" t="str">
        <f>IFERROR(VLOOKUP(D741,'KE PRB Summary Data'!A:U,16,FALSE),"")&amp;CHAR(10)</f>
        <v xml:space="preserve">
</v>
      </c>
    </row>
    <row r="747" spans="1:4" ht="15.75" hidden="1" thickBot="1" x14ac:dyDescent="0.3">
      <c r="C747" s="65"/>
      <c r="D747" s="66"/>
    </row>
    <row r="748" spans="1:4" hidden="1" x14ac:dyDescent="0.25">
      <c r="A748" s="160" t="str">
        <f>IF(D748&lt;&gt;"","Comp","Blank")</f>
        <v>Blank</v>
      </c>
      <c r="C748" s="45" t="s">
        <v>87</v>
      </c>
      <c r="D748" s="46" t="str">
        <f>IF('KE PRB Summary Data'!A108&lt;&gt;"",('KE PRB Summary Data'!A108),"")</f>
        <v/>
      </c>
    </row>
    <row r="749" spans="1:4" hidden="1" x14ac:dyDescent="0.25">
      <c r="C749" s="49" t="s">
        <v>47</v>
      </c>
      <c r="D749" s="50" t="str">
        <f>IFERROR(VLOOKUP(D748,'KE PRB Summary Data'!A:U,6,FALSE),"")</f>
        <v/>
      </c>
    </row>
    <row r="750" spans="1:4" ht="30" hidden="1" x14ac:dyDescent="0.25">
      <c r="C750" s="49" t="s">
        <v>88</v>
      </c>
      <c r="D750" s="48" t="str">
        <f>IFERROR(VLOOKUP(D748,'KE PRB Summary Data'!A:U,15,FALSE),"")&amp;CHAR(10)</f>
        <v xml:space="preserve">
</v>
      </c>
    </row>
    <row r="751" spans="1:4" ht="30" hidden="1" x14ac:dyDescent="0.25">
      <c r="C751" s="49" t="s">
        <v>89</v>
      </c>
      <c r="D751" s="48" t="str">
        <f>IFERROR(VLOOKUP(D748,'KE PRB Summary Data'!A:U,11,FALSE),"")&amp;CHAR(10)</f>
        <v xml:space="preserve">
</v>
      </c>
    </row>
    <row r="752" spans="1:4" ht="30" hidden="1" x14ac:dyDescent="0.25">
      <c r="C752" s="49" t="s">
        <v>90</v>
      </c>
      <c r="D752" s="48" t="str">
        <f>IFERROR(VLOOKUP(D748,'KE PRB Summary Data'!A:U,12,FALSE),"")&amp;CHAR(10)</f>
        <v xml:space="preserve">
</v>
      </c>
    </row>
    <row r="753" spans="1:4" ht="30.75" hidden="1" thickBot="1" x14ac:dyDescent="0.3">
      <c r="C753" s="51" t="s">
        <v>49</v>
      </c>
      <c r="D753" s="52" t="str">
        <f>IFERROR(VLOOKUP(D748,'KE PRB Summary Data'!A:U,16,FALSE),"")&amp;CHAR(10)</f>
        <v xml:space="preserve">
</v>
      </c>
    </row>
    <row r="754" spans="1:4" ht="15.75" hidden="1" thickBot="1" x14ac:dyDescent="0.3">
      <c r="C754" s="65"/>
      <c r="D754" s="66"/>
    </row>
    <row r="755" spans="1:4" hidden="1" x14ac:dyDescent="0.25">
      <c r="A755" s="160" t="str">
        <f>IF(D755&lt;&gt;"","Comp","Blank")</f>
        <v>Blank</v>
      </c>
      <c r="C755" s="45" t="s">
        <v>87</v>
      </c>
      <c r="D755" s="46" t="str">
        <f>IF('KE PRB Summary Data'!A109&lt;&gt;"",('KE PRB Summary Data'!A109),"")</f>
        <v/>
      </c>
    </row>
    <row r="756" spans="1:4" hidden="1" x14ac:dyDescent="0.25">
      <c r="C756" s="49" t="s">
        <v>47</v>
      </c>
      <c r="D756" s="50" t="str">
        <f>IFERROR(VLOOKUP(D755,'KE PRB Summary Data'!A:U,6,FALSE),"")</f>
        <v/>
      </c>
    </row>
    <row r="757" spans="1:4" ht="30" hidden="1" x14ac:dyDescent="0.25">
      <c r="C757" s="49" t="s">
        <v>88</v>
      </c>
      <c r="D757" s="48" t="str">
        <f>IFERROR(VLOOKUP(D755,'KE PRB Summary Data'!A:U,15,FALSE),"")&amp;CHAR(10)</f>
        <v xml:space="preserve">
</v>
      </c>
    </row>
    <row r="758" spans="1:4" ht="30" hidden="1" x14ac:dyDescent="0.25">
      <c r="C758" s="49" t="s">
        <v>89</v>
      </c>
      <c r="D758" s="48" t="str">
        <f>IFERROR(VLOOKUP(D755,'KE PRB Summary Data'!A:U,11,FALSE),"")&amp;CHAR(10)</f>
        <v xml:space="preserve">
</v>
      </c>
    </row>
    <row r="759" spans="1:4" ht="30" hidden="1" x14ac:dyDescent="0.25">
      <c r="C759" s="49" t="s">
        <v>90</v>
      </c>
      <c r="D759" s="48" t="str">
        <f>IFERROR(VLOOKUP(D755,'KE PRB Summary Data'!A:U,12,FALSE),"")&amp;CHAR(10)</f>
        <v xml:space="preserve">
</v>
      </c>
    </row>
    <row r="760" spans="1:4" ht="30.75" hidden="1" thickBot="1" x14ac:dyDescent="0.3">
      <c r="C760" s="51" t="s">
        <v>49</v>
      </c>
      <c r="D760" s="52" t="str">
        <f>IFERROR(VLOOKUP(D755,'KE PRB Summary Data'!A:U,16,FALSE),"")&amp;CHAR(10)</f>
        <v xml:space="preserve">
</v>
      </c>
    </row>
    <row r="761" spans="1:4" ht="15.75" hidden="1" thickBot="1" x14ac:dyDescent="0.3">
      <c r="C761" s="65"/>
      <c r="D761" s="66"/>
    </row>
    <row r="762" spans="1:4" hidden="1" x14ac:dyDescent="0.25">
      <c r="A762" s="160" t="str">
        <f>IF(D762&lt;&gt;"","Comp","Blank")</f>
        <v>Blank</v>
      </c>
      <c r="C762" s="45" t="s">
        <v>87</v>
      </c>
      <c r="D762" s="46" t="str">
        <f>IF('KE PRB Summary Data'!A110&lt;&gt;"",('KE PRB Summary Data'!A110),"")</f>
        <v/>
      </c>
    </row>
    <row r="763" spans="1:4" hidden="1" x14ac:dyDescent="0.25">
      <c r="C763" s="49" t="s">
        <v>47</v>
      </c>
      <c r="D763" s="50" t="str">
        <f>IFERROR(VLOOKUP(D762,'KE PRB Summary Data'!A:U,6,FALSE),"")</f>
        <v/>
      </c>
    </row>
    <row r="764" spans="1:4" ht="30" hidden="1" x14ac:dyDescent="0.25">
      <c r="C764" s="49" t="s">
        <v>88</v>
      </c>
      <c r="D764" s="48" t="str">
        <f>IFERROR(VLOOKUP(D762,'KE PRB Summary Data'!A:U,15,FALSE),"")&amp;CHAR(10)</f>
        <v xml:space="preserve">
</v>
      </c>
    </row>
    <row r="765" spans="1:4" ht="30" hidden="1" x14ac:dyDescent="0.25">
      <c r="C765" s="49" t="s">
        <v>89</v>
      </c>
      <c r="D765" s="48" t="str">
        <f>IFERROR(VLOOKUP(D762,'KE PRB Summary Data'!A:U,11,FALSE),"")&amp;CHAR(10)</f>
        <v xml:space="preserve">
</v>
      </c>
    </row>
    <row r="766" spans="1:4" ht="30" hidden="1" x14ac:dyDescent="0.25">
      <c r="C766" s="49" t="s">
        <v>90</v>
      </c>
      <c r="D766" s="48" t="str">
        <f>IFERROR(VLOOKUP(D762,'KE PRB Summary Data'!A:U,12,FALSE),"")&amp;CHAR(10)</f>
        <v xml:space="preserve">
</v>
      </c>
    </row>
    <row r="767" spans="1:4" ht="30.75" hidden="1" thickBot="1" x14ac:dyDescent="0.3">
      <c r="C767" s="51" t="s">
        <v>49</v>
      </c>
      <c r="D767" s="52" t="str">
        <f>IFERROR(VLOOKUP(D762,'KE PRB Summary Data'!A:U,16,FALSE),"")&amp;CHAR(10)</f>
        <v xml:space="preserve">
</v>
      </c>
    </row>
    <row r="768" spans="1:4" ht="15.75" hidden="1" thickBot="1" x14ac:dyDescent="0.3">
      <c r="C768" s="65"/>
      <c r="D768" s="66"/>
    </row>
    <row r="769" spans="1:4" hidden="1" x14ac:dyDescent="0.25">
      <c r="A769" s="160" t="str">
        <f>IF(D769&lt;&gt;"","Comp","Blank")</f>
        <v>Blank</v>
      </c>
      <c r="C769" s="45" t="s">
        <v>87</v>
      </c>
      <c r="D769" s="46" t="str">
        <f>IF('KE PRB Summary Data'!A111&lt;&gt;"",('KE PRB Summary Data'!A111),"")</f>
        <v/>
      </c>
    </row>
    <row r="770" spans="1:4" hidden="1" x14ac:dyDescent="0.25">
      <c r="C770" s="49" t="s">
        <v>47</v>
      </c>
      <c r="D770" s="50" t="str">
        <f>IFERROR(VLOOKUP(D769,'KE PRB Summary Data'!A:U,6,FALSE),"")</f>
        <v/>
      </c>
    </row>
    <row r="771" spans="1:4" ht="30" hidden="1" x14ac:dyDescent="0.25">
      <c r="C771" s="49" t="s">
        <v>88</v>
      </c>
      <c r="D771" s="48" t="str">
        <f>IFERROR(VLOOKUP(D769,'KE PRB Summary Data'!A:U,15,FALSE),"")&amp;CHAR(10)</f>
        <v xml:space="preserve">
</v>
      </c>
    </row>
    <row r="772" spans="1:4" ht="30" hidden="1" x14ac:dyDescent="0.25">
      <c r="C772" s="49" t="s">
        <v>89</v>
      </c>
      <c r="D772" s="48" t="str">
        <f>IFERROR(VLOOKUP(D769,'KE PRB Summary Data'!A:U,11,FALSE),"")&amp;CHAR(10)</f>
        <v xml:space="preserve">
</v>
      </c>
    </row>
    <row r="773" spans="1:4" ht="30" hidden="1" x14ac:dyDescent="0.25">
      <c r="C773" s="49" t="s">
        <v>90</v>
      </c>
      <c r="D773" s="48" t="str">
        <f>IFERROR(VLOOKUP(D769,'KE PRB Summary Data'!A:U,12,FALSE),"")&amp;CHAR(10)</f>
        <v xml:space="preserve">
</v>
      </c>
    </row>
    <row r="774" spans="1:4" ht="30.75" hidden="1" thickBot="1" x14ac:dyDescent="0.3">
      <c r="C774" s="51" t="s">
        <v>49</v>
      </c>
      <c r="D774" s="52" t="str">
        <f>IFERROR(VLOOKUP(D769,'KE PRB Summary Data'!A:U,16,FALSE),"")&amp;CHAR(10)</f>
        <v xml:space="preserve">
</v>
      </c>
    </row>
    <row r="775" spans="1:4" ht="15.75" hidden="1" thickBot="1" x14ac:dyDescent="0.3">
      <c r="C775" s="65"/>
      <c r="D775" s="66"/>
    </row>
    <row r="776" spans="1:4" hidden="1" x14ac:dyDescent="0.25">
      <c r="A776" s="160" t="str">
        <f>IF(D776&lt;&gt;"","Comp","Blank")</f>
        <v>Blank</v>
      </c>
      <c r="C776" s="45" t="s">
        <v>87</v>
      </c>
      <c r="D776" s="46" t="str">
        <f>IF('KE PRB Summary Data'!A112&lt;&gt;"",('KE PRB Summary Data'!A112),"")</f>
        <v/>
      </c>
    </row>
    <row r="777" spans="1:4" hidden="1" x14ac:dyDescent="0.25">
      <c r="C777" s="49" t="s">
        <v>47</v>
      </c>
      <c r="D777" s="50" t="str">
        <f>IFERROR(VLOOKUP(D776,'KE PRB Summary Data'!A:U,6,FALSE),"")</f>
        <v/>
      </c>
    </row>
    <row r="778" spans="1:4" ht="30" hidden="1" x14ac:dyDescent="0.25">
      <c r="C778" s="49" t="s">
        <v>88</v>
      </c>
      <c r="D778" s="48" t="str">
        <f>IFERROR(VLOOKUP(D776,'KE PRB Summary Data'!A:U,15,FALSE),"")&amp;CHAR(10)</f>
        <v xml:space="preserve">
</v>
      </c>
    </row>
    <row r="779" spans="1:4" ht="30" hidden="1" x14ac:dyDescent="0.25">
      <c r="C779" s="49" t="s">
        <v>89</v>
      </c>
      <c r="D779" s="48" t="str">
        <f>IFERROR(VLOOKUP(D776,'KE PRB Summary Data'!A:U,11,FALSE),"")&amp;CHAR(10)</f>
        <v xml:space="preserve">
</v>
      </c>
    </row>
    <row r="780" spans="1:4" ht="30" hidden="1" x14ac:dyDescent="0.25">
      <c r="C780" s="49" t="s">
        <v>90</v>
      </c>
      <c r="D780" s="48" t="str">
        <f>IFERROR(VLOOKUP(D776,'KE PRB Summary Data'!A:U,12,FALSE),"")&amp;CHAR(10)</f>
        <v xml:space="preserve">
</v>
      </c>
    </row>
    <row r="781" spans="1:4" ht="30.75" hidden="1" thickBot="1" x14ac:dyDescent="0.3">
      <c r="C781" s="51" t="s">
        <v>49</v>
      </c>
      <c r="D781" s="52" t="str">
        <f>IFERROR(VLOOKUP(D776,'KE PRB Summary Data'!A:U,16,FALSE),"")&amp;CHAR(10)</f>
        <v xml:space="preserve">
</v>
      </c>
    </row>
    <row r="782" spans="1:4" ht="15.75" hidden="1" thickBot="1" x14ac:dyDescent="0.3">
      <c r="C782" s="65"/>
      <c r="D782" s="66"/>
    </row>
    <row r="783" spans="1:4" hidden="1" x14ac:dyDescent="0.25">
      <c r="A783" s="160" t="str">
        <f>IF(D783&lt;&gt;"","Comp","Blank")</f>
        <v>Blank</v>
      </c>
      <c r="C783" s="45" t="s">
        <v>87</v>
      </c>
      <c r="D783" s="46" t="str">
        <f>IF('KE PRB Summary Data'!A113&lt;&gt;"",('KE PRB Summary Data'!A113),"")</f>
        <v/>
      </c>
    </row>
    <row r="784" spans="1:4" hidden="1" x14ac:dyDescent="0.25">
      <c r="C784" s="49" t="s">
        <v>47</v>
      </c>
      <c r="D784" s="50" t="str">
        <f>IFERROR(VLOOKUP(D783,'KE PRB Summary Data'!A:U,6,FALSE),"")</f>
        <v/>
      </c>
    </row>
    <row r="785" spans="1:4" ht="30" hidden="1" x14ac:dyDescent="0.25">
      <c r="C785" s="49" t="s">
        <v>88</v>
      </c>
      <c r="D785" s="48" t="str">
        <f>IFERROR(VLOOKUP(D783,'KE PRB Summary Data'!A:U,15,FALSE),"")&amp;CHAR(10)</f>
        <v xml:space="preserve">
</v>
      </c>
    </row>
    <row r="786" spans="1:4" ht="30" hidden="1" x14ac:dyDescent="0.25">
      <c r="C786" s="49" t="s">
        <v>89</v>
      </c>
      <c r="D786" s="48" t="str">
        <f>IFERROR(VLOOKUP(D783,'KE PRB Summary Data'!A:U,11,FALSE),"")&amp;CHAR(10)</f>
        <v xml:space="preserve">
</v>
      </c>
    </row>
    <row r="787" spans="1:4" ht="30" hidden="1" x14ac:dyDescent="0.25">
      <c r="C787" s="49" t="s">
        <v>90</v>
      </c>
      <c r="D787" s="48" t="str">
        <f>IFERROR(VLOOKUP(D783,'KE PRB Summary Data'!A:U,12,FALSE),"")&amp;CHAR(10)</f>
        <v xml:space="preserve">
</v>
      </c>
    </row>
    <row r="788" spans="1:4" ht="30.75" hidden="1" thickBot="1" x14ac:dyDescent="0.3">
      <c r="C788" s="51" t="s">
        <v>49</v>
      </c>
      <c r="D788" s="52" t="str">
        <f>IFERROR(VLOOKUP(D783,'KE PRB Summary Data'!A:U,16,FALSE),"")&amp;CHAR(10)</f>
        <v xml:space="preserve">
</v>
      </c>
    </row>
    <row r="789" spans="1:4" ht="15.75" hidden="1" thickBot="1" x14ac:dyDescent="0.3">
      <c r="C789" s="65"/>
      <c r="D789" s="66"/>
    </row>
    <row r="790" spans="1:4" hidden="1" x14ac:dyDescent="0.25">
      <c r="A790" s="160" t="str">
        <f>IF(D790&lt;&gt;"","Comp","Blank")</f>
        <v>Blank</v>
      </c>
      <c r="C790" s="45" t="s">
        <v>87</v>
      </c>
      <c r="D790" s="46" t="str">
        <f>IF('KE PRB Summary Data'!A114&lt;&gt;"",('KE PRB Summary Data'!A114),"")</f>
        <v/>
      </c>
    </row>
    <row r="791" spans="1:4" hidden="1" x14ac:dyDescent="0.25">
      <c r="C791" s="49" t="s">
        <v>47</v>
      </c>
      <c r="D791" s="50" t="str">
        <f>IFERROR(VLOOKUP(D790,'KE PRB Summary Data'!A:U,6,FALSE),"")</f>
        <v/>
      </c>
    </row>
    <row r="792" spans="1:4" ht="30" hidden="1" x14ac:dyDescent="0.25">
      <c r="C792" s="49" t="s">
        <v>88</v>
      </c>
      <c r="D792" s="48" t="str">
        <f>IFERROR(VLOOKUP(D790,'KE PRB Summary Data'!A:U,15,FALSE),"")&amp;CHAR(10)</f>
        <v xml:space="preserve">
</v>
      </c>
    </row>
    <row r="793" spans="1:4" ht="30" hidden="1" x14ac:dyDescent="0.25">
      <c r="C793" s="49" t="s">
        <v>89</v>
      </c>
      <c r="D793" s="48" t="str">
        <f>IFERROR(VLOOKUP(D790,'KE PRB Summary Data'!A:U,11,FALSE),"")&amp;CHAR(10)</f>
        <v xml:space="preserve">
</v>
      </c>
    </row>
    <row r="794" spans="1:4" ht="30" hidden="1" x14ac:dyDescent="0.25">
      <c r="C794" s="49" t="s">
        <v>90</v>
      </c>
      <c r="D794" s="48" t="str">
        <f>IFERROR(VLOOKUP(D790,'KE PRB Summary Data'!A:U,12,FALSE),"")&amp;CHAR(10)</f>
        <v xml:space="preserve">
</v>
      </c>
    </row>
    <row r="795" spans="1:4" ht="30.75" hidden="1" thickBot="1" x14ac:dyDescent="0.3">
      <c r="C795" s="51" t="s">
        <v>49</v>
      </c>
      <c r="D795" s="52" t="str">
        <f>IFERROR(VLOOKUP(D790,'KE PRB Summary Data'!A:U,16,FALSE),"")&amp;CHAR(10)</f>
        <v xml:space="preserve">
</v>
      </c>
    </row>
    <row r="796" spans="1:4" ht="15.75" hidden="1" thickBot="1" x14ac:dyDescent="0.3">
      <c r="C796" s="65"/>
      <c r="D796" s="66"/>
    </row>
    <row r="797" spans="1:4" hidden="1" x14ac:dyDescent="0.25">
      <c r="A797" s="160" t="str">
        <f>IF(D797&lt;&gt;"","Comp","Blank")</f>
        <v>Blank</v>
      </c>
      <c r="C797" s="45" t="s">
        <v>87</v>
      </c>
      <c r="D797" s="46" t="str">
        <f>IF('KE PRB Summary Data'!A115&lt;&gt;"",('KE PRB Summary Data'!A115),"")</f>
        <v/>
      </c>
    </row>
    <row r="798" spans="1:4" hidden="1" x14ac:dyDescent="0.25">
      <c r="C798" s="49" t="s">
        <v>47</v>
      </c>
      <c r="D798" s="50" t="str">
        <f>IFERROR(VLOOKUP(D797,'KE PRB Summary Data'!A:U,6,FALSE),"")</f>
        <v/>
      </c>
    </row>
    <row r="799" spans="1:4" ht="30" hidden="1" x14ac:dyDescent="0.25">
      <c r="C799" s="49" t="s">
        <v>88</v>
      </c>
      <c r="D799" s="48" t="str">
        <f>IFERROR(VLOOKUP(D797,'KE PRB Summary Data'!A:U,15,FALSE),"")&amp;CHAR(10)</f>
        <v xml:space="preserve">
</v>
      </c>
    </row>
    <row r="800" spans="1:4" ht="30" hidden="1" x14ac:dyDescent="0.25">
      <c r="C800" s="49" t="s">
        <v>89</v>
      </c>
      <c r="D800" s="48" t="str">
        <f>IFERROR(VLOOKUP(D797,'KE PRB Summary Data'!A:U,11,FALSE),"")&amp;CHAR(10)</f>
        <v xml:space="preserve">
</v>
      </c>
    </row>
    <row r="801" spans="1:4" ht="30" hidden="1" x14ac:dyDescent="0.25">
      <c r="C801" s="49" t="s">
        <v>90</v>
      </c>
      <c r="D801" s="48" t="str">
        <f>IFERROR(VLOOKUP(D797,'KE PRB Summary Data'!A:U,12,FALSE),"")&amp;CHAR(10)</f>
        <v xml:space="preserve">
</v>
      </c>
    </row>
    <row r="802" spans="1:4" ht="30.75" hidden="1" thickBot="1" x14ac:dyDescent="0.3">
      <c r="C802" s="51" t="s">
        <v>49</v>
      </c>
      <c r="D802" s="52" t="str">
        <f>IFERROR(VLOOKUP(D797,'KE PRB Summary Data'!A:U,16,FALSE),"")&amp;CHAR(10)</f>
        <v xml:space="preserve">
</v>
      </c>
    </row>
    <row r="803" spans="1:4" ht="15.75" hidden="1" thickBot="1" x14ac:dyDescent="0.3">
      <c r="C803" s="65"/>
      <c r="D803" s="66"/>
    </row>
    <row r="804" spans="1:4" hidden="1" x14ac:dyDescent="0.25">
      <c r="A804" s="160" t="str">
        <f>IF(D804&lt;&gt;"","Comp","Blank")</f>
        <v>Blank</v>
      </c>
      <c r="C804" s="45" t="s">
        <v>87</v>
      </c>
      <c r="D804" s="46" t="str">
        <f>IF('KE PRB Summary Data'!A116&lt;&gt;"",('KE PRB Summary Data'!A116),"")</f>
        <v/>
      </c>
    </row>
    <row r="805" spans="1:4" hidden="1" x14ac:dyDescent="0.25">
      <c r="C805" s="49" t="s">
        <v>47</v>
      </c>
      <c r="D805" s="50" t="str">
        <f>IFERROR(VLOOKUP(D804,'KE PRB Summary Data'!A:U,6,FALSE),"")</f>
        <v/>
      </c>
    </row>
    <row r="806" spans="1:4" ht="30" hidden="1" x14ac:dyDescent="0.25">
      <c r="C806" s="49" t="s">
        <v>88</v>
      </c>
      <c r="D806" s="48" t="str">
        <f>IFERROR(VLOOKUP(D804,'KE PRB Summary Data'!A:U,15,FALSE),"")&amp;CHAR(10)</f>
        <v xml:space="preserve">
</v>
      </c>
    </row>
    <row r="807" spans="1:4" ht="30" hidden="1" x14ac:dyDescent="0.25">
      <c r="C807" s="49" t="s">
        <v>89</v>
      </c>
      <c r="D807" s="48" t="str">
        <f>IFERROR(VLOOKUP(D804,'KE PRB Summary Data'!A:U,11,FALSE),"")&amp;CHAR(10)</f>
        <v xml:space="preserve">
</v>
      </c>
    </row>
    <row r="808" spans="1:4" ht="30" hidden="1" x14ac:dyDescent="0.25">
      <c r="C808" s="49" t="s">
        <v>90</v>
      </c>
      <c r="D808" s="48" t="str">
        <f>IFERROR(VLOOKUP(D804,'KE PRB Summary Data'!A:U,12,FALSE),"")&amp;CHAR(10)</f>
        <v xml:space="preserve">
</v>
      </c>
    </row>
    <row r="809" spans="1:4" ht="30.75" hidden="1" thickBot="1" x14ac:dyDescent="0.3">
      <c r="C809" s="51" t="s">
        <v>49</v>
      </c>
      <c r="D809" s="52" t="str">
        <f>IFERROR(VLOOKUP(D804,'KE PRB Summary Data'!A:U,16,FALSE),"")&amp;CHAR(10)</f>
        <v xml:space="preserve">
</v>
      </c>
    </row>
    <row r="810" spans="1:4" ht="15.75" hidden="1" thickBot="1" x14ac:dyDescent="0.3">
      <c r="C810" s="65"/>
      <c r="D810" s="66"/>
    </row>
    <row r="811" spans="1:4" hidden="1" x14ac:dyDescent="0.25">
      <c r="A811" s="160" t="str">
        <f>IF(D811&lt;&gt;"","Comp","Blank")</f>
        <v>Blank</v>
      </c>
      <c r="C811" s="45" t="s">
        <v>87</v>
      </c>
      <c r="D811" s="46" t="str">
        <f>IF('KE PRB Summary Data'!A117&lt;&gt;"",('KE PRB Summary Data'!A117),"")</f>
        <v/>
      </c>
    </row>
    <row r="812" spans="1:4" hidden="1" x14ac:dyDescent="0.25">
      <c r="C812" s="49" t="s">
        <v>47</v>
      </c>
      <c r="D812" s="50" t="str">
        <f>IFERROR(VLOOKUP(D811,'KE PRB Summary Data'!A:U,6,FALSE),"")</f>
        <v/>
      </c>
    </row>
    <row r="813" spans="1:4" ht="30" hidden="1" x14ac:dyDescent="0.25">
      <c r="C813" s="49" t="s">
        <v>88</v>
      </c>
      <c r="D813" s="48" t="str">
        <f>IFERROR(VLOOKUP(D811,'KE PRB Summary Data'!A:U,15,FALSE),"")&amp;CHAR(10)</f>
        <v xml:space="preserve">
</v>
      </c>
    </row>
    <row r="814" spans="1:4" ht="30" hidden="1" x14ac:dyDescent="0.25">
      <c r="C814" s="49" t="s">
        <v>89</v>
      </c>
      <c r="D814" s="48" t="str">
        <f>IFERROR(VLOOKUP(D811,'KE PRB Summary Data'!A:U,11,FALSE),"")&amp;CHAR(10)</f>
        <v xml:space="preserve">
</v>
      </c>
    </row>
    <row r="815" spans="1:4" ht="30" hidden="1" x14ac:dyDescent="0.25">
      <c r="C815" s="49" t="s">
        <v>90</v>
      </c>
      <c r="D815" s="48" t="str">
        <f>IFERROR(VLOOKUP(D811,'KE PRB Summary Data'!A:U,12,FALSE),"")&amp;CHAR(10)</f>
        <v xml:space="preserve">
</v>
      </c>
    </row>
    <row r="816" spans="1:4" ht="30.75" hidden="1" thickBot="1" x14ac:dyDescent="0.3">
      <c r="C816" s="51" t="s">
        <v>49</v>
      </c>
      <c r="D816" s="52" t="str">
        <f>IFERROR(VLOOKUP(D811,'KE PRB Summary Data'!A:U,16,FALSE),"")&amp;CHAR(10)</f>
        <v xml:space="preserve">
</v>
      </c>
    </row>
    <row r="817" spans="1:4" ht="15.75" hidden="1" thickBot="1" x14ac:dyDescent="0.3">
      <c r="C817" s="65"/>
      <c r="D817" s="66"/>
    </row>
    <row r="818" spans="1:4" hidden="1" x14ac:dyDescent="0.25">
      <c r="A818" s="160" t="str">
        <f>IF(D818&lt;&gt;"","Comp","Blank")</f>
        <v>Blank</v>
      </c>
      <c r="C818" s="45" t="s">
        <v>87</v>
      </c>
      <c r="D818" s="46" t="str">
        <f>IF('KE PRB Summary Data'!A118&lt;&gt;"",('KE PRB Summary Data'!A118),"")</f>
        <v/>
      </c>
    </row>
    <row r="819" spans="1:4" hidden="1" x14ac:dyDescent="0.25">
      <c r="C819" s="49" t="s">
        <v>47</v>
      </c>
      <c r="D819" s="50" t="str">
        <f>IFERROR(VLOOKUP(D818,'KE PRB Summary Data'!A:U,6,FALSE),"")</f>
        <v/>
      </c>
    </row>
    <row r="820" spans="1:4" ht="30" hidden="1" x14ac:dyDescent="0.25">
      <c r="C820" s="49" t="s">
        <v>88</v>
      </c>
      <c r="D820" s="48" t="str">
        <f>IFERROR(VLOOKUP(D818,'KE PRB Summary Data'!A:U,15,FALSE),"")&amp;CHAR(10)</f>
        <v xml:space="preserve">
</v>
      </c>
    </row>
    <row r="821" spans="1:4" ht="30" hidden="1" x14ac:dyDescent="0.25">
      <c r="C821" s="49" t="s">
        <v>89</v>
      </c>
      <c r="D821" s="48" t="str">
        <f>IFERROR(VLOOKUP(D818,'KE PRB Summary Data'!A:U,11,FALSE),"")&amp;CHAR(10)</f>
        <v xml:space="preserve">
</v>
      </c>
    </row>
    <row r="822" spans="1:4" ht="30" hidden="1" x14ac:dyDescent="0.25">
      <c r="C822" s="49" t="s">
        <v>90</v>
      </c>
      <c r="D822" s="48" t="str">
        <f>IFERROR(VLOOKUP(D818,'KE PRB Summary Data'!A:U,12,FALSE),"")&amp;CHAR(10)</f>
        <v xml:space="preserve">
</v>
      </c>
    </row>
    <row r="823" spans="1:4" ht="30.75" hidden="1" thickBot="1" x14ac:dyDescent="0.3">
      <c r="C823" s="51" t="s">
        <v>49</v>
      </c>
      <c r="D823" s="52" t="str">
        <f>IFERROR(VLOOKUP(D818,'KE PRB Summary Data'!A:U,16,FALSE),"")&amp;CHAR(10)</f>
        <v xml:space="preserve">
</v>
      </c>
    </row>
    <row r="824" spans="1:4" ht="15.75" hidden="1" thickBot="1" x14ac:dyDescent="0.3">
      <c r="C824" s="65"/>
      <c r="D824" s="66"/>
    </row>
    <row r="825" spans="1:4" hidden="1" x14ac:dyDescent="0.25">
      <c r="A825" s="160" t="str">
        <f>IF(D825&lt;&gt;"","Comp","Blank")</f>
        <v>Blank</v>
      </c>
      <c r="C825" s="45" t="s">
        <v>87</v>
      </c>
      <c r="D825" s="46" t="str">
        <f>IF('KE PRB Summary Data'!A119&lt;&gt;"",('KE PRB Summary Data'!A119),"")</f>
        <v/>
      </c>
    </row>
    <row r="826" spans="1:4" hidden="1" x14ac:dyDescent="0.25">
      <c r="C826" s="49" t="s">
        <v>47</v>
      </c>
      <c r="D826" s="50" t="str">
        <f>IFERROR(VLOOKUP(D825,'KE PRB Summary Data'!A:U,6,FALSE),"")</f>
        <v/>
      </c>
    </row>
    <row r="827" spans="1:4" ht="30" hidden="1" x14ac:dyDescent="0.25">
      <c r="C827" s="49" t="s">
        <v>88</v>
      </c>
      <c r="D827" s="48" t="str">
        <f>IFERROR(VLOOKUP(D825,'KE PRB Summary Data'!A:U,15,FALSE),"")&amp;CHAR(10)</f>
        <v xml:space="preserve">
</v>
      </c>
    </row>
    <row r="828" spans="1:4" ht="30" hidden="1" x14ac:dyDescent="0.25">
      <c r="C828" s="49" t="s">
        <v>89</v>
      </c>
      <c r="D828" s="48" t="str">
        <f>IFERROR(VLOOKUP(D825,'KE PRB Summary Data'!A:U,11,FALSE),"")&amp;CHAR(10)</f>
        <v xml:space="preserve">
</v>
      </c>
    </row>
    <row r="829" spans="1:4" ht="30" hidden="1" x14ac:dyDescent="0.25">
      <c r="C829" s="49" t="s">
        <v>90</v>
      </c>
      <c r="D829" s="48" t="str">
        <f>IFERROR(VLOOKUP(D825,'KE PRB Summary Data'!A:U,12,FALSE),"")&amp;CHAR(10)</f>
        <v xml:space="preserve">
</v>
      </c>
    </row>
    <row r="830" spans="1:4" ht="30.75" hidden="1" thickBot="1" x14ac:dyDescent="0.3">
      <c r="C830" s="51" t="s">
        <v>49</v>
      </c>
      <c r="D830" s="52" t="str">
        <f>IFERROR(VLOOKUP(D825,'KE PRB Summary Data'!A:U,16,FALSE),"")&amp;CHAR(10)</f>
        <v xml:space="preserve">
</v>
      </c>
    </row>
    <row r="831" spans="1:4" ht="15.75" hidden="1" thickBot="1" x14ac:dyDescent="0.3">
      <c r="C831" s="65"/>
      <c r="D831" s="66"/>
    </row>
    <row r="832" spans="1:4" hidden="1" x14ac:dyDescent="0.25">
      <c r="A832" s="160" t="str">
        <f>IF(D832&lt;&gt;"","Comp","Blank")</f>
        <v>Blank</v>
      </c>
      <c r="C832" s="45" t="s">
        <v>87</v>
      </c>
      <c r="D832" s="46" t="str">
        <f>IF('KE PRB Summary Data'!A120&lt;&gt;"",('KE PRB Summary Data'!A120),"")</f>
        <v/>
      </c>
    </row>
    <row r="833" spans="1:4" hidden="1" x14ac:dyDescent="0.25">
      <c r="C833" s="49" t="s">
        <v>47</v>
      </c>
      <c r="D833" s="50" t="str">
        <f>IFERROR(VLOOKUP(D832,'KE PRB Summary Data'!A:U,6,FALSE),"")</f>
        <v/>
      </c>
    </row>
    <row r="834" spans="1:4" ht="30" hidden="1" x14ac:dyDescent="0.25">
      <c r="C834" s="49" t="s">
        <v>88</v>
      </c>
      <c r="D834" s="48" t="str">
        <f>IFERROR(VLOOKUP(D832,'KE PRB Summary Data'!A:U,15,FALSE),"")&amp;CHAR(10)</f>
        <v xml:space="preserve">
</v>
      </c>
    </row>
    <row r="835" spans="1:4" ht="30" hidden="1" x14ac:dyDescent="0.25">
      <c r="C835" s="49" t="s">
        <v>89</v>
      </c>
      <c r="D835" s="48" t="str">
        <f>IFERROR(VLOOKUP(D832,'KE PRB Summary Data'!A:U,11,FALSE),"")&amp;CHAR(10)</f>
        <v xml:space="preserve">
</v>
      </c>
    </row>
    <row r="836" spans="1:4" ht="30" hidden="1" x14ac:dyDescent="0.25">
      <c r="C836" s="49" t="s">
        <v>90</v>
      </c>
      <c r="D836" s="48" t="str">
        <f>IFERROR(VLOOKUP(D832,'KE PRB Summary Data'!A:U,12,FALSE),"")&amp;CHAR(10)</f>
        <v xml:space="preserve">
</v>
      </c>
    </row>
    <row r="837" spans="1:4" ht="30.75" hidden="1" thickBot="1" x14ac:dyDescent="0.3">
      <c r="C837" s="51" t="s">
        <v>49</v>
      </c>
      <c r="D837" s="52" t="str">
        <f>IFERROR(VLOOKUP(D832,'KE PRB Summary Data'!A:U,16,FALSE),"")&amp;CHAR(10)</f>
        <v xml:space="preserve">
</v>
      </c>
    </row>
    <row r="838" spans="1:4" ht="15.75" hidden="1" thickBot="1" x14ac:dyDescent="0.3">
      <c r="C838" s="65"/>
      <c r="D838" s="66"/>
    </row>
    <row r="839" spans="1:4" hidden="1" x14ac:dyDescent="0.25">
      <c r="A839" s="160" t="str">
        <f>IF(D839&lt;&gt;"","Comp","Blank")</f>
        <v>Blank</v>
      </c>
      <c r="C839" s="45" t="s">
        <v>87</v>
      </c>
      <c r="D839" s="46" t="str">
        <f>IF('KE PRB Summary Data'!A121&lt;&gt;"",('KE PRB Summary Data'!A121),"")</f>
        <v/>
      </c>
    </row>
    <row r="840" spans="1:4" hidden="1" x14ac:dyDescent="0.25">
      <c r="C840" s="49" t="s">
        <v>47</v>
      </c>
      <c r="D840" s="50" t="str">
        <f>IFERROR(VLOOKUP(D839,'KE PRB Summary Data'!A:U,6,FALSE),"")</f>
        <v/>
      </c>
    </row>
    <row r="841" spans="1:4" ht="30" hidden="1" x14ac:dyDescent="0.25">
      <c r="C841" s="49" t="s">
        <v>88</v>
      </c>
      <c r="D841" s="48" t="str">
        <f>IFERROR(VLOOKUP(D839,'KE PRB Summary Data'!A:U,15,FALSE),"")&amp;CHAR(10)</f>
        <v xml:space="preserve">
</v>
      </c>
    </row>
    <row r="842" spans="1:4" ht="30" hidden="1" x14ac:dyDescent="0.25">
      <c r="C842" s="49" t="s">
        <v>89</v>
      </c>
      <c r="D842" s="48" t="str">
        <f>IFERROR(VLOOKUP(D839,'KE PRB Summary Data'!A:U,11,FALSE),"")&amp;CHAR(10)</f>
        <v xml:space="preserve">
</v>
      </c>
    </row>
    <row r="843" spans="1:4" ht="30" hidden="1" x14ac:dyDescent="0.25">
      <c r="C843" s="49" t="s">
        <v>90</v>
      </c>
      <c r="D843" s="48" t="str">
        <f>IFERROR(VLOOKUP(D839,'KE PRB Summary Data'!A:U,12,FALSE),"")&amp;CHAR(10)</f>
        <v xml:space="preserve">
</v>
      </c>
    </row>
    <row r="844" spans="1:4" ht="30.75" hidden="1" thickBot="1" x14ac:dyDescent="0.3">
      <c r="C844" s="51" t="s">
        <v>49</v>
      </c>
      <c r="D844" s="52" t="str">
        <f>IFERROR(VLOOKUP(D839,'KE PRB Summary Data'!A:U,16,FALSE),"")&amp;CHAR(10)</f>
        <v xml:space="preserve">
</v>
      </c>
    </row>
    <row r="845" spans="1:4" ht="15.75" hidden="1" thickBot="1" x14ac:dyDescent="0.3">
      <c r="C845" s="65"/>
      <c r="D845" s="66"/>
    </row>
    <row r="846" spans="1:4" hidden="1" x14ac:dyDescent="0.25">
      <c r="A846" s="160" t="str">
        <f>IF(D846&lt;&gt;"","Comp","Blank")</f>
        <v>Blank</v>
      </c>
      <c r="C846" s="45" t="s">
        <v>87</v>
      </c>
      <c r="D846" s="46" t="str">
        <f>IF('KE PRB Summary Data'!A122&lt;&gt;"",('KE PRB Summary Data'!A122),"")</f>
        <v/>
      </c>
    </row>
    <row r="847" spans="1:4" hidden="1" x14ac:dyDescent="0.25">
      <c r="C847" s="49" t="s">
        <v>47</v>
      </c>
      <c r="D847" s="50" t="str">
        <f>IFERROR(VLOOKUP(D846,'KE PRB Summary Data'!A:U,6,FALSE),"")</f>
        <v/>
      </c>
    </row>
    <row r="848" spans="1:4" ht="30" hidden="1" x14ac:dyDescent="0.25">
      <c r="C848" s="49" t="s">
        <v>88</v>
      </c>
      <c r="D848" s="48" t="str">
        <f>IFERROR(VLOOKUP(D846,'KE PRB Summary Data'!A:U,15,FALSE),"")&amp;CHAR(10)</f>
        <v xml:space="preserve">
</v>
      </c>
    </row>
    <row r="849" spans="1:4" ht="30" hidden="1" x14ac:dyDescent="0.25">
      <c r="C849" s="49" t="s">
        <v>89</v>
      </c>
      <c r="D849" s="48" t="str">
        <f>IFERROR(VLOOKUP(D846,'KE PRB Summary Data'!A:U,11,FALSE),"")&amp;CHAR(10)</f>
        <v xml:space="preserve">
</v>
      </c>
    </row>
    <row r="850" spans="1:4" ht="30" hidden="1" x14ac:dyDescent="0.25">
      <c r="C850" s="49" t="s">
        <v>90</v>
      </c>
      <c r="D850" s="48" t="str">
        <f>IFERROR(VLOOKUP(D846,'KE PRB Summary Data'!A:U,12,FALSE),"")&amp;CHAR(10)</f>
        <v xml:space="preserve">
</v>
      </c>
    </row>
    <row r="851" spans="1:4" ht="30.75" hidden="1" thickBot="1" x14ac:dyDescent="0.3">
      <c r="C851" s="51" t="s">
        <v>49</v>
      </c>
      <c r="D851" s="52" t="str">
        <f>IFERROR(VLOOKUP(D846,'KE PRB Summary Data'!A:U,16,FALSE),"")&amp;CHAR(10)</f>
        <v xml:space="preserve">
</v>
      </c>
    </row>
    <row r="852" spans="1:4" ht="15.75" hidden="1" thickBot="1" x14ac:dyDescent="0.3">
      <c r="C852" s="65"/>
      <c r="D852" s="66"/>
    </row>
    <row r="853" spans="1:4" hidden="1" x14ac:dyDescent="0.25">
      <c r="A853" s="160" t="str">
        <f>IF(D853&lt;&gt;"","Comp","Blank")</f>
        <v>Blank</v>
      </c>
      <c r="C853" s="45" t="s">
        <v>87</v>
      </c>
      <c r="D853" s="46" t="str">
        <f>IF('KE PRB Summary Data'!A123&lt;&gt;"",('KE PRB Summary Data'!A123),"")</f>
        <v/>
      </c>
    </row>
    <row r="854" spans="1:4" hidden="1" x14ac:dyDescent="0.25">
      <c r="C854" s="49" t="s">
        <v>47</v>
      </c>
      <c r="D854" s="50" t="str">
        <f>IFERROR(VLOOKUP(D853,'KE PRB Summary Data'!A:U,6,FALSE),"")</f>
        <v/>
      </c>
    </row>
    <row r="855" spans="1:4" ht="30" hidden="1" x14ac:dyDescent="0.25">
      <c r="C855" s="49" t="s">
        <v>88</v>
      </c>
      <c r="D855" s="48" t="str">
        <f>IFERROR(VLOOKUP(D853,'KE PRB Summary Data'!A:U,15,FALSE),"")&amp;CHAR(10)</f>
        <v xml:space="preserve">
</v>
      </c>
    </row>
    <row r="856" spans="1:4" ht="30" hidden="1" x14ac:dyDescent="0.25">
      <c r="C856" s="49" t="s">
        <v>89</v>
      </c>
      <c r="D856" s="48" t="str">
        <f>IFERROR(VLOOKUP(D853,'KE PRB Summary Data'!A:U,11,FALSE),"")&amp;CHAR(10)</f>
        <v xml:space="preserve">
</v>
      </c>
    </row>
    <row r="857" spans="1:4" ht="30" hidden="1" x14ac:dyDescent="0.25">
      <c r="C857" s="49" t="s">
        <v>90</v>
      </c>
      <c r="D857" s="48" t="str">
        <f>IFERROR(VLOOKUP(D853,'KE PRB Summary Data'!A:U,12,FALSE),"")&amp;CHAR(10)</f>
        <v xml:space="preserve">
</v>
      </c>
    </row>
    <row r="858" spans="1:4" ht="30.75" hidden="1" thickBot="1" x14ac:dyDescent="0.3">
      <c r="C858" s="51" t="s">
        <v>49</v>
      </c>
      <c r="D858" s="52" t="str">
        <f>IFERROR(VLOOKUP(D853,'KE PRB Summary Data'!A:U,16,FALSE),"")&amp;CHAR(10)</f>
        <v xml:space="preserve">
</v>
      </c>
    </row>
    <row r="859" spans="1:4" ht="15.75" hidden="1" thickBot="1" x14ac:dyDescent="0.3">
      <c r="C859" s="65"/>
      <c r="D859" s="66"/>
    </row>
    <row r="860" spans="1:4" hidden="1" x14ac:dyDescent="0.25">
      <c r="A860" s="160" t="str">
        <f>IF(D860&lt;&gt;"","Comp","Blank")</f>
        <v>Blank</v>
      </c>
      <c r="C860" s="45" t="s">
        <v>87</v>
      </c>
      <c r="D860" s="46" t="str">
        <f>IF('KE PRB Summary Data'!A124&lt;&gt;"",('KE PRB Summary Data'!A124),"")</f>
        <v/>
      </c>
    </row>
    <row r="861" spans="1:4" hidden="1" x14ac:dyDescent="0.25">
      <c r="C861" s="49" t="s">
        <v>47</v>
      </c>
      <c r="D861" s="50" t="str">
        <f>IFERROR(VLOOKUP(D860,'KE PRB Summary Data'!A:U,6,FALSE),"")</f>
        <v/>
      </c>
    </row>
    <row r="862" spans="1:4" ht="30" hidden="1" x14ac:dyDescent="0.25">
      <c r="C862" s="49" t="s">
        <v>88</v>
      </c>
      <c r="D862" s="48" t="str">
        <f>IFERROR(VLOOKUP(D860,'KE PRB Summary Data'!A:U,15,FALSE),"")&amp;CHAR(10)</f>
        <v xml:space="preserve">
</v>
      </c>
    </row>
    <row r="863" spans="1:4" ht="30" hidden="1" x14ac:dyDescent="0.25">
      <c r="C863" s="49" t="s">
        <v>89</v>
      </c>
      <c r="D863" s="48" t="str">
        <f>IFERROR(VLOOKUP(D860,'KE PRB Summary Data'!A:U,11,FALSE),"")&amp;CHAR(10)</f>
        <v xml:space="preserve">
</v>
      </c>
    </row>
    <row r="864" spans="1:4" ht="30" hidden="1" x14ac:dyDescent="0.25">
      <c r="C864" s="49" t="s">
        <v>90</v>
      </c>
      <c r="D864" s="48" t="str">
        <f>IFERROR(VLOOKUP(D860,'KE PRB Summary Data'!A:U,12,FALSE),"")&amp;CHAR(10)</f>
        <v xml:space="preserve">
</v>
      </c>
    </row>
    <row r="865" spans="1:4" ht="30.75" hidden="1" thickBot="1" x14ac:dyDescent="0.3">
      <c r="C865" s="51" t="s">
        <v>49</v>
      </c>
      <c r="D865" s="52" t="str">
        <f>IFERROR(VLOOKUP(D860,'KE PRB Summary Data'!A:U,16,FALSE),"")&amp;CHAR(10)</f>
        <v xml:space="preserve">
</v>
      </c>
    </row>
    <row r="866" spans="1:4" ht="15.75" hidden="1" thickBot="1" x14ac:dyDescent="0.3">
      <c r="C866" s="65"/>
      <c r="D866" s="66"/>
    </row>
    <row r="867" spans="1:4" hidden="1" x14ac:dyDescent="0.25">
      <c r="A867" s="160" t="str">
        <f>IF(D867&lt;&gt;"","Comp","Blank")</f>
        <v>Blank</v>
      </c>
      <c r="C867" s="45" t="s">
        <v>87</v>
      </c>
      <c r="D867" s="46" t="str">
        <f>IF('KE PRB Summary Data'!A125&lt;&gt;"",('KE PRB Summary Data'!A125),"")</f>
        <v/>
      </c>
    </row>
    <row r="868" spans="1:4" hidden="1" x14ac:dyDescent="0.25">
      <c r="C868" s="49" t="s">
        <v>47</v>
      </c>
      <c r="D868" s="50" t="str">
        <f>IFERROR(VLOOKUP(D867,'KE PRB Summary Data'!A:U,6,FALSE),"")</f>
        <v/>
      </c>
    </row>
    <row r="869" spans="1:4" ht="30" hidden="1" x14ac:dyDescent="0.25">
      <c r="C869" s="49" t="s">
        <v>88</v>
      </c>
      <c r="D869" s="48" t="str">
        <f>IFERROR(VLOOKUP(D867,'KE PRB Summary Data'!A:U,15,FALSE),"")&amp;CHAR(10)</f>
        <v xml:space="preserve">
</v>
      </c>
    </row>
    <row r="870" spans="1:4" ht="30" hidden="1" x14ac:dyDescent="0.25">
      <c r="C870" s="49" t="s">
        <v>89</v>
      </c>
      <c r="D870" s="48" t="str">
        <f>IFERROR(VLOOKUP(D867,'KE PRB Summary Data'!A:U,11,FALSE),"")&amp;CHAR(10)</f>
        <v xml:space="preserve">
</v>
      </c>
    </row>
    <row r="871" spans="1:4" ht="30" hidden="1" x14ac:dyDescent="0.25">
      <c r="C871" s="49" t="s">
        <v>90</v>
      </c>
      <c r="D871" s="48" t="str">
        <f>IFERROR(VLOOKUP(D867,'KE PRB Summary Data'!A:U,12,FALSE),"")&amp;CHAR(10)</f>
        <v xml:space="preserve">
</v>
      </c>
    </row>
    <row r="872" spans="1:4" ht="30.75" hidden="1" thickBot="1" x14ac:dyDescent="0.3">
      <c r="C872" s="51" t="s">
        <v>49</v>
      </c>
      <c r="D872" s="52" t="str">
        <f>IFERROR(VLOOKUP(D867,'KE PRB Summary Data'!A:U,16,FALSE),"")&amp;CHAR(10)</f>
        <v xml:space="preserve">
</v>
      </c>
    </row>
    <row r="873" spans="1:4" ht="15.75" hidden="1" thickBot="1" x14ac:dyDescent="0.3">
      <c r="C873" s="65"/>
      <c r="D873" s="66"/>
    </row>
    <row r="874" spans="1:4" hidden="1" x14ac:dyDescent="0.25">
      <c r="A874" s="160" t="str">
        <f>IF(D874&lt;&gt;"","Comp","Blank")</f>
        <v>Blank</v>
      </c>
      <c r="C874" s="45" t="s">
        <v>87</v>
      </c>
      <c r="D874" s="46" t="str">
        <f>IF('KE PRB Summary Data'!A126&lt;&gt;"",('KE PRB Summary Data'!A126),"")</f>
        <v/>
      </c>
    </row>
    <row r="875" spans="1:4" hidden="1" x14ac:dyDescent="0.25">
      <c r="C875" s="49" t="s">
        <v>47</v>
      </c>
      <c r="D875" s="50" t="str">
        <f>IFERROR(VLOOKUP(D874,'KE PRB Summary Data'!A:U,6,FALSE),"")</f>
        <v/>
      </c>
    </row>
    <row r="876" spans="1:4" ht="30" hidden="1" x14ac:dyDescent="0.25">
      <c r="C876" s="49" t="s">
        <v>88</v>
      </c>
      <c r="D876" s="48" t="str">
        <f>IFERROR(VLOOKUP(D874,'KE PRB Summary Data'!A:U,15,FALSE),"")&amp;CHAR(10)</f>
        <v xml:space="preserve">
</v>
      </c>
    </row>
    <row r="877" spans="1:4" ht="30" hidden="1" x14ac:dyDescent="0.25">
      <c r="C877" s="49" t="s">
        <v>89</v>
      </c>
      <c r="D877" s="48" t="str">
        <f>IFERROR(VLOOKUP(D874,'KE PRB Summary Data'!A:U,11,FALSE),"")&amp;CHAR(10)</f>
        <v xml:space="preserve">
</v>
      </c>
    </row>
    <row r="878" spans="1:4" ht="30" hidden="1" x14ac:dyDescent="0.25">
      <c r="C878" s="49" t="s">
        <v>90</v>
      </c>
      <c r="D878" s="48" t="str">
        <f>IFERROR(VLOOKUP(D874,'KE PRB Summary Data'!A:U,12,FALSE),"")&amp;CHAR(10)</f>
        <v xml:space="preserve">
</v>
      </c>
    </row>
    <row r="879" spans="1:4" ht="30.75" hidden="1" thickBot="1" x14ac:dyDescent="0.3">
      <c r="C879" s="51" t="s">
        <v>49</v>
      </c>
      <c r="D879" s="52" t="str">
        <f>IFERROR(VLOOKUP(D874,'KE PRB Summary Data'!A:U,16,FALSE),"")&amp;CHAR(10)</f>
        <v xml:space="preserve">
</v>
      </c>
    </row>
    <row r="880" spans="1:4" ht="15.75" hidden="1" thickBot="1" x14ac:dyDescent="0.3">
      <c r="C880" s="65"/>
      <c r="D880" s="66"/>
    </row>
    <row r="881" spans="1:4" hidden="1" x14ac:dyDescent="0.25">
      <c r="A881" s="160" t="str">
        <f>IF(D881&lt;&gt;"","Comp","Blank")</f>
        <v>Blank</v>
      </c>
      <c r="C881" s="45" t="s">
        <v>87</v>
      </c>
      <c r="D881" s="46" t="str">
        <f>IF('KE PRB Summary Data'!A127&lt;&gt;"",('KE PRB Summary Data'!A127),"")</f>
        <v/>
      </c>
    </row>
    <row r="882" spans="1:4" hidden="1" x14ac:dyDescent="0.25">
      <c r="C882" s="49" t="s">
        <v>47</v>
      </c>
      <c r="D882" s="50" t="str">
        <f>IFERROR(VLOOKUP(D881,'KE PRB Summary Data'!A:U,6,FALSE),"")</f>
        <v/>
      </c>
    </row>
    <row r="883" spans="1:4" ht="30" hidden="1" x14ac:dyDescent="0.25">
      <c r="C883" s="49" t="s">
        <v>88</v>
      </c>
      <c r="D883" s="48" t="str">
        <f>IFERROR(VLOOKUP(D881,'KE PRB Summary Data'!A:U,15,FALSE),"")&amp;CHAR(10)</f>
        <v xml:space="preserve">
</v>
      </c>
    </row>
    <row r="884" spans="1:4" ht="30" hidden="1" x14ac:dyDescent="0.25">
      <c r="C884" s="49" t="s">
        <v>89</v>
      </c>
      <c r="D884" s="48" t="str">
        <f>IFERROR(VLOOKUP(D881,'KE PRB Summary Data'!A:U,11,FALSE),"")&amp;CHAR(10)</f>
        <v xml:space="preserve">
</v>
      </c>
    </row>
    <row r="885" spans="1:4" ht="30" hidden="1" x14ac:dyDescent="0.25">
      <c r="C885" s="49" t="s">
        <v>90</v>
      </c>
      <c r="D885" s="48" t="str">
        <f>IFERROR(VLOOKUP(D881,'KE PRB Summary Data'!A:U,12,FALSE),"")&amp;CHAR(10)</f>
        <v xml:space="preserve">
</v>
      </c>
    </row>
    <row r="886" spans="1:4" ht="30.75" hidden="1" thickBot="1" x14ac:dyDescent="0.3">
      <c r="C886" s="51" t="s">
        <v>49</v>
      </c>
      <c r="D886" s="52" t="str">
        <f>IFERROR(VLOOKUP(D881,'KE PRB Summary Data'!A:U,16,FALSE),"")&amp;CHAR(10)</f>
        <v xml:space="preserve">
</v>
      </c>
    </row>
    <row r="887" spans="1:4" ht="15.75" hidden="1" thickBot="1" x14ac:dyDescent="0.3">
      <c r="C887" s="65"/>
      <c r="D887" s="66"/>
    </row>
    <row r="888" spans="1:4" hidden="1" x14ac:dyDescent="0.25">
      <c r="A888" s="160" t="str">
        <f>IF(D888&lt;&gt;"","Comp","Blank")</f>
        <v>Blank</v>
      </c>
      <c r="C888" s="45" t="s">
        <v>87</v>
      </c>
      <c r="D888" s="46" t="str">
        <f>IF('KE PRB Summary Data'!A128&lt;&gt;"",('KE PRB Summary Data'!A128),"")</f>
        <v/>
      </c>
    </row>
    <row r="889" spans="1:4" hidden="1" x14ac:dyDescent="0.25">
      <c r="C889" s="49" t="s">
        <v>47</v>
      </c>
      <c r="D889" s="50" t="str">
        <f>IFERROR(VLOOKUP(D888,'KE PRB Summary Data'!A:U,6,FALSE),"")</f>
        <v/>
      </c>
    </row>
    <row r="890" spans="1:4" ht="30" hidden="1" x14ac:dyDescent="0.25">
      <c r="C890" s="49" t="s">
        <v>88</v>
      </c>
      <c r="D890" s="48" t="str">
        <f>IFERROR(VLOOKUP(D888,'KE PRB Summary Data'!A:U,15,FALSE),"")&amp;CHAR(10)</f>
        <v xml:space="preserve">
</v>
      </c>
    </row>
    <row r="891" spans="1:4" ht="30" hidden="1" x14ac:dyDescent="0.25">
      <c r="C891" s="49" t="s">
        <v>89</v>
      </c>
      <c r="D891" s="48" t="str">
        <f>IFERROR(VLOOKUP(D888,'KE PRB Summary Data'!A:U,11,FALSE),"")&amp;CHAR(10)</f>
        <v xml:space="preserve">
</v>
      </c>
    </row>
    <row r="892" spans="1:4" ht="30" hidden="1" x14ac:dyDescent="0.25">
      <c r="C892" s="49" t="s">
        <v>90</v>
      </c>
      <c r="D892" s="48" t="str">
        <f>IFERROR(VLOOKUP(D888,'KE PRB Summary Data'!A:U,12,FALSE),"")&amp;CHAR(10)</f>
        <v xml:space="preserve">
</v>
      </c>
    </row>
    <row r="893" spans="1:4" ht="30.75" hidden="1" thickBot="1" x14ac:dyDescent="0.3">
      <c r="C893" s="51" t="s">
        <v>49</v>
      </c>
      <c r="D893" s="52" t="str">
        <f>IFERROR(VLOOKUP(D888,'KE PRB Summary Data'!A:U,16,FALSE),"")&amp;CHAR(10)</f>
        <v xml:space="preserve">
</v>
      </c>
    </row>
    <row r="894" spans="1:4" ht="15.75" hidden="1" thickBot="1" x14ac:dyDescent="0.3">
      <c r="C894" s="65"/>
      <c r="D894" s="66"/>
    </row>
    <row r="895" spans="1:4" hidden="1" x14ac:dyDescent="0.25">
      <c r="A895" s="160" t="str">
        <f>IF(D895&lt;&gt;"","Comp","Blank")</f>
        <v>Blank</v>
      </c>
      <c r="C895" s="45" t="s">
        <v>87</v>
      </c>
      <c r="D895" s="46" t="str">
        <f>IF('KE PRB Summary Data'!A129&lt;&gt;"",('KE PRB Summary Data'!A129),"")</f>
        <v/>
      </c>
    </row>
    <row r="896" spans="1:4" hidden="1" x14ac:dyDescent="0.25">
      <c r="C896" s="49" t="s">
        <v>47</v>
      </c>
      <c r="D896" s="50" t="str">
        <f>IFERROR(VLOOKUP(D895,'KE PRB Summary Data'!A:U,6,FALSE),"")</f>
        <v/>
      </c>
    </row>
    <row r="897" spans="1:4" ht="30" hidden="1" x14ac:dyDescent="0.25">
      <c r="C897" s="49" t="s">
        <v>88</v>
      </c>
      <c r="D897" s="48" t="str">
        <f>IFERROR(VLOOKUP(D895,'KE PRB Summary Data'!A:U,15,FALSE),"")&amp;CHAR(10)</f>
        <v xml:space="preserve">
</v>
      </c>
    </row>
    <row r="898" spans="1:4" ht="30" hidden="1" x14ac:dyDescent="0.25">
      <c r="C898" s="49" t="s">
        <v>89</v>
      </c>
      <c r="D898" s="48" t="str">
        <f>IFERROR(VLOOKUP(D895,'KE PRB Summary Data'!A:U,11,FALSE),"")&amp;CHAR(10)</f>
        <v xml:space="preserve">
</v>
      </c>
    </row>
    <row r="899" spans="1:4" ht="30" hidden="1" x14ac:dyDescent="0.25">
      <c r="C899" s="49" t="s">
        <v>90</v>
      </c>
      <c r="D899" s="48" t="str">
        <f>IFERROR(VLOOKUP(D895,'KE PRB Summary Data'!A:U,12,FALSE),"")&amp;CHAR(10)</f>
        <v xml:space="preserve">
</v>
      </c>
    </row>
    <row r="900" spans="1:4" ht="30.75" hidden="1" thickBot="1" x14ac:dyDescent="0.3">
      <c r="C900" s="51" t="s">
        <v>49</v>
      </c>
      <c r="D900" s="52" t="str">
        <f>IFERROR(VLOOKUP(D895,'KE PRB Summary Data'!A:U,16,FALSE),"")&amp;CHAR(10)</f>
        <v xml:space="preserve">
</v>
      </c>
    </row>
    <row r="901" spans="1:4" ht="15.75" hidden="1" thickBot="1" x14ac:dyDescent="0.3">
      <c r="C901" s="65"/>
      <c r="D901" s="66"/>
    </row>
    <row r="902" spans="1:4" hidden="1" x14ac:dyDescent="0.25">
      <c r="A902" s="160" t="str">
        <f>IF(D902&lt;&gt;"","Comp","Blank")</f>
        <v>Blank</v>
      </c>
      <c r="C902" s="45" t="s">
        <v>87</v>
      </c>
      <c r="D902" s="46" t="str">
        <f>IF('KE PRB Summary Data'!A130&lt;&gt;"",('KE PRB Summary Data'!A130),"")</f>
        <v/>
      </c>
    </row>
    <row r="903" spans="1:4" hidden="1" x14ac:dyDescent="0.25">
      <c r="C903" s="49" t="s">
        <v>47</v>
      </c>
      <c r="D903" s="50" t="str">
        <f>IFERROR(VLOOKUP(D902,'KE PRB Summary Data'!A:U,6,FALSE),"")</f>
        <v/>
      </c>
    </row>
    <row r="904" spans="1:4" ht="30" hidden="1" x14ac:dyDescent="0.25">
      <c r="C904" s="49" t="s">
        <v>88</v>
      </c>
      <c r="D904" s="48" t="str">
        <f>IFERROR(VLOOKUP(D902,'KE PRB Summary Data'!A:U,15,FALSE),"")&amp;CHAR(10)</f>
        <v xml:space="preserve">
</v>
      </c>
    </row>
    <row r="905" spans="1:4" ht="30" hidden="1" x14ac:dyDescent="0.25">
      <c r="C905" s="49" t="s">
        <v>89</v>
      </c>
      <c r="D905" s="48" t="str">
        <f>IFERROR(VLOOKUP(D902,'KE PRB Summary Data'!A:U,11,FALSE),"")&amp;CHAR(10)</f>
        <v xml:space="preserve">
</v>
      </c>
    </row>
    <row r="906" spans="1:4" ht="30" hidden="1" x14ac:dyDescent="0.25">
      <c r="C906" s="49" t="s">
        <v>90</v>
      </c>
      <c r="D906" s="48" t="str">
        <f>IFERROR(VLOOKUP(D902,'KE PRB Summary Data'!A:U,12,FALSE),"")&amp;CHAR(10)</f>
        <v xml:space="preserve">
</v>
      </c>
    </row>
    <row r="907" spans="1:4" ht="30.75" hidden="1" thickBot="1" x14ac:dyDescent="0.3">
      <c r="C907" s="51" t="s">
        <v>49</v>
      </c>
      <c r="D907" s="52" t="str">
        <f>IFERROR(VLOOKUP(D902,'KE PRB Summary Data'!A:U,16,FALSE),"")&amp;CHAR(10)</f>
        <v xml:space="preserve">
</v>
      </c>
    </row>
    <row r="908" spans="1:4" ht="15.75" hidden="1" thickBot="1" x14ac:dyDescent="0.3">
      <c r="C908" s="65"/>
      <c r="D908" s="66"/>
    </row>
    <row r="909" spans="1:4" hidden="1" x14ac:dyDescent="0.25">
      <c r="A909" s="160" t="str">
        <f>IF(D909&lt;&gt;"","Comp","Blank")</f>
        <v>Blank</v>
      </c>
      <c r="C909" s="45" t="s">
        <v>87</v>
      </c>
      <c r="D909" s="46" t="str">
        <f>IF('KE PRB Summary Data'!A131&lt;&gt;"",('KE PRB Summary Data'!A131),"")</f>
        <v/>
      </c>
    </row>
    <row r="910" spans="1:4" hidden="1" x14ac:dyDescent="0.25">
      <c r="C910" s="49" t="s">
        <v>47</v>
      </c>
      <c r="D910" s="50" t="str">
        <f>IFERROR(VLOOKUP(D909,'KE PRB Summary Data'!A:U,6,FALSE),"")</f>
        <v/>
      </c>
    </row>
    <row r="911" spans="1:4" ht="30" hidden="1" x14ac:dyDescent="0.25">
      <c r="C911" s="49" t="s">
        <v>88</v>
      </c>
      <c r="D911" s="48" t="str">
        <f>IFERROR(VLOOKUP(D909,'KE PRB Summary Data'!A:U,15,FALSE),"")&amp;CHAR(10)</f>
        <v xml:space="preserve">
</v>
      </c>
    </row>
    <row r="912" spans="1:4" ht="30" hidden="1" x14ac:dyDescent="0.25">
      <c r="C912" s="49" t="s">
        <v>89</v>
      </c>
      <c r="D912" s="48" t="str">
        <f>IFERROR(VLOOKUP(D909,'KE PRB Summary Data'!A:U,11,FALSE),"")&amp;CHAR(10)</f>
        <v xml:space="preserve">
</v>
      </c>
    </row>
    <row r="913" spans="1:4" ht="30" hidden="1" x14ac:dyDescent="0.25">
      <c r="C913" s="49" t="s">
        <v>90</v>
      </c>
      <c r="D913" s="48" t="str">
        <f>IFERROR(VLOOKUP(D909,'KE PRB Summary Data'!A:U,12,FALSE),"")&amp;CHAR(10)</f>
        <v xml:space="preserve">
</v>
      </c>
    </row>
    <row r="914" spans="1:4" ht="30.75" hidden="1" thickBot="1" x14ac:dyDescent="0.3">
      <c r="C914" s="51" t="s">
        <v>49</v>
      </c>
      <c r="D914" s="52" t="str">
        <f>IFERROR(VLOOKUP(D909,'KE PRB Summary Data'!A:U,16,FALSE),"")&amp;CHAR(10)</f>
        <v xml:space="preserve">
</v>
      </c>
    </row>
    <row r="915" spans="1:4" ht="15.75" hidden="1" thickBot="1" x14ac:dyDescent="0.3">
      <c r="C915" s="65"/>
      <c r="D915" s="66"/>
    </row>
    <row r="916" spans="1:4" hidden="1" x14ac:dyDescent="0.25">
      <c r="A916" s="160" t="str">
        <f>IF(D916&lt;&gt;"","Comp","Blank")</f>
        <v>Blank</v>
      </c>
      <c r="C916" s="45" t="s">
        <v>87</v>
      </c>
      <c r="D916" s="46" t="str">
        <f>IF('KE PRB Summary Data'!A132&lt;&gt;"",('KE PRB Summary Data'!A132),"")</f>
        <v/>
      </c>
    </row>
    <row r="917" spans="1:4" hidden="1" x14ac:dyDescent="0.25">
      <c r="C917" s="49" t="s">
        <v>47</v>
      </c>
      <c r="D917" s="50" t="str">
        <f>IFERROR(VLOOKUP(D916,'KE PRB Summary Data'!A:U,6,FALSE),"")</f>
        <v/>
      </c>
    </row>
    <row r="918" spans="1:4" ht="30" hidden="1" x14ac:dyDescent="0.25">
      <c r="C918" s="49" t="s">
        <v>88</v>
      </c>
      <c r="D918" s="48" t="str">
        <f>IFERROR(VLOOKUP(D916,'KE PRB Summary Data'!A:U,15,FALSE),"")&amp;CHAR(10)</f>
        <v xml:space="preserve">
</v>
      </c>
    </row>
    <row r="919" spans="1:4" ht="30" hidden="1" x14ac:dyDescent="0.25">
      <c r="C919" s="49" t="s">
        <v>89</v>
      </c>
      <c r="D919" s="48" t="str">
        <f>IFERROR(VLOOKUP(D916,'KE PRB Summary Data'!A:U,11,FALSE),"")&amp;CHAR(10)</f>
        <v xml:space="preserve">
</v>
      </c>
    </row>
    <row r="920" spans="1:4" ht="30" hidden="1" x14ac:dyDescent="0.25">
      <c r="C920" s="49" t="s">
        <v>90</v>
      </c>
      <c r="D920" s="48" t="str">
        <f>IFERROR(VLOOKUP(D916,'KE PRB Summary Data'!A:U,12,FALSE),"")&amp;CHAR(10)</f>
        <v xml:space="preserve">
</v>
      </c>
    </row>
    <row r="921" spans="1:4" ht="30.75" hidden="1" thickBot="1" x14ac:dyDescent="0.3">
      <c r="C921" s="51" t="s">
        <v>49</v>
      </c>
      <c r="D921" s="52" t="str">
        <f>IFERROR(VLOOKUP(D916,'KE PRB Summary Data'!A:U,16,FALSE),"")&amp;CHAR(10)</f>
        <v xml:space="preserve">
</v>
      </c>
    </row>
    <row r="922" spans="1:4" ht="15.75" hidden="1" thickBot="1" x14ac:dyDescent="0.3">
      <c r="C922" s="65"/>
      <c r="D922" s="66"/>
    </row>
    <row r="923" spans="1:4" hidden="1" x14ac:dyDescent="0.25">
      <c r="A923" s="160" t="str">
        <f>IF(D923&lt;&gt;"","Comp","Blank")</f>
        <v>Blank</v>
      </c>
      <c r="C923" s="45" t="s">
        <v>87</v>
      </c>
      <c r="D923" s="46" t="str">
        <f>IF('KE PRB Summary Data'!A133&lt;&gt;"",('KE PRB Summary Data'!A133),"")</f>
        <v/>
      </c>
    </row>
    <row r="924" spans="1:4" hidden="1" x14ac:dyDescent="0.25">
      <c r="C924" s="49" t="s">
        <v>47</v>
      </c>
      <c r="D924" s="50" t="str">
        <f>IFERROR(VLOOKUP(D923,'KE PRB Summary Data'!A:U,6,FALSE),"")</f>
        <v/>
      </c>
    </row>
    <row r="925" spans="1:4" ht="30" hidden="1" x14ac:dyDescent="0.25">
      <c r="C925" s="49" t="s">
        <v>88</v>
      </c>
      <c r="D925" s="48" t="str">
        <f>IFERROR(VLOOKUP(D923,'KE PRB Summary Data'!A:U,15,FALSE),"")&amp;CHAR(10)</f>
        <v xml:space="preserve">
</v>
      </c>
    </row>
    <row r="926" spans="1:4" ht="30" hidden="1" x14ac:dyDescent="0.25">
      <c r="C926" s="49" t="s">
        <v>89</v>
      </c>
      <c r="D926" s="48" t="str">
        <f>IFERROR(VLOOKUP(D923,'KE PRB Summary Data'!A:U,11,FALSE),"")&amp;CHAR(10)</f>
        <v xml:space="preserve">
</v>
      </c>
    </row>
    <row r="927" spans="1:4" ht="30" hidden="1" x14ac:dyDescent="0.25">
      <c r="C927" s="49" t="s">
        <v>90</v>
      </c>
      <c r="D927" s="48" t="str">
        <f>IFERROR(VLOOKUP(D923,'KE PRB Summary Data'!A:U,12,FALSE),"")&amp;CHAR(10)</f>
        <v xml:space="preserve">
</v>
      </c>
    </row>
    <row r="928" spans="1:4" ht="30.75" hidden="1" thickBot="1" x14ac:dyDescent="0.3">
      <c r="C928" s="51" t="s">
        <v>49</v>
      </c>
      <c r="D928" s="52" t="str">
        <f>IFERROR(VLOOKUP(D923,'KE PRB Summary Data'!A:U,16,FALSE),"")&amp;CHAR(10)</f>
        <v xml:space="preserve">
</v>
      </c>
    </row>
    <row r="929" spans="1:4" ht="15.75" hidden="1" thickBot="1" x14ac:dyDescent="0.3">
      <c r="C929" s="65"/>
      <c r="D929" s="66"/>
    </row>
    <row r="930" spans="1:4" hidden="1" x14ac:dyDescent="0.25">
      <c r="A930" s="160" t="str">
        <f>IF(D930&lt;&gt;"","Comp","Blank")</f>
        <v>Blank</v>
      </c>
      <c r="C930" s="45" t="s">
        <v>87</v>
      </c>
      <c r="D930" s="46" t="str">
        <f>IF('KE PRB Summary Data'!A134&lt;&gt;"",('KE PRB Summary Data'!A134),"")</f>
        <v/>
      </c>
    </row>
    <row r="931" spans="1:4" hidden="1" x14ac:dyDescent="0.25">
      <c r="C931" s="49" t="s">
        <v>47</v>
      </c>
      <c r="D931" s="50" t="str">
        <f>IFERROR(VLOOKUP(D930,'KE PRB Summary Data'!A:U,6,FALSE),"")</f>
        <v/>
      </c>
    </row>
    <row r="932" spans="1:4" ht="30" hidden="1" x14ac:dyDescent="0.25">
      <c r="C932" s="49" t="s">
        <v>88</v>
      </c>
      <c r="D932" s="48" t="str">
        <f>IFERROR(VLOOKUP(D930,'KE PRB Summary Data'!A:U,15,FALSE),"")&amp;CHAR(10)</f>
        <v xml:space="preserve">
</v>
      </c>
    </row>
    <row r="933" spans="1:4" ht="30" hidden="1" x14ac:dyDescent="0.25">
      <c r="C933" s="49" t="s">
        <v>89</v>
      </c>
      <c r="D933" s="48" t="str">
        <f>IFERROR(VLOOKUP(D930,'KE PRB Summary Data'!A:U,11,FALSE),"")&amp;CHAR(10)</f>
        <v xml:space="preserve">
</v>
      </c>
    </row>
    <row r="934" spans="1:4" ht="30" hidden="1" x14ac:dyDescent="0.25">
      <c r="C934" s="49" t="s">
        <v>90</v>
      </c>
      <c r="D934" s="48" t="str">
        <f>IFERROR(VLOOKUP(D930,'KE PRB Summary Data'!A:U,12,FALSE),"")&amp;CHAR(10)</f>
        <v xml:space="preserve">
</v>
      </c>
    </row>
    <row r="935" spans="1:4" ht="30.75" hidden="1" thickBot="1" x14ac:dyDescent="0.3">
      <c r="C935" s="51" t="s">
        <v>49</v>
      </c>
      <c r="D935" s="52" t="str">
        <f>IFERROR(VLOOKUP(D930,'KE PRB Summary Data'!A:U,16,FALSE),"")&amp;CHAR(10)</f>
        <v xml:space="preserve">
</v>
      </c>
    </row>
    <row r="936" spans="1:4" ht="15.75" hidden="1" thickBot="1" x14ac:dyDescent="0.3">
      <c r="C936" s="65"/>
      <c r="D936" s="66"/>
    </row>
    <row r="937" spans="1:4" hidden="1" x14ac:dyDescent="0.25">
      <c r="A937" s="160" t="str">
        <f>IF(D937&lt;&gt;"","Comp","Blank")</f>
        <v>Blank</v>
      </c>
      <c r="C937" s="45" t="s">
        <v>87</v>
      </c>
      <c r="D937" s="46" t="str">
        <f>IF('KE PRB Summary Data'!A135&lt;&gt;"",('KE PRB Summary Data'!A135),"")</f>
        <v/>
      </c>
    </row>
    <row r="938" spans="1:4" hidden="1" x14ac:dyDescent="0.25">
      <c r="C938" s="49" t="s">
        <v>47</v>
      </c>
      <c r="D938" s="50" t="str">
        <f>IFERROR(VLOOKUP(D937,'KE PRB Summary Data'!A:U,6,FALSE),"")</f>
        <v/>
      </c>
    </row>
    <row r="939" spans="1:4" ht="30" hidden="1" x14ac:dyDescent="0.25">
      <c r="C939" s="49" t="s">
        <v>88</v>
      </c>
      <c r="D939" s="48" t="str">
        <f>IFERROR(VLOOKUP(D937,'KE PRB Summary Data'!A:U,15,FALSE),"")&amp;CHAR(10)</f>
        <v xml:space="preserve">
</v>
      </c>
    </row>
    <row r="940" spans="1:4" ht="30" hidden="1" x14ac:dyDescent="0.25">
      <c r="C940" s="49" t="s">
        <v>89</v>
      </c>
      <c r="D940" s="48" t="str">
        <f>IFERROR(VLOOKUP(D937,'KE PRB Summary Data'!A:U,11,FALSE),"")&amp;CHAR(10)</f>
        <v xml:space="preserve">
</v>
      </c>
    </row>
    <row r="941" spans="1:4" ht="30" hidden="1" x14ac:dyDescent="0.25">
      <c r="C941" s="49" t="s">
        <v>90</v>
      </c>
      <c r="D941" s="48" t="str">
        <f>IFERROR(VLOOKUP(D937,'KE PRB Summary Data'!A:U,12,FALSE),"")&amp;CHAR(10)</f>
        <v xml:space="preserve">
</v>
      </c>
    </row>
    <row r="942" spans="1:4" ht="30.75" hidden="1" thickBot="1" x14ac:dyDescent="0.3">
      <c r="C942" s="51" t="s">
        <v>49</v>
      </c>
      <c r="D942" s="52" t="str">
        <f>IFERROR(VLOOKUP(D937,'KE PRB Summary Data'!A:U,16,FALSE),"")&amp;CHAR(10)</f>
        <v xml:space="preserve">
</v>
      </c>
    </row>
    <row r="943" spans="1:4" ht="15.75" hidden="1" thickBot="1" x14ac:dyDescent="0.3">
      <c r="C943" s="65"/>
      <c r="D943" s="66"/>
    </row>
    <row r="944" spans="1:4" hidden="1" x14ac:dyDescent="0.25">
      <c r="A944" s="160" t="str">
        <f>IF(D944&lt;&gt;"","Comp","Blank")</f>
        <v>Blank</v>
      </c>
      <c r="C944" s="45" t="s">
        <v>87</v>
      </c>
      <c r="D944" s="46" t="str">
        <f>IF('KE PRB Summary Data'!A136&lt;&gt;"",('KE PRB Summary Data'!A136),"")</f>
        <v/>
      </c>
    </row>
    <row r="945" spans="1:4" hidden="1" x14ac:dyDescent="0.25">
      <c r="C945" s="49" t="s">
        <v>47</v>
      </c>
      <c r="D945" s="50" t="str">
        <f>IFERROR(VLOOKUP(D944,'KE PRB Summary Data'!A:U,6,FALSE),"")</f>
        <v/>
      </c>
    </row>
    <row r="946" spans="1:4" ht="30" hidden="1" x14ac:dyDescent="0.25">
      <c r="C946" s="49" t="s">
        <v>88</v>
      </c>
      <c r="D946" s="48" t="str">
        <f>IFERROR(VLOOKUP(D944,'KE PRB Summary Data'!A:U,15,FALSE),"")&amp;CHAR(10)</f>
        <v xml:space="preserve">
</v>
      </c>
    </row>
    <row r="947" spans="1:4" ht="30" hidden="1" x14ac:dyDescent="0.25">
      <c r="C947" s="49" t="s">
        <v>89</v>
      </c>
      <c r="D947" s="48" t="str">
        <f>IFERROR(VLOOKUP(D944,'KE PRB Summary Data'!A:U,11,FALSE),"")&amp;CHAR(10)</f>
        <v xml:space="preserve">
</v>
      </c>
    </row>
    <row r="948" spans="1:4" ht="30" hidden="1" x14ac:dyDescent="0.25">
      <c r="C948" s="49" t="s">
        <v>90</v>
      </c>
      <c r="D948" s="48" t="str">
        <f>IFERROR(VLOOKUP(D944,'KE PRB Summary Data'!A:U,12,FALSE),"")&amp;CHAR(10)</f>
        <v xml:space="preserve">
</v>
      </c>
    </row>
    <row r="949" spans="1:4" ht="30.75" hidden="1" thickBot="1" x14ac:dyDescent="0.3">
      <c r="C949" s="51" t="s">
        <v>49</v>
      </c>
      <c r="D949" s="52" t="str">
        <f>IFERROR(VLOOKUP(D944,'KE PRB Summary Data'!A:U,16,FALSE),"")&amp;CHAR(10)</f>
        <v xml:space="preserve">
</v>
      </c>
    </row>
    <row r="950" spans="1:4" ht="15.75" hidden="1" thickBot="1" x14ac:dyDescent="0.3">
      <c r="C950" s="65"/>
      <c r="D950" s="66"/>
    </row>
    <row r="951" spans="1:4" hidden="1" x14ac:dyDescent="0.25">
      <c r="A951" s="160" t="str">
        <f>IF(D951&lt;&gt;"","Comp","Blank")</f>
        <v>Blank</v>
      </c>
      <c r="C951" s="45" t="s">
        <v>87</v>
      </c>
      <c r="D951" s="46" t="str">
        <f>IF('KE PRB Summary Data'!A137&lt;&gt;"",('KE PRB Summary Data'!A137),"")</f>
        <v/>
      </c>
    </row>
    <row r="952" spans="1:4" hidden="1" x14ac:dyDescent="0.25">
      <c r="C952" s="49" t="s">
        <v>47</v>
      </c>
      <c r="D952" s="50" t="str">
        <f>IFERROR(VLOOKUP(D951,'KE PRB Summary Data'!A:U,6,FALSE),"")</f>
        <v/>
      </c>
    </row>
    <row r="953" spans="1:4" ht="30" hidden="1" x14ac:dyDescent="0.25">
      <c r="C953" s="49" t="s">
        <v>88</v>
      </c>
      <c r="D953" s="48" t="str">
        <f>IFERROR(VLOOKUP(D951,'KE PRB Summary Data'!A:U,15,FALSE),"")&amp;CHAR(10)</f>
        <v xml:space="preserve">
</v>
      </c>
    </row>
    <row r="954" spans="1:4" ht="30" hidden="1" x14ac:dyDescent="0.25">
      <c r="C954" s="49" t="s">
        <v>89</v>
      </c>
      <c r="D954" s="48" t="str">
        <f>IFERROR(VLOOKUP(D951,'KE PRB Summary Data'!A:U,11,FALSE),"")&amp;CHAR(10)</f>
        <v xml:space="preserve">
</v>
      </c>
    </row>
    <row r="955" spans="1:4" ht="30" hidden="1" x14ac:dyDescent="0.25">
      <c r="C955" s="49" t="s">
        <v>90</v>
      </c>
      <c r="D955" s="48" t="str">
        <f>IFERROR(VLOOKUP(D951,'KE PRB Summary Data'!A:U,12,FALSE),"")&amp;CHAR(10)</f>
        <v xml:space="preserve">
</v>
      </c>
    </row>
    <row r="956" spans="1:4" ht="30.75" hidden="1" thickBot="1" x14ac:dyDescent="0.3">
      <c r="C956" s="51" t="s">
        <v>49</v>
      </c>
      <c r="D956" s="52" t="str">
        <f>IFERROR(VLOOKUP(D951,'KE PRB Summary Data'!A:U,16,FALSE),"")&amp;CHAR(10)</f>
        <v xml:space="preserve">
</v>
      </c>
    </row>
    <row r="957" spans="1:4" ht="15.75" hidden="1" thickBot="1" x14ac:dyDescent="0.3">
      <c r="C957" s="65"/>
      <c r="D957" s="66"/>
    </row>
    <row r="958" spans="1:4" hidden="1" x14ac:dyDescent="0.25">
      <c r="A958" s="160" t="str">
        <f>IF(D958&lt;&gt;"","Comp","Blank")</f>
        <v>Blank</v>
      </c>
      <c r="C958" s="45" t="s">
        <v>87</v>
      </c>
      <c r="D958" s="46" t="str">
        <f>IF('KE PRB Summary Data'!A138&lt;&gt;"",('KE PRB Summary Data'!A138),"")</f>
        <v/>
      </c>
    </row>
    <row r="959" spans="1:4" hidden="1" x14ac:dyDescent="0.25">
      <c r="C959" s="49" t="s">
        <v>47</v>
      </c>
      <c r="D959" s="50" t="str">
        <f>IFERROR(VLOOKUP(D958,'KE PRB Summary Data'!A:U,6,FALSE),"")</f>
        <v/>
      </c>
    </row>
    <row r="960" spans="1:4" ht="30" hidden="1" x14ac:dyDescent="0.25">
      <c r="C960" s="49" t="s">
        <v>88</v>
      </c>
      <c r="D960" s="48" t="str">
        <f>IFERROR(VLOOKUP(D958,'KE PRB Summary Data'!A:U,15,FALSE),"")&amp;CHAR(10)</f>
        <v xml:space="preserve">
</v>
      </c>
    </row>
    <row r="961" spans="1:4" ht="30" hidden="1" x14ac:dyDescent="0.25">
      <c r="C961" s="49" t="s">
        <v>89</v>
      </c>
      <c r="D961" s="48" t="str">
        <f>IFERROR(VLOOKUP(D958,'KE PRB Summary Data'!A:U,11,FALSE),"")&amp;CHAR(10)</f>
        <v xml:space="preserve">
</v>
      </c>
    </row>
    <row r="962" spans="1:4" ht="30" hidden="1" x14ac:dyDescent="0.25">
      <c r="C962" s="49" t="s">
        <v>90</v>
      </c>
      <c r="D962" s="48" t="str">
        <f>IFERROR(VLOOKUP(D958,'KE PRB Summary Data'!A:U,12,FALSE),"")&amp;CHAR(10)</f>
        <v xml:space="preserve">
</v>
      </c>
    </row>
    <row r="963" spans="1:4" ht="30.75" hidden="1" thickBot="1" x14ac:dyDescent="0.3">
      <c r="C963" s="51" t="s">
        <v>49</v>
      </c>
      <c r="D963" s="52" t="str">
        <f>IFERROR(VLOOKUP(D958,'KE PRB Summary Data'!A:U,16,FALSE),"")&amp;CHAR(10)</f>
        <v xml:space="preserve">
</v>
      </c>
    </row>
    <row r="964" spans="1:4" ht="15.75" hidden="1" thickBot="1" x14ac:dyDescent="0.3">
      <c r="C964" s="65"/>
      <c r="D964" s="66"/>
    </row>
    <row r="965" spans="1:4" hidden="1" x14ac:dyDescent="0.25">
      <c r="A965" s="160" t="str">
        <f>IF(D965&lt;&gt;"","Comp","Blank")</f>
        <v>Blank</v>
      </c>
      <c r="C965" s="45" t="s">
        <v>87</v>
      </c>
      <c r="D965" s="46" t="str">
        <f>IF('KE PRB Summary Data'!A139&lt;&gt;"",('KE PRB Summary Data'!A139),"")</f>
        <v/>
      </c>
    </row>
    <row r="966" spans="1:4" hidden="1" x14ac:dyDescent="0.25">
      <c r="C966" s="49" t="s">
        <v>47</v>
      </c>
      <c r="D966" s="50" t="str">
        <f>IFERROR(VLOOKUP(D965,'KE PRB Summary Data'!A:U,6,FALSE),"")</f>
        <v/>
      </c>
    </row>
    <row r="967" spans="1:4" ht="30" hidden="1" x14ac:dyDescent="0.25">
      <c r="C967" s="49" t="s">
        <v>88</v>
      </c>
      <c r="D967" s="48" t="str">
        <f>IFERROR(VLOOKUP(D965,'KE PRB Summary Data'!A:U,15,FALSE),"")&amp;CHAR(10)</f>
        <v xml:space="preserve">
</v>
      </c>
    </row>
    <row r="968" spans="1:4" ht="30" hidden="1" x14ac:dyDescent="0.25">
      <c r="C968" s="49" t="s">
        <v>89</v>
      </c>
      <c r="D968" s="48" t="str">
        <f>IFERROR(VLOOKUP(D965,'KE PRB Summary Data'!A:U,11,FALSE),"")&amp;CHAR(10)</f>
        <v xml:space="preserve">
</v>
      </c>
    </row>
    <row r="969" spans="1:4" ht="30" hidden="1" x14ac:dyDescent="0.25">
      <c r="C969" s="49" t="s">
        <v>90</v>
      </c>
      <c r="D969" s="48" t="str">
        <f>IFERROR(VLOOKUP(D965,'KE PRB Summary Data'!A:U,12,FALSE),"")&amp;CHAR(10)</f>
        <v xml:space="preserve">
</v>
      </c>
    </row>
    <row r="970" spans="1:4" ht="30.75" hidden="1" thickBot="1" x14ac:dyDescent="0.3">
      <c r="C970" s="51" t="s">
        <v>49</v>
      </c>
      <c r="D970" s="52" t="str">
        <f>IFERROR(VLOOKUP(D965,'KE PRB Summary Data'!A:U,16,FALSE),"")&amp;CHAR(10)</f>
        <v xml:space="preserve">
</v>
      </c>
    </row>
    <row r="971" spans="1:4" ht="15.75" hidden="1" thickBot="1" x14ac:dyDescent="0.3">
      <c r="C971" s="65"/>
      <c r="D971" s="66"/>
    </row>
    <row r="972" spans="1:4" hidden="1" x14ac:dyDescent="0.25">
      <c r="A972" s="160" t="str">
        <f>IF(D972&lt;&gt;"","Comp","Blank")</f>
        <v>Blank</v>
      </c>
      <c r="C972" s="45" t="s">
        <v>87</v>
      </c>
      <c r="D972" s="46" t="str">
        <f>IF('KE PRB Summary Data'!A140&lt;&gt;"",('KE PRB Summary Data'!A140),"")</f>
        <v/>
      </c>
    </row>
    <row r="973" spans="1:4" hidden="1" x14ac:dyDescent="0.25">
      <c r="C973" s="49" t="s">
        <v>47</v>
      </c>
      <c r="D973" s="50" t="str">
        <f>IFERROR(VLOOKUP(D972,'KE PRB Summary Data'!A:U,6,FALSE),"")</f>
        <v/>
      </c>
    </row>
    <row r="974" spans="1:4" ht="30" hidden="1" x14ac:dyDescent="0.25">
      <c r="C974" s="49" t="s">
        <v>88</v>
      </c>
      <c r="D974" s="48" t="str">
        <f>IFERROR(VLOOKUP(D972,'KE PRB Summary Data'!A:U,15,FALSE),"")&amp;CHAR(10)</f>
        <v xml:space="preserve">
</v>
      </c>
    </row>
    <row r="975" spans="1:4" ht="30" hidden="1" x14ac:dyDescent="0.25">
      <c r="C975" s="49" t="s">
        <v>89</v>
      </c>
      <c r="D975" s="48" t="str">
        <f>IFERROR(VLOOKUP(D972,'KE PRB Summary Data'!A:U,11,FALSE),"")&amp;CHAR(10)</f>
        <v xml:space="preserve">
</v>
      </c>
    </row>
    <row r="976" spans="1:4" ht="30" hidden="1" x14ac:dyDescent="0.25">
      <c r="C976" s="49" t="s">
        <v>90</v>
      </c>
      <c r="D976" s="48" t="str">
        <f>IFERROR(VLOOKUP(D972,'KE PRB Summary Data'!A:U,12,FALSE),"")&amp;CHAR(10)</f>
        <v xml:space="preserve">
</v>
      </c>
    </row>
    <row r="977" spans="1:4" ht="30.75" hidden="1" thickBot="1" x14ac:dyDescent="0.3">
      <c r="C977" s="51" t="s">
        <v>49</v>
      </c>
      <c r="D977" s="52" t="str">
        <f>IFERROR(VLOOKUP(D972,'KE PRB Summary Data'!A:U,16,FALSE),"")&amp;CHAR(10)</f>
        <v xml:space="preserve">
</v>
      </c>
    </row>
    <row r="978" spans="1:4" ht="15.75" hidden="1" thickBot="1" x14ac:dyDescent="0.3">
      <c r="C978" s="65"/>
      <c r="D978" s="66"/>
    </row>
    <row r="979" spans="1:4" hidden="1" x14ac:dyDescent="0.25">
      <c r="A979" s="160" t="str">
        <f>IF(D979&lt;&gt;"","Comp","Blank")</f>
        <v>Blank</v>
      </c>
      <c r="C979" s="45" t="s">
        <v>87</v>
      </c>
      <c r="D979" s="46" t="str">
        <f>IF('KE PRB Summary Data'!A141&lt;&gt;"",('KE PRB Summary Data'!A141),"")</f>
        <v/>
      </c>
    </row>
    <row r="980" spans="1:4" hidden="1" x14ac:dyDescent="0.25">
      <c r="C980" s="49" t="s">
        <v>47</v>
      </c>
      <c r="D980" s="50" t="str">
        <f>IFERROR(VLOOKUP(D979,'KE PRB Summary Data'!A:U,6,FALSE),"")</f>
        <v/>
      </c>
    </row>
    <row r="981" spans="1:4" ht="30" hidden="1" x14ac:dyDescent="0.25">
      <c r="C981" s="49" t="s">
        <v>88</v>
      </c>
      <c r="D981" s="48" t="str">
        <f>IFERROR(VLOOKUP(D979,'KE PRB Summary Data'!A:U,15,FALSE),"")&amp;CHAR(10)</f>
        <v xml:space="preserve">
</v>
      </c>
    </row>
    <row r="982" spans="1:4" ht="30" hidden="1" x14ac:dyDescent="0.25">
      <c r="C982" s="49" t="s">
        <v>89</v>
      </c>
      <c r="D982" s="48" t="str">
        <f>IFERROR(VLOOKUP(D979,'KE PRB Summary Data'!A:U,11,FALSE),"")&amp;CHAR(10)</f>
        <v xml:space="preserve">
</v>
      </c>
    </row>
    <row r="983" spans="1:4" ht="30" hidden="1" x14ac:dyDescent="0.25">
      <c r="C983" s="49" t="s">
        <v>90</v>
      </c>
      <c r="D983" s="48" t="str">
        <f>IFERROR(VLOOKUP(D979,'KE PRB Summary Data'!A:U,12,FALSE),"")&amp;CHAR(10)</f>
        <v xml:space="preserve">
</v>
      </c>
    </row>
    <row r="984" spans="1:4" ht="30.75" hidden="1" thickBot="1" x14ac:dyDescent="0.3">
      <c r="C984" s="51" t="s">
        <v>49</v>
      </c>
      <c r="D984" s="52" t="str">
        <f>IFERROR(VLOOKUP(D979,'KE PRB Summary Data'!A:U,16,FALSE),"")&amp;CHAR(10)</f>
        <v xml:space="preserve">
</v>
      </c>
    </row>
    <row r="985" spans="1:4" ht="15.75" hidden="1" thickBot="1" x14ac:dyDescent="0.3">
      <c r="C985" s="65"/>
      <c r="D985" s="66"/>
    </row>
    <row r="986" spans="1:4" hidden="1" x14ac:dyDescent="0.25">
      <c r="A986" s="160" t="str">
        <f>IF(D986&lt;&gt;"","Comp","Blank")</f>
        <v>Blank</v>
      </c>
      <c r="C986" s="45" t="s">
        <v>87</v>
      </c>
      <c r="D986" s="46" t="str">
        <f>IF('KE PRB Summary Data'!A142&lt;&gt;"",('KE PRB Summary Data'!A142),"")</f>
        <v/>
      </c>
    </row>
    <row r="987" spans="1:4" hidden="1" x14ac:dyDescent="0.25">
      <c r="C987" s="49" t="s">
        <v>47</v>
      </c>
      <c r="D987" s="50" t="str">
        <f>IFERROR(VLOOKUP(D986,'KE PRB Summary Data'!A:U,6,FALSE),"")</f>
        <v/>
      </c>
    </row>
    <row r="988" spans="1:4" ht="30" hidden="1" x14ac:dyDescent="0.25">
      <c r="C988" s="49" t="s">
        <v>88</v>
      </c>
      <c r="D988" s="48" t="str">
        <f>IFERROR(VLOOKUP(D986,'KE PRB Summary Data'!A:U,15,FALSE),"")&amp;CHAR(10)</f>
        <v xml:space="preserve">
</v>
      </c>
    </row>
    <row r="989" spans="1:4" ht="30" hidden="1" x14ac:dyDescent="0.25">
      <c r="C989" s="49" t="s">
        <v>89</v>
      </c>
      <c r="D989" s="48" t="str">
        <f>IFERROR(VLOOKUP(D986,'KE PRB Summary Data'!A:U,11,FALSE),"")&amp;CHAR(10)</f>
        <v xml:space="preserve">
</v>
      </c>
    </row>
    <row r="990" spans="1:4" ht="30" hidden="1" x14ac:dyDescent="0.25">
      <c r="C990" s="49" t="s">
        <v>90</v>
      </c>
      <c r="D990" s="48" t="str">
        <f>IFERROR(VLOOKUP(D986,'KE PRB Summary Data'!A:U,12,FALSE),"")&amp;CHAR(10)</f>
        <v xml:space="preserve">
</v>
      </c>
    </row>
    <row r="991" spans="1:4" ht="30.75" hidden="1" thickBot="1" x14ac:dyDescent="0.3">
      <c r="C991" s="51" t="s">
        <v>49</v>
      </c>
      <c r="D991" s="52" t="str">
        <f>IFERROR(VLOOKUP(D986,'KE PRB Summary Data'!A:U,16,FALSE),"")&amp;CHAR(10)</f>
        <v xml:space="preserve">
</v>
      </c>
    </row>
    <row r="992" spans="1:4" ht="15.75" hidden="1" thickBot="1" x14ac:dyDescent="0.3">
      <c r="C992" s="65"/>
      <c r="D992" s="66"/>
    </row>
    <row r="993" spans="1:4" hidden="1" x14ac:dyDescent="0.25">
      <c r="A993" s="160" t="str">
        <f>IF(D993&lt;&gt;"","Comp","Blank")</f>
        <v>Blank</v>
      </c>
      <c r="C993" s="45" t="s">
        <v>87</v>
      </c>
      <c r="D993" s="46" t="str">
        <f>IF('KE PRB Summary Data'!A143&lt;&gt;"",('KE PRB Summary Data'!A143),"")</f>
        <v/>
      </c>
    </row>
    <row r="994" spans="1:4" hidden="1" x14ac:dyDescent="0.25">
      <c r="C994" s="49" t="s">
        <v>47</v>
      </c>
      <c r="D994" s="50" t="str">
        <f>IFERROR(VLOOKUP(D993,'KE PRB Summary Data'!A:U,6,FALSE),"")</f>
        <v/>
      </c>
    </row>
    <row r="995" spans="1:4" ht="30" hidden="1" x14ac:dyDescent="0.25">
      <c r="C995" s="49" t="s">
        <v>88</v>
      </c>
      <c r="D995" s="48" t="str">
        <f>IFERROR(VLOOKUP(D993,'KE PRB Summary Data'!A:U,15,FALSE),"")&amp;CHAR(10)</f>
        <v xml:space="preserve">
</v>
      </c>
    </row>
    <row r="996" spans="1:4" ht="30" hidden="1" x14ac:dyDescent="0.25">
      <c r="C996" s="49" t="s">
        <v>89</v>
      </c>
      <c r="D996" s="48" t="str">
        <f>IFERROR(VLOOKUP(D993,'KE PRB Summary Data'!A:U,11,FALSE),"")&amp;CHAR(10)</f>
        <v xml:space="preserve">
</v>
      </c>
    </row>
    <row r="997" spans="1:4" ht="30" hidden="1" x14ac:dyDescent="0.25">
      <c r="C997" s="49" t="s">
        <v>90</v>
      </c>
      <c r="D997" s="48" t="str">
        <f>IFERROR(VLOOKUP(D993,'KE PRB Summary Data'!A:U,12,FALSE),"")&amp;CHAR(10)</f>
        <v xml:space="preserve">
</v>
      </c>
    </row>
    <row r="998" spans="1:4" ht="30.75" hidden="1" thickBot="1" x14ac:dyDescent="0.3">
      <c r="C998" s="51" t="s">
        <v>49</v>
      </c>
      <c r="D998" s="52" t="str">
        <f>IFERROR(VLOOKUP(D993,'KE PRB Summary Data'!A:U,16,FALSE),"")&amp;CHAR(10)</f>
        <v xml:space="preserve">
</v>
      </c>
    </row>
    <row r="999" spans="1:4" ht="15.75" hidden="1" thickBot="1" x14ac:dyDescent="0.3">
      <c r="C999" s="65"/>
      <c r="D999" s="66"/>
    </row>
    <row r="1000" spans="1:4" hidden="1" x14ac:dyDescent="0.25">
      <c r="A1000" s="160" t="str">
        <f>IF(D1000&lt;&gt;"","Comp","Blank")</f>
        <v>Blank</v>
      </c>
      <c r="C1000" s="45" t="s">
        <v>87</v>
      </c>
      <c r="D1000" s="46" t="str">
        <f>IF('KE PRB Summary Data'!A144&lt;&gt;"",('KE PRB Summary Data'!A144),"")</f>
        <v/>
      </c>
    </row>
    <row r="1001" spans="1:4" hidden="1" x14ac:dyDescent="0.25">
      <c r="C1001" s="49" t="s">
        <v>47</v>
      </c>
      <c r="D1001" s="50" t="str">
        <f>IFERROR(VLOOKUP(D1000,'KE PRB Summary Data'!A:U,6,FALSE),"")</f>
        <v/>
      </c>
    </row>
    <row r="1002" spans="1:4" ht="30" hidden="1" x14ac:dyDescent="0.25">
      <c r="C1002" s="49" t="s">
        <v>88</v>
      </c>
      <c r="D1002" s="48" t="str">
        <f>IFERROR(VLOOKUP(D1000,'KE PRB Summary Data'!A:U,15,FALSE),"")&amp;CHAR(10)</f>
        <v xml:space="preserve">
</v>
      </c>
    </row>
    <row r="1003" spans="1:4" ht="30" hidden="1" x14ac:dyDescent="0.25">
      <c r="C1003" s="49" t="s">
        <v>89</v>
      </c>
      <c r="D1003" s="48" t="str">
        <f>IFERROR(VLOOKUP(D1000,'KE PRB Summary Data'!A:U,11,FALSE),"")&amp;CHAR(10)</f>
        <v xml:space="preserve">
</v>
      </c>
    </row>
    <row r="1004" spans="1:4" ht="30" hidden="1" x14ac:dyDescent="0.25">
      <c r="C1004" s="49" t="s">
        <v>90</v>
      </c>
      <c r="D1004" s="48" t="str">
        <f>IFERROR(VLOOKUP(D1000,'KE PRB Summary Data'!A:U,12,FALSE),"")&amp;CHAR(10)</f>
        <v xml:space="preserve">
</v>
      </c>
    </row>
    <row r="1005" spans="1:4" ht="30.75" hidden="1" thickBot="1" x14ac:dyDescent="0.3">
      <c r="C1005" s="51" t="s">
        <v>49</v>
      </c>
      <c r="D1005" s="52" t="str">
        <f>IFERROR(VLOOKUP(D1000,'KE PRB Summary Data'!A:U,16,FALSE),"")&amp;CHAR(10)</f>
        <v xml:space="preserve">
</v>
      </c>
    </row>
    <row r="1006" spans="1:4" ht="15.75" hidden="1" thickBot="1" x14ac:dyDescent="0.3">
      <c r="C1006" s="65"/>
      <c r="D1006" s="66"/>
    </row>
    <row r="1007" spans="1:4" hidden="1" x14ac:dyDescent="0.25">
      <c r="A1007" s="160" t="str">
        <f>IF(D1007&lt;&gt;"","Comp","Blank")</f>
        <v>Blank</v>
      </c>
      <c r="C1007" s="45" t="s">
        <v>87</v>
      </c>
      <c r="D1007" s="46" t="str">
        <f>IF('KE PRB Summary Data'!A145&lt;&gt;"",('KE PRB Summary Data'!A145),"")</f>
        <v/>
      </c>
    </row>
    <row r="1008" spans="1:4" hidden="1" x14ac:dyDescent="0.25">
      <c r="C1008" s="49" t="s">
        <v>47</v>
      </c>
      <c r="D1008" s="50" t="str">
        <f>IFERROR(VLOOKUP(D1007,'KE PRB Summary Data'!A:U,6,FALSE),"")</f>
        <v/>
      </c>
    </row>
    <row r="1009" spans="1:4" ht="30" hidden="1" x14ac:dyDescent="0.25">
      <c r="C1009" s="49" t="s">
        <v>88</v>
      </c>
      <c r="D1009" s="48" t="str">
        <f>IFERROR(VLOOKUP(D1007,'KE PRB Summary Data'!A:U,15,FALSE),"")&amp;CHAR(10)</f>
        <v xml:space="preserve">
</v>
      </c>
    </row>
    <row r="1010" spans="1:4" ht="30" hidden="1" x14ac:dyDescent="0.25">
      <c r="C1010" s="49" t="s">
        <v>89</v>
      </c>
      <c r="D1010" s="48" t="str">
        <f>IFERROR(VLOOKUP(D1007,'KE PRB Summary Data'!A:U,11,FALSE),"")&amp;CHAR(10)</f>
        <v xml:space="preserve">
</v>
      </c>
    </row>
    <row r="1011" spans="1:4" ht="30" hidden="1" x14ac:dyDescent="0.25">
      <c r="C1011" s="49" t="s">
        <v>90</v>
      </c>
      <c r="D1011" s="48" t="str">
        <f>IFERROR(VLOOKUP(D1007,'KE PRB Summary Data'!A:U,12,FALSE),"")&amp;CHAR(10)</f>
        <v xml:space="preserve">
</v>
      </c>
    </row>
    <row r="1012" spans="1:4" ht="30.75" hidden="1" thickBot="1" x14ac:dyDescent="0.3">
      <c r="C1012" s="51" t="s">
        <v>49</v>
      </c>
      <c r="D1012" s="52" t="str">
        <f>IFERROR(VLOOKUP(D1007,'KE PRB Summary Data'!A:U,16,FALSE),"")&amp;CHAR(10)</f>
        <v xml:space="preserve">
</v>
      </c>
    </row>
    <row r="1013" spans="1:4" ht="15.75" hidden="1" thickBot="1" x14ac:dyDescent="0.3">
      <c r="C1013" s="65"/>
      <c r="D1013" s="66"/>
    </row>
    <row r="1014" spans="1:4" hidden="1" x14ac:dyDescent="0.25">
      <c r="A1014" s="160" t="str">
        <f>IF(D1014&lt;&gt;"","Comp","Blank")</f>
        <v>Blank</v>
      </c>
      <c r="C1014" s="45" t="s">
        <v>87</v>
      </c>
      <c r="D1014" s="46" t="str">
        <f>IF('KE PRB Summary Data'!A146&lt;&gt;"",('KE PRB Summary Data'!A146),"")</f>
        <v/>
      </c>
    </row>
    <row r="1015" spans="1:4" hidden="1" x14ac:dyDescent="0.25">
      <c r="C1015" s="49" t="s">
        <v>47</v>
      </c>
      <c r="D1015" s="50" t="str">
        <f>IFERROR(VLOOKUP(D1014,'KE PRB Summary Data'!A:U,6,FALSE),"")</f>
        <v/>
      </c>
    </row>
    <row r="1016" spans="1:4" ht="30" hidden="1" x14ac:dyDescent="0.25">
      <c r="C1016" s="49" t="s">
        <v>88</v>
      </c>
      <c r="D1016" s="48" t="str">
        <f>IFERROR(VLOOKUP(D1014,'KE PRB Summary Data'!A:U,15,FALSE),"")&amp;CHAR(10)</f>
        <v xml:space="preserve">
</v>
      </c>
    </row>
    <row r="1017" spans="1:4" ht="30" hidden="1" x14ac:dyDescent="0.25">
      <c r="C1017" s="49" t="s">
        <v>89</v>
      </c>
      <c r="D1017" s="48" t="str">
        <f>IFERROR(VLOOKUP(D1014,'KE PRB Summary Data'!A:U,11,FALSE),"")&amp;CHAR(10)</f>
        <v xml:space="preserve">
</v>
      </c>
    </row>
    <row r="1018" spans="1:4" ht="30" hidden="1" x14ac:dyDescent="0.25">
      <c r="C1018" s="49" t="s">
        <v>90</v>
      </c>
      <c r="D1018" s="48" t="str">
        <f>IFERROR(VLOOKUP(D1014,'KE PRB Summary Data'!A:U,12,FALSE),"")&amp;CHAR(10)</f>
        <v xml:space="preserve">
</v>
      </c>
    </row>
    <row r="1019" spans="1:4" ht="30.75" hidden="1" thickBot="1" x14ac:dyDescent="0.3">
      <c r="C1019" s="51" t="s">
        <v>49</v>
      </c>
      <c r="D1019" s="52" t="str">
        <f>IFERROR(VLOOKUP(D1014,'KE PRB Summary Data'!A:U,16,FALSE),"")&amp;CHAR(10)</f>
        <v xml:space="preserve">
</v>
      </c>
    </row>
    <row r="1020" spans="1:4" ht="15.75" hidden="1" thickBot="1" x14ac:dyDescent="0.3">
      <c r="C1020" s="65"/>
      <c r="D1020" s="66"/>
    </row>
    <row r="1021" spans="1:4" hidden="1" x14ac:dyDescent="0.25">
      <c r="A1021" s="160" t="str">
        <f>IF(D1021&lt;&gt;"","Comp","Blank")</f>
        <v>Blank</v>
      </c>
      <c r="C1021" s="45" t="s">
        <v>87</v>
      </c>
      <c r="D1021" s="46" t="str">
        <f>IF('KE PRB Summary Data'!A147&lt;&gt;"",('KE PRB Summary Data'!A147),"")</f>
        <v/>
      </c>
    </row>
    <row r="1022" spans="1:4" hidden="1" x14ac:dyDescent="0.25">
      <c r="C1022" s="49" t="s">
        <v>47</v>
      </c>
      <c r="D1022" s="50" t="str">
        <f>IFERROR(VLOOKUP(D1021,'KE PRB Summary Data'!A:U,6,FALSE),"")</f>
        <v/>
      </c>
    </row>
    <row r="1023" spans="1:4" ht="30" hidden="1" x14ac:dyDescent="0.25">
      <c r="C1023" s="49" t="s">
        <v>88</v>
      </c>
      <c r="D1023" s="48" t="str">
        <f>IFERROR(VLOOKUP(D1021,'KE PRB Summary Data'!A:U,15,FALSE),"")&amp;CHAR(10)</f>
        <v xml:space="preserve">
</v>
      </c>
    </row>
    <row r="1024" spans="1:4" ht="30" hidden="1" x14ac:dyDescent="0.25">
      <c r="C1024" s="49" t="s">
        <v>89</v>
      </c>
      <c r="D1024" s="48" t="str">
        <f>IFERROR(VLOOKUP(D1021,'KE PRB Summary Data'!A:U,11,FALSE),"")&amp;CHAR(10)</f>
        <v xml:space="preserve">
</v>
      </c>
    </row>
    <row r="1025" spans="1:4" ht="30" hidden="1" x14ac:dyDescent="0.25">
      <c r="C1025" s="49" t="s">
        <v>90</v>
      </c>
      <c r="D1025" s="48" t="str">
        <f>IFERROR(VLOOKUP(D1021,'KE PRB Summary Data'!A:U,12,FALSE),"")&amp;CHAR(10)</f>
        <v xml:space="preserve">
</v>
      </c>
    </row>
    <row r="1026" spans="1:4" ht="30.75" hidden="1" thickBot="1" x14ac:dyDescent="0.3">
      <c r="C1026" s="51" t="s">
        <v>49</v>
      </c>
      <c r="D1026" s="52" t="str">
        <f>IFERROR(VLOOKUP(D1021,'KE PRB Summary Data'!A:U,16,FALSE),"")&amp;CHAR(10)</f>
        <v xml:space="preserve">
</v>
      </c>
    </row>
    <row r="1027" spans="1:4" ht="15.75" hidden="1" thickBot="1" x14ac:dyDescent="0.3">
      <c r="C1027" s="65"/>
      <c r="D1027" s="66"/>
    </row>
    <row r="1028" spans="1:4" hidden="1" x14ac:dyDescent="0.25">
      <c r="A1028" s="160" t="str">
        <f>IF(D1028&lt;&gt;"","Comp","Blank")</f>
        <v>Blank</v>
      </c>
      <c r="C1028" s="45" t="s">
        <v>87</v>
      </c>
      <c r="D1028" s="46" t="str">
        <f>IF('KE PRB Summary Data'!A148&lt;&gt;"",('KE PRB Summary Data'!A148),"")</f>
        <v/>
      </c>
    </row>
    <row r="1029" spans="1:4" hidden="1" x14ac:dyDescent="0.25">
      <c r="C1029" s="49" t="s">
        <v>47</v>
      </c>
      <c r="D1029" s="50" t="str">
        <f>IFERROR(VLOOKUP(D1028,'KE PRB Summary Data'!A:U,6,FALSE),"")</f>
        <v/>
      </c>
    </row>
    <row r="1030" spans="1:4" ht="30" hidden="1" x14ac:dyDescent="0.25">
      <c r="C1030" s="49" t="s">
        <v>88</v>
      </c>
      <c r="D1030" s="48" t="str">
        <f>IFERROR(VLOOKUP(D1028,'KE PRB Summary Data'!A:U,15,FALSE),"")&amp;CHAR(10)</f>
        <v xml:space="preserve">
</v>
      </c>
    </row>
    <row r="1031" spans="1:4" ht="30" hidden="1" x14ac:dyDescent="0.25">
      <c r="C1031" s="49" t="s">
        <v>89</v>
      </c>
      <c r="D1031" s="48" t="str">
        <f>IFERROR(VLOOKUP(D1028,'KE PRB Summary Data'!A:U,11,FALSE),"")&amp;CHAR(10)</f>
        <v xml:space="preserve">
</v>
      </c>
    </row>
    <row r="1032" spans="1:4" ht="30" hidden="1" x14ac:dyDescent="0.25">
      <c r="C1032" s="49" t="s">
        <v>90</v>
      </c>
      <c r="D1032" s="48" t="str">
        <f>IFERROR(VLOOKUP(D1028,'KE PRB Summary Data'!A:U,12,FALSE),"")&amp;CHAR(10)</f>
        <v xml:space="preserve">
</v>
      </c>
    </row>
    <row r="1033" spans="1:4" ht="30.75" hidden="1" thickBot="1" x14ac:dyDescent="0.3">
      <c r="C1033" s="51" t="s">
        <v>49</v>
      </c>
      <c r="D1033" s="52" t="str">
        <f>IFERROR(VLOOKUP(D1028,'KE PRB Summary Data'!A:U,16,FALSE),"")&amp;CHAR(10)</f>
        <v xml:space="preserve">
</v>
      </c>
    </row>
    <row r="1034" spans="1:4" ht="15.75" hidden="1" thickBot="1" x14ac:dyDescent="0.3">
      <c r="C1034" s="65"/>
      <c r="D1034" s="66"/>
    </row>
    <row r="1035" spans="1:4" hidden="1" x14ac:dyDescent="0.25">
      <c r="A1035" s="160" t="str">
        <f>IF(D1035&lt;&gt;"","Comp","Blank")</f>
        <v>Blank</v>
      </c>
      <c r="C1035" s="45" t="s">
        <v>87</v>
      </c>
      <c r="D1035" s="46" t="str">
        <f>IF('KE PRB Summary Data'!A149&lt;&gt;"",('KE PRB Summary Data'!A149),"")</f>
        <v/>
      </c>
    </row>
    <row r="1036" spans="1:4" hidden="1" x14ac:dyDescent="0.25">
      <c r="C1036" s="49" t="s">
        <v>47</v>
      </c>
      <c r="D1036" s="50" t="str">
        <f>IFERROR(VLOOKUP(D1035,'KE PRB Summary Data'!A:U,6,FALSE),"")</f>
        <v/>
      </c>
    </row>
    <row r="1037" spans="1:4" ht="30" hidden="1" x14ac:dyDescent="0.25">
      <c r="C1037" s="49" t="s">
        <v>88</v>
      </c>
      <c r="D1037" s="48" t="str">
        <f>IFERROR(VLOOKUP(D1035,'KE PRB Summary Data'!A:U,15,FALSE),"")&amp;CHAR(10)</f>
        <v xml:space="preserve">
</v>
      </c>
    </row>
    <row r="1038" spans="1:4" ht="30" hidden="1" x14ac:dyDescent="0.25">
      <c r="C1038" s="49" t="s">
        <v>89</v>
      </c>
      <c r="D1038" s="48" t="str">
        <f>IFERROR(VLOOKUP(D1035,'KE PRB Summary Data'!A:U,11,FALSE),"")&amp;CHAR(10)</f>
        <v xml:space="preserve">
</v>
      </c>
    </row>
    <row r="1039" spans="1:4" ht="30" hidden="1" x14ac:dyDescent="0.25">
      <c r="C1039" s="49" t="s">
        <v>90</v>
      </c>
      <c r="D1039" s="48" t="str">
        <f>IFERROR(VLOOKUP(D1035,'KE PRB Summary Data'!A:U,12,FALSE),"")&amp;CHAR(10)</f>
        <v xml:space="preserve">
</v>
      </c>
    </row>
    <row r="1040" spans="1:4" ht="30.75" hidden="1" thickBot="1" x14ac:dyDescent="0.3">
      <c r="C1040" s="51" t="s">
        <v>49</v>
      </c>
      <c r="D1040" s="52" t="str">
        <f>IFERROR(VLOOKUP(D1035,'KE PRB Summary Data'!A:U,16,FALSE),"")&amp;CHAR(10)</f>
        <v xml:space="preserve">
</v>
      </c>
    </row>
    <row r="1041" spans="1:4" ht="15.75" hidden="1" thickBot="1" x14ac:dyDescent="0.3">
      <c r="C1041" s="65"/>
      <c r="D1041" s="66"/>
    </row>
    <row r="1042" spans="1:4" hidden="1" x14ac:dyDescent="0.25">
      <c r="A1042" s="160" t="str">
        <f>IF(D1042&lt;&gt;"","Comp","Blank")</f>
        <v>Blank</v>
      </c>
      <c r="C1042" s="45" t="s">
        <v>87</v>
      </c>
      <c r="D1042" s="46" t="str">
        <f>IF('KE PRB Summary Data'!A150&lt;&gt;"",('KE PRB Summary Data'!A150),"")</f>
        <v/>
      </c>
    </row>
    <row r="1043" spans="1:4" hidden="1" x14ac:dyDescent="0.25">
      <c r="C1043" s="49" t="s">
        <v>47</v>
      </c>
      <c r="D1043" s="50" t="str">
        <f>IFERROR(VLOOKUP(D1042,'KE PRB Summary Data'!A:U,6,FALSE),"")</f>
        <v/>
      </c>
    </row>
    <row r="1044" spans="1:4" ht="30" hidden="1" x14ac:dyDescent="0.25">
      <c r="C1044" s="49" t="s">
        <v>88</v>
      </c>
      <c r="D1044" s="48" t="str">
        <f>IFERROR(VLOOKUP(D1042,'KE PRB Summary Data'!A:U,15,FALSE),"")&amp;CHAR(10)</f>
        <v xml:space="preserve">
</v>
      </c>
    </row>
    <row r="1045" spans="1:4" ht="30" hidden="1" x14ac:dyDescent="0.25">
      <c r="C1045" s="49" t="s">
        <v>89</v>
      </c>
      <c r="D1045" s="48" t="str">
        <f>IFERROR(VLOOKUP(D1042,'KE PRB Summary Data'!A:U,11,FALSE),"")&amp;CHAR(10)</f>
        <v xml:space="preserve">
</v>
      </c>
    </row>
    <row r="1046" spans="1:4" ht="30" hidden="1" x14ac:dyDescent="0.25">
      <c r="C1046" s="49" t="s">
        <v>90</v>
      </c>
      <c r="D1046" s="48" t="str">
        <f>IFERROR(VLOOKUP(D1042,'KE PRB Summary Data'!A:U,12,FALSE),"")&amp;CHAR(10)</f>
        <v xml:space="preserve">
</v>
      </c>
    </row>
    <row r="1047" spans="1:4" ht="30.75" hidden="1" thickBot="1" x14ac:dyDescent="0.3">
      <c r="C1047" s="51" t="s">
        <v>49</v>
      </c>
      <c r="D1047" s="52" t="str">
        <f>IFERROR(VLOOKUP(D1042,'KE PRB Summary Data'!A:U,16,FALSE),"")&amp;CHAR(10)</f>
        <v xml:space="preserve">
</v>
      </c>
    </row>
    <row r="1048" spans="1:4" ht="15.75" hidden="1" thickBot="1" x14ac:dyDescent="0.3">
      <c r="C1048" s="65"/>
      <c r="D1048" s="66"/>
    </row>
    <row r="1049" spans="1:4" hidden="1" x14ac:dyDescent="0.25">
      <c r="A1049" s="160" t="str">
        <f>IF(D1049&lt;&gt;"","Comp","Blank")</f>
        <v>Blank</v>
      </c>
      <c r="C1049" s="45" t="s">
        <v>87</v>
      </c>
      <c r="D1049" s="46" t="str">
        <f>IF('KE PRB Summary Data'!A151&lt;&gt;"",('KE PRB Summary Data'!A151),"")</f>
        <v/>
      </c>
    </row>
    <row r="1050" spans="1:4" hidden="1" x14ac:dyDescent="0.25">
      <c r="C1050" s="49" t="s">
        <v>47</v>
      </c>
      <c r="D1050" s="50" t="str">
        <f>IFERROR(VLOOKUP(D1049,'KE PRB Summary Data'!A:U,6,FALSE),"")</f>
        <v/>
      </c>
    </row>
    <row r="1051" spans="1:4" ht="30" hidden="1" x14ac:dyDescent="0.25">
      <c r="C1051" s="49" t="s">
        <v>88</v>
      </c>
      <c r="D1051" s="48" t="str">
        <f>IFERROR(VLOOKUP(D1049,'KE PRB Summary Data'!A:U,15,FALSE),"")&amp;CHAR(10)</f>
        <v xml:space="preserve">
</v>
      </c>
    </row>
    <row r="1052" spans="1:4" ht="30" hidden="1" x14ac:dyDescent="0.25">
      <c r="C1052" s="49" t="s">
        <v>89</v>
      </c>
      <c r="D1052" s="48" t="str">
        <f>IFERROR(VLOOKUP(D1049,'KE PRB Summary Data'!A:U,11,FALSE),"")&amp;CHAR(10)</f>
        <v xml:space="preserve">
</v>
      </c>
    </row>
    <row r="1053" spans="1:4" ht="30" hidden="1" x14ac:dyDescent="0.25">
      <c r="C1053" s="49" t="s">
        <v>90</v>
      </c>
      <c r="D1053" s="48" t="str">
        <f>IFERROR(VLOOKUP(D1049,'KE PRB Summary Data'!A:U,12,FALSE),"")&amp;CHAR(10)</f>
        <v xml:space="preserve">
</v>
      </c>
    </row>
    <row r="1054" spans="1:4" ht="30.75" hidden="1" thickBot="1" x14ac:dyDescent="0.3">
      <c r="C1054" s="51" t="s">
        <v>49</v>
      </c>
      <c r="D1054" s="52" t="str">
        <f>IFERROR(VLOOKUP(D1049,'KE PRB Summary Data'!A:U,16,FALSE),"")&amp;CHAR(10)</f>
        <v xml:space="preserve">
</v>
      </c>
    </row>
    <row r="1055" spans="1:4" x14ac:dyDescent="0.25">
      <c r="C1055" s="42"/>
      <c r="D1055" s="43"/>
    </row>
    <row r="1056" spans="1:4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spans="4:4" hidden="1" x14ac:dyDescent="0.25"/>
    <row r="1106" spans="4:4" x14ac:dyDescent="0.25">
      <c r="D1106" s="174" t="s">
        <v>115</v>
      </c>
    </row>
    <row r="1107" spans="4:4" x14ac:dyDescent="0.25">
      <c r="D1107" s="168"/>
    </row>
  </sheetData>
  <sheetProtection selectLockedCells="1"/>
  <mergeCells count="1">
    <mergeCell ref="C2:D3"/>
  </mergeCells>
  <pageMargins left="0.25" right="0.25" top="0.75" bottom="0.75" header="0.3" footer="0.3"/>
  <pageSetup paperSize="9" scale="91" fitToHeight="0" orientation="landscape" r:id="rId1"/>
  <headerFooter>
    <oddFooter>&amp;LPRB Known Error Summary&amp;C_x000D_&amp;1#&amp;"Arial"&amp;9&amp;K000000 Confidential&amp;RCONFIDENTIAL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9" tint="-0.499984740745262"/>
    <pageSetUpPr autoPageBreaks="0"/>
  </sheetPr>
  <dimension ref="A1:AG501"/>
  <sheetViews>
    <sheetView tabSelected="1" zoomScaleNormal="100" workbookViewId="0">
      <pane xSplit="2" ySplit="1" topLeftCell="Y2" activePane="bottomRight" state="frozen"/>
      <selection activeCell="H23" sqref="H23"/>
      <selection pane="topRight" activeCell="H23" sqref="H23"/>
      <selection pane="bottomLeft" activeCell="H23" sqref="H23"/>
      <selection pane="bottomRight" activeCell="Z8" sqref="Z8"/>
    </sheetView>
  </sheetViews>
  <sheetFormatPr defaultColWidth="9.140625" defaultRowHeight="15" x14ac:dyDescent="0.2"/>
  <cols>
    <col min="1" max="1" width="16.42578125" style="72" bestFit="1" customWidth="1"/>
    <col min="2" max="2" width="60.7109375" style="72" customWidth="1"/>
    <col min="3" max="3" width="42.7109375" style="72" customWidth="1"/>
    <col min="4" max="4" width="7.28515625" style="72" customWidth="1"/>
    <col min="5" max="5" width="18.7109375" style="72" bestFit="1" customWidth="1"/>
    <col min="6" max="6" width="19.7109375" style="72" bestFit="1" customWidth="1"/>
    <col min="7" max="7" width="24.140625" style="72" bestFit="1" customWidth="1"/>
    <col min="8" max="8" width="11.85546875" style="72" customWidth="1"/>
    <col min="9" max="9" width="15.85546875" style="72" bestFit="1" customWidth="1"/>
    <col min="10" max="10" width="17.85546875" style="72" bestFit="1" customWidth="1"/>
    <col min="11" max="11" width="19.85546875" style="72" bestFit="1" customWidth="1"/>
    <col min="12" max="12" width="18.85546875" style="72" bestFit="1" customWidth="1"/>
    <col min="13" max="13" width="24" style="72" bestFit="1" customWidth="1"/>
    <col min="14" max="14" width="24.28515625" style="72" bestFit="1" customWidth="1"/>
    <col min="15" max="15" width="21.42578125" style="72" bestFit="1" customWidth="1"/>
    <col min="16" max="16" width="19.7109375" style="72" bestFit="1" customWidth="1"/>
    <col min="17" max="17" width="15.85546875" style="72" bestFit="1" customWidth="1"/>
    <col min="18" max="18" width="25" style="72" bestFit="1" customWidth="1"/>
    <col min="19" max="19" width="50.7109375" style="72" customWidth="1"/>
    <col min="20" max="20" width="25.140625" style="72" bestFit="1" customWidth="1"/>
    <col min="21" max="22" width="50.7109375" style="72" customWidth="1"/>
    <col min="23" max="23" width="31.7109375" style="72" customWidth="1"/>
    <col min="24" max="24" width="60.7109375" style="167" customWidth="1"/>
    <col min="25" max="25" width="60.7109375" style="170" customWidth="1"/>
    <col min="26" max="26" width="60.7109375" style="72" customWidth="1"/>
    <col min="27" max="27" width="30.7109375" style="72" customWidth="1"/>
    <col min="28" max="28" width="21.140625" style="72" bestFit="1" customWidth="1"/>
    <col min="29" max="29" width="24.7109375" style="72" bestFit="1" customWidth="1"/>
    <col min="30" max="30" width="45.7109375" style="74" customWidth="1"/>
    <col min="31" max="31" width="18" style="74" bestFit="1" customWidth="1"/>
    <col min="32" max="32" width="9.7109375" style="74" bestFit="1" customWidth="1"/>
    <col min="33" max="33" width="10.85546875" style="74" bestFit="1" customWidth="1"/>
    <col min="34" max="16384" width="9.140625" style="75"/>
  </cols>
  <sheetData>
    <row r="1" spans="1:33" s="71" customFormat="1" ht="30" x14ac:dyDescent="0.2">
      <c r="A1" s="153" t="s">
        <v>0</v>
      </c>
      <c r="B1" s="153" t="s">
        <v>1</v>
      </c>
      <c r="C1" s="153" t="s">
        <v>39</v>
      </c>
      <c r="D1" s="153" t="s">
        <v>2</v>
      </c>
      <c r="E1" s="153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3" t="s">
        <v>8</v>
      </c>
      <c r="K1" s="153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24</v>
      </c>
      <c r="X1" s="172" t="s">
        <v>79</v>
      </c>
      <c r="Y1" s="171" t="s">
        <v>80</v>
      </c>
      <c r="Z1" s="153" t="s">
        <v>25</v>
      </c>
      <c r="AA1" s="153" t="s">
        <v>26</v>
      </c>
      <c r="AB1" s="153" t="s">
        <v>107</v>
      </c>
      <c r="AC1" s="153" t="s">
        <v>75</v>
      </c>
      <c r="AD1" s="154" t="s">
        <v>21</v>
      </c>
      <c r="AE1" s="154" t="s">
        <v>29</v>
      </c>
      <c r="AF1" s="154" t="s">
        <v>22</v>
      </c>
      <c r="AG1" s="154" t="s">
        <v>23</v>
      </c>
    </row>
    <row r="2" spans="1:33" ht="24.95" customHeight="1" x14ac:dyDescent="0.2">
      <c r="A2"/>
      <c r="B2"/>
      <c r="C2" s="164"/>
      <c r="D2"/>
      <c r="E2"/>
      <c r="F2"/>
      <c r="G2"/>
      <c r="H2"/>
      <c r="I2" s="37"/>
      <c r="J2" s="37"/>
      <c r="K2"/>
      <c r="L2"/>
      <c r="M2"/>
      <c r="N2"/>
      <c r="O2"/>
      <c r="P2"/>
      <c r="Q2" s="158"/>
      <c r="R2"/>
      <c r="S2" s="164"/>
      <c r="T2"/>
      <c r="U2" s="164"/>
      <c r="V2"/>
      <c r="X2" s="166"/>
      <c r="Y2" s="169"/>
      <c r="Z2" s="75"/>
      <c r="AB2" s="73"/>
      <c r="AD2" s="74" t="str">
        <f>IF(A:A&lt;&gt;"",(M2&amp;"-"&amp;N2),"")</f>
        <v/>
      </c>
      <c r="AE2" s="74" t="str">
        <f>IF(F:F&lt;&gt;"",IF(F2="Other","Proactive",IF(F2="Proactive","Proactive","Reactive")),"")</f>
        <v/>
      </c>
      <c r="AF2" s="74" t="str">
        <f ca="1">IF(I:I&lt;&gt;"",(IF(E2&lt;&gt;"Closed",DATEDIF(I2,TODAY(),"d"),"")),"")</f>
        <v/>
      </c>
      <c r="AG2" s="74" t="str">
        <f>IF(R:R&lt;&gt;"",DATEDIF(I2,R2,"d"),"")</f>
        <v/>
      </c>
    </row>
    <row r="3" spans="1:33" ht="24.95" customHeight="1" x14ac:dyDescent="0.2">
      <c r="A3"/>
      <c r="B3"/>
      <c r="C3" s="164"/>
      <c r="D3"/>
      <c r="E3"/>
      <c r="F3"/>
      <c r="G3"/>
      <c r="H3"/>
      <c r="I3" s="37"/>
      <c r="J3" s="37"/>
      <c r="K3"/>
      <c r="L3"/>
      <c r="M3"/>
      <c r="N3"/>
      <c r="O3"/>
      <c r="P3"/>
      <c r="Q3" s="158"/>
      <c r="R3"/>
      <c r="S3"/>
      <c r="T3"/>
      <c r="U3"/>
      <c r="V3"/>
      <c r="X3" s="166"/>
      <c r="Y3" s="169"/>
      <c r="Z3" s="75"/>
      <c r="AB3" s="73"/>
    </row>
    <row r="4" spans="1:33" ht="24.95" customHeight="1" x14ac:dyDescent="0.2">
      <c r="A4"/>
      <c r="B4"/>
      <c r="C4" s="164"/>
      <c r="D4"/>
      <c r="E4"/>
      <c r="F4"/>
      <c r="G4"/>
      <c r="H4"/>
      <c r="I4" s="37"/>
      <c r="J4" s="37"/>
      <c r="K4"/>
      <c r="L4"/>
      <c r="M4"/>
      <c r="N4"/>
      <c r="O4"/>
      <c r="P4"/>
      <c r="Q4" s="158"/>
      <c r="R4"/>
      <c r="S4"/>
      <c r="T4"/>
      <c r="U4"/>
      <c r="V4"/>
      <c r="X4" s="166"/>
      <c r="Y4" s="169"/>
      <c r="Z4" s="75"/>
      <c r="AB4" s="73"/>
      <c r="AD4" s="74" t="str">
        <f t="shared" ref="AD4:AD13" si="0">IF(A:A&lt;&gt;"",(M4&amp;"-"&amp;N4),"")</f>
        <v/>
      </c>
      <c r="AE4" s="74" t="str">
        <f t="shared" ref="AE4:AE13" si="1">IF(F:F&lt;&gt;"",IF(F4="Other","Proactive",IF(F4="Proactive","Proactive","Reactive")),"")</f>
        <v/>
      </c>
      <c r="AF4" s="74" t="str">
        <f t="shared" ref="AF4:AF13" ca="1" si="2">IF(I:I&lt;&gt;"",(IF(E4&lt;&gt;"Closed",DATEDIF(I4,TODAY(),"d"),"")),"")</f>
        <v/>
      </c>
      <c r="AG4" s="74" t="str">
        <f t="shared" ref="AG4:AG13" si="3">IF(R:R&lt;&gt;"",DATEDIF(I4,R4,"d"),"")</f>
        <v/>
      </c>
    </row>
    <row r="5" spans="1:33" ht="24.95" customHeight="1" x14ac:dyDescent="0.2">
      <c r="A5"/>
      <c r="B5"/>
      <c r="C5" s="164"/>
      <c r="D5"/>
      <c r="E5"/>
      <c r="F5"/>
      <c r="G5"/>
      <c r="H5"/>
      <c r="I5" s="37"/>
      <c r="J5" s="37"/>
      <c r="K5"/>
      <c r="L5"/>
      <c r="M5"/>
      <c r="N5"/>
      <c r="O5"/>
      <c r="P5"/>
      <c r="Q5" s="158"/>
      <c r="R5"/>
      <c r="S5"/>
      <c r="T5"/>
      <c r="U5"/>
      <c r="V5" s="164"/>
      <c r="X5" s="166"/>
      <c r="AB5" s="73"/>
      <c r="AD5" s="74" t="str">
        <f t="shared" si="0"/>
        <v/>
      </c>
      <c r="AE5" s="74" t="str">
        <f t="shared" si="1"/>
        <v/>
      </c>
      <c r="AF5" s="74" t="str">
        <f t="shared" ca="1" si="2"/>
        <v/>
      </c>
      <c r="AG5" s="74" t="str">
        <f t="shared" si="3"/>
        <v/>
      </c>
    </row>
    <row r="6" spans="1:33" ht="24.95" customHeight="1" x14ac:dyDescent="0.2">
      <c r="A6"/>
      <c r="B6"/>
      <c r="C6" s="164"/>
      <c r="D6"/>
      <c r="E6" s="27"/>
      <c r="F6"/>
      <c r="G6"/>
      <c r="H6"/>
      <c r="I6" s="37"/>
      <c r="J6" s="37"/>
      <c r="K6"/>
      <c r="L6"/>
      <c r="M6"/>
      <c r="N6"/>
      <c r="O6"/>
      <c r="P6"/>
      <c r="Q6" s="158"/>
      <c r="R6"/>
      <c r="S6" s="164"/>
      <c r="T6"/>
      <c r="U6"/>
      <c r="V6"/>
      <c r="X6" s="166"/>
      <c r="AB6" s="73"/>
      <c r="AD6" s="74" t="str">
        <f t="shared" si="0"/>
        <v/>
      </c>
      <c r="AE6" s="74" t="str">
        <f t="shared" si="1"/>
        <v/>
      </c>
      <c r="AF6" s="74" t="str">
        <f t="shared" ca="1" si="2"/>
        <v/>
      </c>
      <c r="AG6" s="74" t="str">
        <f t="shared" si="3"/>
        <v/>
      </c>
    </row>
    <row r="7" spans="1:33" ht="24.95" customHeight="1" x14ac:dyDescent="0.2">
      <c r="A7"/>
      <c r="B7"/>
      <c r="C7" s="164"/>
      <c r="D7"/>
      <c r="E7"/>
      <c r="F7"/>
      <c r="G7"/>
      <c r="H7"/>
      <c r="I7" s="37"/>
      <c r="J7" s="37"/>
      <c r="K7"/>
      <c r="L7"/>
      <c r="M7"/>
      <c r="N7"/>
      <c r="O7"/>
      <c r="P7"/>
      <c r="Q7"/>
      <c r="R7"/>
      <c r="S7"/>
      <c r="T7"/>
      <c r="U7"/>
      <c r="V7"/>
      <c r="X7" s="166"/>
      <c r="Y7" s="169"/>
      <c r="Z7" s="75"/>
      <c r="AB7" s="73"/>
      <c r="AD7" s="74" t="str">
        <f t="shared" si="0"/>
        <v/>
      </c>
      <c r="AE7" s="74" t="str">
        <f t="shared" si="1"/>
        <v/>
      </c>
      <c r="AF7" s="74" t="str">
        <f t="shared" ca="1" si="2"/>
        <v/>
      </c>
      <c r="AG7" s="74" t="str">
        <f t="shared" si="3"/>
        <v/>
      </c>
    </row>
    <row r="8" spans="1:33" ht="24.95" customHeight="1" x14ac:dyDescent="0.2">
      <c r="A8"/>
      <c r="B8"/>
      <c r="C8" s="164"/>
      <c r="D8"/>
      <c r="E8"/>
      <c r="F8"/>
      <c r="G8"/>
      <c r="H8"/>
      <c r="I8" s="37"/>
      <c r="J8" s="37"/>
      <c r="K8"/>
      <c r="L8"/>
      <c r="M8"/>
      <c r="N8"/>
      <c r="O8"/>
      <c r="P8"/>
      <c r="Q8"/>
      <c r="R8"/>
      <c r="S8"/>
      <c r="T8"/>
      <c r="U8"/>
      <c r="V8"/>
      <c r="X8" s="166"/>
      <c r="Y8" s="169"/>
      <c r="Z8" s="75"/>
      <c r="AB8" s="73"/>
      <c r="AD8" s="74" t="str">
        <f t="shared" si="0"/>
        <v/>
      </c>
      <c r="AE8" s="74" t="str">
        <f t="shared" si="1"/>
        <v/>
      </c>
      <c r="AF8" s="74" t="str">
        <f t="shared" ca="1" si="2"/>
        <v/>
      </c>
      <c r="AG8" s="74" t="str">
        <f t="shared" si="3"/>
        <v/>
      </c>
    </row>
    <row r="9" spans="1:33" ht="24.95" customHeight="1" x14ac:dyDescent="0.2">
      <c r="A9"/>
      <c r="B9"/>
      <c r="C9" s="164"/>
      <c r="D9"/>
      <c r="E9"/>
      <c r="F9"/>
      <c r="G9"/>
      <c r="H9"/>
      <c r="I9" s="37"/>
      <c r="J9" s="37"/>
      <c r="K9"/>
      <c r="L9"/>
      <c r="M9"/>
      <c r="N9"/>
      <c r="O9"/>
      <c r="P9"/>
      <c r="Q9" s="158"/>
      <c r="R9"/>
      <c r="S9" s="164"/>
      <c r="T9"/>
      <c r="U9"/>
      <c r="V9"/>
      <c r="X9" s="166"/>
      <c r="AB9" s="73"/>
      <c r="AD9" s="74" t="str">
        <f t="shared" si="0"/>
        <v/>
      </c>
      <c r="AE9" s="74" t="str">
        <f t="shared" si="1"/>
        <v/>
      </c>
      <c r="AF9" s="74" t="str">
        <f t="shared" ca="1" si="2"/>
        <v/>
      </c>
      <c r="AG9" s="74" t="str">
        <f t="shared" si="3"/>
        <v/>
      </c>
    </row>
    <row r="10" spans="1:33" ht="24.95" customHeight="1" x14ac:dyDescent="0.2">
      <c r="A10"/>
      <c r="B10"/>
      <c r="C10" s="164"/>
      <c r="D10"/>
      <c r="E10"/>
      <c r="F10"/>
      <c r="G10"/>
      <c r="H10"/>
      <c r="I10" s="37"/>
      <c r="J10" s="37"/>
      <c r="K10"/>
      <c r="L10"/>
      <c r="M10"/>
      <c r="N10"/>
      <c r="O10"/>
      <c r="P10"/>
      <c r="Q10"/>
      <c r="R10"/>
      <c r="S10"/>
      <c r="T10"/>
      <c r="U10"/>
      <c r="V10"/>
      <c r="X10" s="166"/>
      <c r="AB10" s="73"/>
      <c r="AD10" s="74" t="str">
        <f t="shared" si="0"/>
        <v/>
      </c>
      <c r="AE10" s="74" t="str">
        <f t="shared" si="1"/>
        <v/>
      </c>
      <c r="AF10" s="74" t="str">
        <f t="shared" ca="1" si="2"/>
        <v/>
      </c>
      <c r="AG10" s="74" t="str">
        <f t="shared" si="3"/>
        <v/>
      </c>
    </row>
    <row r="11" spans="1:33" ht="24.95" customHeight="1" x14ac:dyDescent="0.2">
      <c r="A11"/>
      <c r="B11"/>
      <c r="C11" s="164"/>
      <c r="D11"/>
      <c r="E11"/>
      <c r="F11"/>
      <c r="G11"/>
      <c r="H11"/>
      <c r="I11" s="37"/>
      <c r="J11" s="37"/>
      <c r="K11"/>
      <c r="L11"/>
      <c r="M11"/>
      <c r="N11"/>
      <c r="O11"/>
      <c r="P11"/>
      <c r="Q11" s="158"/>
      <c r="R11"/>
      <c r="S11"/>
      <c r="T11"/>
      <c r="U11"/>
      <c r="V11"/>
      <c r="X11" s="166"/>
      <c r="Y11" s="169"/>
      <c r="Z11" s="75"/>
      <c r="AB11" s="73"/>
      <c r="AD11" s="74" t="str">
        <f t="shared" si="0"/>
        <v/>
      </c>
      <c r="AE11" s="74" t="str">
        <f t="shared" si="1"/>
        <v/>
      </c>
      <c r="AF11" s="74" t="str">
        <f t="shared" ca="1" si="2"/>
        <v/>
      </c>
      <c r="AG11" s="74" t="str">
        <f t="shared" si="3"/>
        <v/>
      </c>
    </row>
    <row r="12" spans="1:33" ht="24.95" customHeight="1" x14ac:dyDescent="0.2">
      <c r="A12"/>
      <c r="B12"/>
      <c r="C12" s="164"/>
      <c r="D12"/>
      <c r="E12"/>
      <c r="F12"/>
      <c r="G12"/>
      <c r="H12"/>
      <c r="I12" s="37"/>
      <c r="J12" s="37"/>
      <c r="K12"/>
      <c r="L12"/>
      <c r="M12"/>
      <c r="N12"/>
      <c r="O12"/>
      <c r="P12"/>
      <c r="Q12" s="158"/>
      <c r="R12"/>
      <c r="S12"/>
      <c r="T12"/>
      <c r="U12"/>
      <c r="V12"/>
      <c r="X12" s="166"/>
      <c r="Y12" s="169"/>
      <c r="Z12" s="75"/>
      <c r="AB12" s="73"/>
      <c r="AD12" s="74" t="str">
        <f t="shared" si="0"/>
        <v/>
      </c>
      <c r="AE12" s="74" t="str">
        <f t="shared" si="1"/>
        <v/>
      </c>
      <c r="AF12" s="74" t="str">
        <f t="shared" ca="1" si="2"/>
        <v/>
      </c>
      <c r="AG12" s="74" t="str">
        <f t="shared" si="3"/>
        <v/>
      </c>
    </row>
    <row r="13" spans="1:33" ht="24.95" customHeight="1" x14ac:dyDescent="0.2">
      <c r="A13"/>
      <c r="B13"/>
      <c r="C13" s="164"/>
      <c r="D13"/>
      <c r="E13"/>
      <c r="F13"/>
      <c r="G13"/>
      <c r="H13"/>
      <c r="I13" s="37"/>
      <c r="J13" s="37"/>
      <c r="K13"/>
      <c r="L13"/>
      <c r="M13"/>
      <c r="N13"/>
      <c r="O13"/>
      <c r="P13"/>
      <c r="Q13"/>
      <c r="R13"/>
      <c r="S13"/>
      <c r="T13"/>
      <c r="U13"/>
      <c r="V13"/>
      <c r="X13" s="166"/>
      <c r="Y13" s="169"/>
      <c r="Z13" s="75"/>
      <c r="AB13" s="73"/>
      <c r="AD13" s="74" t="str">
        <f t="shared" si="0"/>
        <v/>
      </c>
      <c r="AE13" s="74" t="str">
        <f t="shared" si="1"/>
        <v/>
      </c>
      <c r="AF13" s="74" t="str">
        <f t="shared" ca="1" si="2"/>
        <v/>
      </c>
      <c r="AG13" s="74" t="str">
        <f t="shared" si="3"/>
        <v/>
      </c>
    </row>
    <row r="14" spans="1:33" ht="24.95" customHeight="1" x14ac:dyDescent="0.2">
      <c r="A14"/>
      <c r="B14"/>
      <c r="C14" s="164"/>
      <c r="D14"/>
      <c r="E14"/>
      <c r="F14"/>
      <c r="G14"/>
      <c r="H14"/>
      <c r="I14" s="37"/>
      <c r="J14" s="37"/>
      <c r="K14"/>
      <c r="L14"/>
      <c r="M14"/>
      <c r="N14"/>
      <c r="O14"/>
      <c r="P14"/>
      <c r="Q14"/>
      <c r="R14"/>
      <c r="S14"/>
      <c r="T14"/>
      <c r="U14"/>
      <c r="V14"/>
      <c r="X14" s="166"/>
      <c r="Y14" s="169"/>
      <c r="Z14" s="75"/>
      <c r="AB14" s="73"/>
    </row>
    <row r="15" spans="1:33" ht="91.15" customHeight="1" x14ac:dyDescent="0.2">
      <c r="A15"/>
      <c r="B15"/>
      <c r="C15" s="164"/>
      <c r="D15"/>
      <c r="E15"/>
      <c r="F15"/>
      <c r="G15"/>
      <c r="H15"/>
      <c r="I15" s="37"/>
      <c r="J15" s="37"/>
      <c r="K15"/>
      <c r="L15"/>
      <c r="M15"/>
      <c r="N15"/>
      <c r="O15"/>
      <c r="P15"/>
      <c r="Q15"/>
      <c r="R15"/>
      <c r="S15"/>
      <c r="T15"/>
      <c r="U15"/>
      <c r="V15"/>
      <c r="X15" s="166"/>
      <c r="Y15" s="169"/>
      <c r="Z15" s="75"/>
      <c r="AB15" s="73"/>
      <c r="AD15" s="74" t="str">
        <f t="shared" ref="AD15:AD35" si="4">IF(A:A&lt;&gt;"",(M15&amp;"-"&amp;N15),"")</f>
        <v/>
      </c>
      <c r="AE15" s="74" t="str">
        <f t="shared" ref="AE15:AE35" si="5">IF(F:F&lt;&gt;"",IF(F15="Other","Proactive",IF(F15="Proactive","Proactive","Reactive")),"")</f>
        <v/>
      </c>
      <c r="AF15" s="74" t="str">
        <f t="shared" ref="AF15:AF35" ca="1" si="6">IF(I:I&lt;&gt;"",(IF(E15&lt;&gt;"Closed",DATEDIF(I15,TODAY(),"d"),"")),"")</f>
        <v/>
      </c>
      <c r="AG15" s="74" t="str">
        <f t="shared" ref="AG15:AG35" si="7">IF(R:R&lt;&gt;"",DATEDIF(I15,R15,"d"),"")</f>
        <v/>
      </c>
    </row>
    <row r="16" spans="1:33" ht="24.95" customHeight="1" x14ac:dyDescent="0.2">
      <c r="A16"/>
      <c r="B16"/>
      <c r="C16" s="164"/>
      <c r="D16"/>
      <c r="E16"/>
      <c r="F16"/>
      <c r="G16"/>
      <c r="H16"/>
      <c r="I16" s="37"/>
      <c r="J16" s="37"/>
      <c r="K16"/>
      <c r="L16"/>
      <c r="M16"/>
      <c r="N16"/>
      <c r="O16"/>
      <c r="P16"/>
      <c r="Q16"/>
      <c r="R16"/>
      <c r="S16"/>
      <c r="T16"/>
      <c r="U16"/>
      <c r="V16"/>
      <c r="X16" s="166"/>
      <c r="Y16" s="169"/>
      <c r="Z16" s="75"/>
      <c r="AB16" s="73"/>
      <c r="AD16" s="74" t="str">
        <f t="shared" si="4"/>
        <v/>
      </c>
      <c r="AE16" s="74" t="str">
        <f t="shared" si="5"/>
        <v/>
      </c>
      <c r="AF16" s="74" t="str">
        <f t="shared" ca="1" si="6"/>
        <v/>
      </c>
      <c r="AG16" s="74" t="str">
        <f t="shared" si="7"/>
        <v/>
      </c>
    </row>
    <row r="17" spans="1:33" ht="24.95" customHeight="1" x14ac:dyDescent="0.2">
      <c r="A17"/>
      <c r="B17"/>
      <c r="C17" s="164"/>
      <c r="D17"/>
      <c r="E17"/>
      <c r="F17"/>
      <c r="G17"/>
      <c r="H17"/>
      <c r="I17" s="37"/>
      <c r="J17" s="37"/>
      <c r="K17"/>
      <c r="L17"/>
      <c r="M17"/>
      <c r="N17"/>
      <c r="O17"/>
      <c r="P17"/>
      <c r="Q17"/>
      <c r="R17"/>
      <c r="S17"/>
      <c r="T17"/>
      <c r="U17"/>
      <c r="V17"/>
      <c r="X17" s="166"/>
      <c r="Y17" s="169"/>
      <c r="Z17" s="75"/>
      <c r="AB17" s="73"/>
      <c r="AD17" s="74" t="str">
        <f t="shared" si="4"/>
        <v/>
      </c>
      <c r="AE17" s="74" t="str">
        <f t="shared" si="5"/>
        <v/>
      </c>
      <c r="AF17" s="74" t="str">
        <f t="shared" ca="1" si="6"/>
        <v/>
      </c>
      <c r="AG17" s="74" t="str">
        <f t="shared" si="7"/>
        <v/>
      </c>
    </row>
    <row r="18" spans="1:33" ht="24.95" customHeight="1" x14ac:dyDescent="0.2">
      <c r="A18"/>
      <c r="B18"/>
      <c r="C18" s="164"/>
      <c r="D18"/>
      <c r="E18"/>
      <c r="F18"/>
      <c r="G18"/>
      <c r="H18"/>
      <c r="I18" s="37"/>
      <c r="J18" s="37"/>
      <c r="K18"/>
      <c r="L18"/>
      <c r="M18"/>
      <c r="N18"/>
      <c r="O18"/>
      <c r="P18"/>
      <c r="Q18" s="158"/>
      <c r="R18"/>
      <c r="S18"/>
      <c r="T18"/>
      <c r="U18"/>
      <c r="V18"/>
      <c r="X18" s="166"/>
      <c r="Y18" s="169"/>
      <c r="Z18" s="75"/>
      <c r="AB18" s="73"/>
      <c r="AD18" s="74" t="str">
        <f t="shared" si="4"/>
        <v/>
      </c>
      <c r="AE18" s="74" t="str">
        <f t="shared" si="5"/>
        <v/>
      </c>
      <c r="AF18" s="74" t="str">
        <f t="shared" ca="1" si="6"/>
        <v/>
      </c>
      <c r="AG18" s="74" t="str">
        <f t="shared" si="7"/>
        <v/>
      </c>
    </row>
    <row r="19" spans="1:33" ht="24.95" customHeight="1" x14ac:dyDescent="0.2">
      <c r="A19"/>
      <c r="B19"/>
      <c r="C19" s="164"/>
      <c r="D19"/>
      <c r="E19"/>
      <c r="F19"/>
      <c r="G19"/>
      <c r="H19"/>
      <c r="I19" s="37"/>
      <c r="J19" s="37"/>
      <c r="K19"/>
      <c r="L19"/>
      <c r="M19"/>
      <c r="N19"/>
      <c r="O19"/>
      <c r="P19"/>
      <c r="Q19" s="158"/>
      <c r="R19"/>
      <c r="S19"/>
      <c r="T19"/>
      <c r="U19" s="164"/>
      <c r="V19"/>
      <c r="X19" s="166"/>
      <c r="Y19" s="169"/>
      <c r="Z19" s="75"/>
      <c r="AB19" s="73"/>
      <c r="AD19" s="74" t="str">
        <f t="shared" si="4"/>
        <v/>
      </c>
      <c r="AE19" s="74" t="str">
        <f t="shared" si="5"/>
        <v/>
      </c>
      <c r="AF19" s="74" t="str">
        <f t="shared" ca="1" si="6"/>
        <v/>
      </c>
      <c r="AG19" s="74" t="str">
        <f t="shared" si="7"/>
        <v/>
      </c>
    </row>
    <row r="20" spans="1:33" ht="24.95" customHeight="1" x14ac:dyDescent="0.2">
      <c r="A20"/>
      <c r="B20"/>
      <c r="C20" s="164"/>
      <c r="D20"/>
      <c r="E20"/>
      <c r="F20"/>
      <c r="G20"/>
      <c r="H20"/>
      <c r="I20" s="37"/>
      <c r="J20" s="37"/>
      <c r="K20"/>
      <c r="L20"/>
      <c r="M20"/>
      <c r="N20"/>
      <c r="O20"/>
      <c r="P20"/>
      <c r="Q20"/>
      <c r="R20"/>
      <c r="S20"/>
      <c r="T20"/>
      <c r="U20"/>
      <c r="V20"/>
      <c r="X20" s="166"/>
      <c r="Y20" s="169"/>
      <c r="Z20" s="75"/>
      <c r="AB20" s="73"/>
      <c r="AD20" s="74" t="str">
        <f t="shared" si="4"/>
        <v/>
      </c>
      <c r="AE20" s="74" t="str">
        <f t="shared" si="5"/>
        <v/>
      </c>
      <c r="AF20" s="74" t="str">
        <f t="shared" ca="1" si="6"/>
        <v/>
      </c>
      <c r="AG20" s="74" t="str">
        <f t="shared" si="7"/>
        <v/>
      </c>
    </row>
    <row r="21" spans="1:33" ht="24.95" customHeight="1" x14ac:dyDescent="0.2">
      <c r="A21"/>
      <c r="B21"/>
      <c r="C21" s="164"/>
      <c r="D21"/>
      <c r="E21"/>
      <c r="F21"/>
      <c r="G21"/>
      <c r="H21"/>
      <c r="I21" s="37"/>
      <c r="J21" s="37"/>
      <c r="K21"/>
      <c r="L21"/>
      <c r="M21"/>
      <c r="N21"/>
      <c r="O21"/>
      <c r="P21"/>
      <c r="Q21" s="158"/>
      <c r="R21"/>
      <c r="S21"/>
      <c r="T21"/>
      <c r="U21"/>
      <c r="V21"/>
      <c r="X21" s="166"/>
      <c r="Y21" s="169"/>
      <c r="Z21" s="75"/>
      <c r="AB21" s="73"/>
      <c r="AD21" s="74" t="str">
        <f t="shared" si="4"/>
        <v/>
      </c>
      <c r="AE21" s="74" t="str">
        <f t="shared" si="5"/>
        <v/>
      </c>
      <c r="AF21" s="74" t="str">
        <f t="shared" ca="1" si="6"/>
        <v/>
      </c>
      <c r="AG21" s="74" t="str">
        <f t="shared" si="7"/>
        <v/>
      </c>
    </row>
    <row r="22" spans="1:33" ht="24.95" customHeight="1" x14ac:dyDescent="0.2">
      <c r="A22"/>
      <c r="B22"/>
      <c r="C22" s="164"/>
      <c r="D22"/>
      <c r="E22"/>
      <c r="F22"/>
      <c r="G22"/>
      <c r="H22"/>
      <c r="I22" s="37"/>
      <c r="J22" s="37"/>
      <c r="K22"/>
      <c r="L22"/>
      <c r="M22"/>
      <c r="N22"/>
      <c r="O22"/>
      <c r="P22"/>
      <c r="Q22" s="158"/>
      <c r="R22"/>
      <c r="S22"/>
      <c r="T22"/>
      <c r="U22"/>
      <c r="V22"/>
      <c r="X22" s="166"/>
      <c r="Y22" s="169"/>
      <c r="Z22" s="75"/>
      <c r="AB22" s="73"/>
      <c r="AD22" s="74" t="str">
        <f t="shared" si="4"/>
        <v/>
      </c>
      <c r="AE22" s="74" t="str">
        <f t="shared" si="5"/>
        <v/>
      </c>
      <c r="AF22" s="74" t="str">
        <f t="shared" ca="1" si="6"/>
        <v/>
      </c>
      <c r="AG22" s="74" t="str">
        <f t="shared" si="7"/>
        <v/>
      </c>
    </row>
    <row r="23" spans="1:33" ht="24.95" customHeight="1" x14ac:dyDescent="0.2">
      <c r="A23"/>
      <c r="B23"/>
      <c r="C23" s="164"/>
      <c r="D23"/>
      <c r="E23"/>
      <c r="F23"/>
      <c r="G23"/>
      <c r="H23"/>
      <c r="I23" s="37"/>
      <c r="J23" s="37"/>
      <c r="K23"/>
      <c r="L23"/>
      <c r="M23"/>
      <c r="N23"/>
      <c r="O23"/>
      <c r="P23"/>
      <c r="Q23"/>
      <c r="R23"/>
      <c r="S23"/>
      <c r="T23"/>
      <c r="U23"/>
      <c r="V23"/>
      <c r="X23" s="166"/>
      <c r="Y23" s="169"/>
      <c r="Z23" s="75"/>
      <c r="AB23" s="73"/>
      <c r="AD23" s="74" t="str">
        <f t="shared" si="4"/>
        <v/>
      </c>
      <c r="AE23" s="74" t="str">
        <f t="shared" si="5"/>
        <v/>
      </c>
      <c r="AF23" s="74" t="str">
        <f t="shared" ca="1" si="6"/>
        <v/>
      </c>
      <c r="AG23" s="74" t="str">
        <f t="shared" si="7"/>
        <v/>
      </c>
    </row>
    <row r="24" spans="1:33" ht="24.95" customHeight="1" x14ac:dyDescent="0.2">
      <c r="A24"/>
      <c r="B24"/>
      <c r="C24" s="164"/>
      <c r="D24"/>
      <c r="E24"/>
      <c r="F24"/>
      <c r="G24"/>
      <c r="H24"/>
      <c r="I24" s="37"/>
      <c r="J24" s="37"/>
      <c r="K24"/>
      <c r="L24"/>
      <c r="M24"/>
      <c r="N24"/>
      <c r="O24"/>
      <c r="P24"/>
      <c r="Q24"/>
      <c r="R24"/>
      <c r="S24"/>
      <c r="T24"/>
      <c r="U24"/>
      <c r="V24"/>
      <c r="X24" s="166"/>
      <c r="Y24" s="169"/>
      <c r="Z24" s="75"/>
      <c r="AB24" s="73"/>
      <c r="AD24" s="74" t="str">
        <f t="shared" si="4"/>
        <v/>
      </c>
      <c r="AE24" s="74" t="str">
        <f t="shared" si="5"/>
        <v/>
      </c>
      <c r="AF24" s="74" t="str">
        <f t="shared" ca="1" si="6"/>
        <v/>
      </c>
      <c r="AG24" s="74" t="str">
        <f t="shared" si="7"/>
        <v/>
      </c>
    </row>
    <row r="25" spans="1:33" ht="24.95" customHeight="1" x14ac:dyDescent="0.2">
      <c r="A25"/>
      <c r="B25"/>
      <c r="C25" s="164"/>
      <c r="D25"/>
      <c r="E25"/>
      <c r="F25"/>
      <c r="G25"/>
      <c r="H25"/>
      <c r="I25" s="37"/>
      <c r="J25" s="37"/>
      <c r="K25"/>
      <c r="L25"/>
      <c r="M25"/>
      <c r="N25"/>
      <c r="O25"/>
      <c r="P25"/>
      <c r="Q25"/>
      <c r="R25"/>
      <c r="S25"/>
      <c r="T25"/>
      <c r="U25"/>
      <c r="V25"/>
      <c r="X25" s="166"/>
      <c r="Y25" s="169"/>
      <c r="Z25" s="75"/>
      <c r="AB25" s="73"/>
      <c r="AD25" s="74" t="str">
        <f t="shared" si="4"/>
        <v/>
      </c>
      <c r="AE25" s="74" t="str">
        <f t="shared" si="5"/>
        <v/>
      </c>
      <c r="AF25" s="74" t="str">
        <f t="shared" ca="1" si="6"/>
        <v/>
      </c>
      <c r="AG25" s="74" t="str">
        <f t="shared" si="7"/>
        <v/>
      </c>
    </row>
    <row r="26" spans="1:33" ht="24.95" customHeight="1" x14ac:dyDescent="0.2">
      <c r="A26"/>
      <c r="B26"/>
      <c r="C26" s="164"/>
      <c r="D26"/>
      <c r="E26"/>
      <c r="F26"/>
      <c r="G26"/>
      <c r="H26"/>
      <c r="I26" s="37"/>
      <c r="J26" s="37"/>
      <c r="K26"/>
      <c r="L26"/>
      <c r="M26"/>
      <c r="N26"/>
      <c r="O26"/>
      <c r="P26"/>
      <c r="Q26"/>
      <c r="R26"/>
      <c r="S26"/>
      <c r="T26"/>
      <c r="U26"/>
      <c r="V26"/>
      <c r="X26" s="166"/>
      <c r="Y26" s="169"/>
      <c r="Z26" s="75"/>
      <c r="AB26" s="73"/>
      <c r="AD26" s="74" t="str">
        <f t="shared" si="4"/>
        <v/>
      </c>
      <c r="AE26" s="74" t="str">
        <f t="shared" si="5"/>
        <v/>
      </c>
      <c r="AF26" s="74" t="str">
        <f t="shared" ca="1" si="6"/>
        <v/>
      </c>
      <c r="AG26" s="74" t="str">
        <f t="shared" si="7"/>
        <v/>
      </c>
    </row>
    <row r="27" spans="1:33" ht="24.95" customHeight="1" x14ac:dyDescent="0.2">
      <c r="A27"/>
      <c r="B27"/>
      <c r="C27" s="164"/>
      <c r="D27"/>
      <c r="E27"/>
      <c r="F27"/>
      <c r="G27"/>
      <c r="H27"/>
      <c r="I27" s="37"/>
      <c r="J27" s="37"/>
      <c r="K27"/>
      <c r="L27"/>
      <c r="M27"/>
      <c r="N27"/>
      <c r="O27"/>
      <c r="P27"/>
      <c r="Q27" s="158"/>
      <c r="R27"/>
      <c r="S27"/>
      <c r="T27"/>
      <c r="U27"/>
      <c r="V27"/>
      <c r="X27" s="166"/>
      <c r="Y27" s="169"/>
      <c r="Z27" s="75"/>
      <c r="AB27" s="73"/>
      <c r="AD27" s="74" t="str">
        <f t="shared" si="4"/>
        <v/>
      </c>
      <c r="AE27" s="74" t="str">
        <f t="shared" si="5"/>
        <v/>
      </c>
      <c r="AF27" s="74" t="str">
        <f t="shared" ca="1" si="6"/>
        <v/>
      </c>
      <c r="AG27" s="74" t="str">
        <f t="shared" si="7"/>
        <v/>
      </c>
    </row>
    <row r="28" spans="1:33" ht="24.95" customHeight="1" x14ac:dyDescent="0.2">
      <c r="A28"/>
      <c r="B28"/>
      <c r="C28" s="164"/>
      <c r="D28"/>
      <c r="E28"/>
      <c r="F28"/>
      <c r="G28"/>
      <c r="H28"/>
      <c r="I28" s="37"/>
      <c r="J28" s="37"/>
      <c r="K28"/>
      <c r="L28"/>
      <c r="M28"/>
      <c r="N28"/>
      <c r="O28"/>
      <c r="P28"/>
      <c r="Q28" s="158"/>
      <c r="R28"/>
      <c r="S28" s="164"/>
      <c r="T28"/>
      <c r="U28"/>
      <c r="V28" s="164"/>
      <c r="X28" s="166"/>
      <c r="AB28" s="73"/>
      <c r="AD28" s="74" t="str">
        <f t="shared" si="4"/>
        <v/>
      </c>
      <c r="AE28" s="74" t="str">
        <f t="shared" si="5"/>
        <v/>
      </c>
      <c r="AF28" s="74" t="str">
        <f t="shared" ca="1" si="6"/>
        <v/>
      </c>
      <c r="AG28" s="74" t="str">
        <f t="shared" si="7"/>
        <v/>
      </c>
    </row>
    <row r="29" spans="1:33" ht="24.95" customHeight="1" x14ac:dyDescent="0.2">
      <c r="A29"/>
      <c r="B29"/>
      <c r="C29" s="164"/>
      <c r="D29"/>
      <c r="E29"/>
      <c r="F29"/>
      <c r="G29"/>
      <c r="H29"/>
      <c r="I29" s="37"/>
      <c r="J29" s="37"/>
      <c r="K29"/>
      <c r="L29"/>
      <c r="M29"/>
      <c r="N29"/>
      <c r="O29"/>
      <c r="P29"/>
      <c r="Q29" s="158"/>
      <c r="R29"/>
      <c r="S29"/>
      <c r="T29"/>
      <c r="U29"/>
      <c r="V29"/>
      <c r="X29" s="166"/>
      <c r="Y29" s="169"/>
      <c r="Z29" s="75"/>
      <c r="AB29" s="73"/>
      <c r="AD29" s="74" t="str">
        <f t="shared" si="4"/>
        <v/>
      </c>
      <c r="AE29" s="74" t="str">
        <f t="shared" si="5"/>
        <v/>
      </c>
      <c r="AF29" s="74" t="str">
        <f t="shared" ca="1" si="6"/>
        <v/>
      </c>
      <c r="AG29" s="74" t="str">
        <f t="shared" si="7"/>
        <v/>
      </c>
    </row>
    <row r="30" spans="1:33" ht="24.95" customHeight="1" x14ac:dyDescent="0.2">
      <c r="A30"/>
      <c r="B30"/>
      <c r="C30" s="164"/>
      <c r="D30"/>
      <c r="E30"/>
      <c r="F30"/>
      <c r="G30"/>
      <c r="H30"/>
      <c r="I30" s="37"/>
      <c r="J30" s="37"/>
      <c r="K30"/>
      <c r="L30"/>
      <c r="M30"/>
      <c r="N30"/>
      <c r="O30"/>
      <c r="P30"/>
      <c r="Q30"/>
      <c r="R30"/>
      <c r="S30"/>
      <c r="T30"/>
      <c r="U30"/>
      <c r="V30"/>
      <c r="X30" s="166"/>
      <c r="Y30" s="169"/>
      <c r="Z30" s="75"/>
      <c r="AB30" s="73"/>
      <c r="AD30" s="74" t="str">
        <f t="shared" si="4"/>
        <v/>
      </c>
      <c r="AE30" s="74" t="str">
        <f t="shared" si="5"/>
        <v/>
      </c>
      <c r="AF30" s="74" t="str">
        <f t="shared" ca="1" si="6"/>
        <v/>
      </c>
      <c r="AG30" s="74" t="str">
        <f t="shared" si="7"/>
        <v/>
      </c>
    </row>
    <row r="31" spans="1:33" ht="24.95" customHeight="1" x14ac:dyDescent="0.2">
      <c r="A31"/>
      <c r="B31"/>
      <c r="C31" s="164"/>
      <c r="D31"/>
      <c r="E31"/>
      <c r="F31"/>
      <c r="G31"/>
      <c r="H31"/>
      <c r="I31" s="37"/>
      <c r="J31" s="37"/>
      <c r="K31"/>
      <c r="L31"/>
      <c r="M31"/>
      <c r="N31"/>
      <c r="O31"/>
      <c r="P31"/>
      <c r="Q31" s="158"/>
      <c r="R31"/>
      <c r="S31"/>
      <c r="T31"/>
      <c r="U31"/>
      <c r="V31"/>
      <c r="X31" s="166"/>
      <c r="Y31" s="169"/>
      <c r="Z31" s="75"/>
      <c r="AB31" s="73"/>
      <c r="AD31" s="74" t="str">
        <f t="shared" si="4"/>
        <v/>
      </c>
      <c r="AE31" s="74" t="str">
        <f t="shared" si="5"/>
        <v/>
      </c>
      <c r="AF31" s="74" t="str">
        <f t="shared" ca="1" si="6"/>
        <v/>
      </c>
      <c r="AG31" s="74" t="str">
        <f t="shared" si="7"/>
        <v/>
      </c>
    </row>
    <row r="32" spans="1:33" ht="24.95" customHeight="1" x14ac:dyDescent="0.2">
      <c r="A32"/>
      <c r="B32"/>
      <c r="C32" s="164"/>
      <c r="D32"/>
      <c r="E32"/>
      <c r="F32"/>
      <c r="G32"/>
      <c r="H32"/>
      <c r="I32" s="37"/>
      <c r="J32" s="37"/>
      <c r="K32"/>
      <c r="L32"/>
      <c r="M32"/>
      <c r="N32"/>
      <c r="O32"/>
      <c r="P32"/>
      <c r="Q32"/>
      <c r="R32"/>
      <c r="S32"/>
      <c r="T32"/>
      <c r="U32"/>
      <c r="V32"/>
      <c r="X32" s="166"/>
      <c r="Y32" s="169"/>
      <c r="Z32" s="75"/>
      <c r="AB32" s="73"/>
      <c r="AD32" s="74" t="str">
        <f t="shared" si="4"/>
        <v/>
      </c>
      <c r="AE32" s="74" t="str">
        <f t="shared" si="5"/>
        <v/>
      </c>
      <c r="AF32" s="74" t="str">
        <f t="shared" ca="1" si="6"/>
        <v/>
      </c>
      <c r="AG32" s="74" t="str">
        <f t="shared" si="7"/>
        <v/>
      </c>
    </row>
    <row r="33" spans="1:33" ht="24.95" customHeight="1" x14ac:dyDescent="0.2">
      <c r="A33"/>
      <c r="B33"/>
      <c r="C33" s="164"/>
      <c r="D33"/>
      <c r="E33"/>
      <c r="F33"/>
      <c r="G33"/>
      <c r="H33"/>
      <c r="I33" s="37"/>
      <c r="J33" s="37"/>
      <c r="K33"/>
      <c r="L33"/>
      <c r="M33"/>
      <c r="N33"/>
      <c r="O33"/>
      <c r="P33"/>
      <c r="Q33"/>
      <c r="R33"/>
      <c r="S33"/>
      <c r="T33"/>
      <c r="U33"/>
      <c r="V33"/>
      <c r="X33" s="166"/>
      <c r="Y33" s="169"/>
      <c r="Z33" s="75"/>
      <c r="AB33" s="73"/>
      <c r="AD33" s="74" t="str">
        <f t="shared" si="4"/>
        <v/>
      </c>
      <c r="AE33" s="74" t="str">
        <f t="shared" si="5"/>
        <v/>
      </c>
      <c r="AF33" s="74" t="str">
        <f t="shared" ca="1" si="6"/>
        <v/>
      </c>
      <c r="AG33" s="74" t="str">
        <f t="shared" si="7"/>
        <v/>
      </c>
    </row>
    <row r="34" spans="1:33" ht="24.95" customHeight="1" x14ac:dyDescent="0.2">
      <c r="A34"/>
      <c r="B34"/>
      <c r="C34" s="164"/>
      <c r="D34"/>
      <c r="E34"/>
      <c r="F34"/>
      <c r="G34"/>
      <c r="H34"/>
      <c r="I34" s="37"/>
      <c r="J34" s="37"/>
      <c r="K34"/>
      <c r="L34"/>
      <c r="M34"/>
      <c r="N34"/>
      <c r="O34"/>
      <c r="P34"/>
      <c r="Q34" s="158"/>
      <c r="R34"/>
      <c r="S34"/>
      <c r="T34"/>
      <c r="U34"/>
      <c r="V34"/>
      <c r="X34" s="166"/>
      <c r="Y34" s="169"/>
      <c r="Z34" s="75"/>
      <c r="AB34" s="73"/>
      <c r="AD34" s="74" t="str">
        <f t="shared" si="4"/>
        <v/>
      </c>
      <c r="AE34" s="74" t="str">
        <f t="shared" si="5"/>
        <v/>
      </c>
      <c r="AF34" s="74" t="str">
        <f t="shared" ca="1" si="6"/>
        <v/>
      </c>
      <c r="AG34" s="74" t="str">
        <f t="shared" si="7"/>
        <v/>
      </c>
    </row>
    <row r="35" spans="1:33" ht="24.95" customHeight="1" x14ac:dyDescent="0.2">
      <c r="A35"/>
      <c r="B35"/>
      <c r="C35" s="164"/>
      <c r="D35"/>
      <c r="E35"/>
      <c r="F35"/>
      <c r="G35"/>
      <c r="H35"/>
      <c r="I35" s="37"/>
      <c r="J35" s="37"/>
      <c r="K35"/>
      <c r="L35"/>
      <c r="M35"/>
      <c r="N35"/>
      <c r="O35"/>
      <c r="P35"/>
      <c r="Q35" s="158"/>
      <c r="R35"/>
      <c r="S35"/>
      <c r="T35"/>
      <c r="U35"/>
      <c r="V35"/>
      <c r="X35" s="166"/>
      <c r="AB35" s="73"/>
      <c r="AD35" s="74" t="str">
        <f t="shared" si="4"/>
        <v/>
      </c>
      <c r="AE35" s="74" t="str">
        <f t="shared" si="5"/>
        <v/>
      </c>
      <c r="AF35" s="74" t="str">
        <f t="shared" ca="1" si="6"/>
        <v/>
      </c>
      <c r="AG35" s="74" t="str">
        <f t="shared" si="7"/>
        <v/>
      </c>
    </row>
    <row r="36" spans="1:33" ht="24.95" customHeight="1" x14ac:dyDescent="0.2">
      <c r="A36"/>
      <c r="B36"/>
      <c r="C36" s="164"/>
      <c r="D36"/>
      <c r="E36"/>
      <c r="F36"/>
      <c r="G36"/>
      <c r="H36"/>
      <c r="I36" s="37"/>
      <c r="J36" s="37"/>
      <c r="K36"/>
      <c r="L36"/>
      <c r="M36"/>
      <c r="N36"/>
      <c r="O36"/>
      <c r="P36"/>
      <c r="Q36" s="158"/>
      <c r="R36"/>
      <c r="S36"/>
      <c r="T36"/>
      <c r="U36"/>
      <c r="V36"/>
      <c r="X36" s="166"/>
      <c r="Y36" s="169"/>
      <c r="Z36" s="75"/>
      <c r="AB36" s="73"/>
    </row>
    <row r="37" spans="1:33" ht="24.95" customHeight="1" x14ac:dyDescent="0.2">
      <c r="A37"/>
      <c r="B37"/>
      <c r="C37" s="164"/>
      <c r="D37"/>
      <c r="E37"/>
      <c r="F37"/>
      <c r="G37"/>
      <c r="H37"/>
      <c r="I37" s="37"/>
      <c r="J37" s="37"/>
      <c r="K37"/>
      <c r="L37"/>
      <c r="M37"/>
      <c r="N37"/>
      <c r="O37"/>
      <c r="P37"/>
      <c r="Q37" s="158"/>
      <c r="R37"/>
      <c r="S37"/>
      <c r="T37"/>
      <c r="U37"/>
      <c r="V37"/>
      <c r="X37" s="166"/>
      <c r="Y37" s="169"/>
      <c r="Z37" s="75"/>
      <c r="AB37" s="73"/>
      <c r="AD37" s="74" t="str">
        <f t="shared" ref="AD37:AD100" si="8">IF(A:A&lt;&gt;"",(M37&amp;"-"&amp;N37),"")</f>
        <v/>
      </c>
      <c r="AE37" s="74" t="str">
        <f t="shared" ref="AE37:AE100" si="9">IF(F:F&lt;&gt;"",IF(F37="Other","Proactive",IF(F37="Proactive","Proactive","Reactive")),"")</f>
        <v/>
      </c>
      <c r="AF37" s="74" t="str">
        <f t="shared" ref="AF37:AF100" ca="1" si="10">IF(I:I&lt;&gt;"",(IF(E37&lt;&gt;"Closed",DATEDIF(I37,TODAY(),"d"),"")),"")</f>
        <v/>
      </c>
      <c r="AG37" s="74" t="str">
        <f t="shared" ref="AG37:AG100" si="11">IF(R:R&lt;&gt;"",DATEDIF(I37,R37,"d"),"")</f>
        <v/>
      </c>
    </row>
    <row r="38" spans="1:33" ht="24.95" customHeight="1" x14ac:dyDescent="0.2">
      <c r="A38"/>
      <c r="B38"/>
      <c r="C38" s="164"/>
      <c r="D38"/>
      <c r="E38"/>
      <c r="F38"/>
      <c r="G38"/>
      <c r="H38"/>
      <c r="I38" s="37"/>
      <c r="J38" s="37"/>
      <c r="K38"/>
      <c r="L38"/>
      <c r="M38"/>
      <c r="N38"/>
      <c r="O38"/>
      <c r="P38"/>
      <c r="Q38"/>
      <c r="R38"/>
      <c r="S38"/>
      <c r="T38"/>
      <c r="U38"/>
      <c r="V38"/>
      <c r="X38" s="166"/>
      <c r="Y38" s="169"/>
      <c r="Z38" s="75"/>
      <c r="AB38" s="73"/>
      <c r="AD38" s="74" t="str">
        <f t="shared" si="8"/>
        <v/>
      </c>
      <c r="AE38" s="74" t="str">
        <f t="shared" si="9"/>
        <v/>
      </c>
      <c r="AF38" s="74" t="str">
        <f t="shared" ca="1" si="10"/>
        <v/>
      </c>
      <c r="AG38" s="74" t="str">
        <f t="shared" si="11"/>
        <v/>
      </c>
    </row>
    <row r="39" spans="1:33" ht="24.95" customHeight="1" x14ac:dyDescent="0.2">
      <c r="A39"/>
      <c r="B39"/>
      <c r="C39" s="164"/>
      <c r="D39"/>
      <c r="E39"/>
      <c r="F39"/>
      <c r="G39"/>
      <c r="H39"/>
      <c r="I39" s="37"/>
      <c r="J39" s="37"/>
      <c r="K39"/>
      <c r="L39"/>
      <c r="M39"/>
      <c r="N39"/>
      <c r="O39"/>
      <c r="P39"/>
      <c r="Q39"/>
      <c r="R39"/>
      <c r="S39"/>
      <c r="T39"/>
      <c r="U39"/>
      <c r="V39"/>
      <c r="X39" s="166"/>
      <c r="Y39" s="169"/>
      <c r="Z39" s="75"/>
      <c r="AB39" s="73"/>
      <c r="AD39" s="74" t="str">
        <f t="shared" si="8"/>
        <v/>
      </c>
      <c r="AE39" s="74" t="str">
        <f t="shared" si="9"/>
        <v/>
      </c>
      <c r="AF39" s="74" t="str">
        <f t="shared" ca="1" si="10"/>
        <v/>
      </c>
      <c r="AG39" s="74" t="str">
        <f t="shared" si="11"/>
        <v/>
      </c>
    </row>
    <row r="40" spans="1:33" ht="24.95" customHeight="1" x14ac:dyDescent="0.2">
      <c r="A40"/>
      <c r="B40"/>
      <c r="C40" s="164"/>
      <c r="D40"/>
      <c r="E40"/>
      <c r="F40"/>
      <c r="G40"/>
      <c r="H40"/>
      <c r="I40" s="37"/>
      <c r="J40" s="37"/>
      <c r="K40"/>
      <c r="L40"/>
      <c r="M40"/>
      <c r="N40"/>
      <c r="O40"/>
      <c r="P40"/>
      <c r="Q40"/>
      <c r="R40"/>
      <c r="S40"/>
      <c r="T40"/>
      <c r="U40"/>
      <c r="V40"/>
      <c r="X40" s="166"/>
      <c r="Y40" s="169"/>
      <c r="Z40" s="75"/>
      <c r="AB40" s="73"/>
      <c r="AD40" s="74" t="str">
        <f t="shared" si="8"/>
        <v/>
      </c>
      <c r="AE40" s="74" t="str">
        <f t="shared" si="9"/>
        <v/>
      </c>
      <c r="AF40" s="74" t="str">
        <f t="shared" ca="1" si="10"/>
        <v/>
      </c>
      <c r="AG40" s="74" t="str">
        <f t="shared" si="11"/>
        <v/>
      </c>
    </row>
    <row r="41" spans="1:33" ht="24.95" customHeight="1" x14ac:dyDescent="0.2">
      <c r="A41" s="75"/>
      <c r="B41" s="75"/>
      <c r="C41" s="75"/>
      <c r="D41" s="75"/>
      <c r="E41" s="75"/>
      <c r="F41" s="75"/>
      <c r="G41" s="75"/>
      <c r="H41" s="75"/>
      <c r="I41" s="96"/>
      <c r="J41" s="96"/>
      <c r="K41" s="75"/>
      <c r="L41" s="75"/>
      <c r="M41" s="75"/>
      <c r="N41" s="75"/>
      <c r="O41" s="75"/>
      <c r="P41" s="75"/>
      <c r="Q41" s="96"/>
      <c r="R41" s="75"/>
      <c r="S41" s="75"/>
      <c r="T41" s="75"/>
      <c r="U41" s="75"/>
      <c r="V41" s="75"/>
      <c r="X41" s="166"/>
      <c r="Y41" s="169"/>
      <c r="Z41" s="75"/>
      <c r="AB41" s="73"/>
      <c r="AC41" s="76"/>
      <c r="AD41" s="74" t="str">
        <f t="shared" si="8"/>
        <v/>
      </c>
      <c r="AE41" s="74" t="str">
        <f t="shared" si="9"/>
        <v/>
      </c>
      <c r="AF41" s="74" t="str">
        <f t="shared" ca="1" si="10"/>
        <v/>
      </c>
      <c r="AG41" s="74" t="str">
        <f t="shared" si="11"/>
        <v/>
      </c>
    </row>
    <row r="42" spans="1:33" x14ac:dyDescent="0.2">
      <c r="A42" s="75"/>
      <c r="B42" s="75"/>
      <c r="C42" s="75"/>
      <c r="D42" s="75"/>
      <c r="E42" s="75"/>
      <c r="F42" s="75"/>
      <c r="G42" s="75"/>
      <c r="H42" s="75"/>
      <c r="I42" s="96"/>
      <c r="J42" s="96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X42" s="166"/>
      <c r="Y42" s="169"/>
      <c r="Z42" s="75"/>
      <c r="AB42" s="73"/>
      <c r="AC42" s="76"/>
      <c r="AD42" s="74" t="str">
        <f t="shared" si="8"/>
        <v/>
      </c>
      <c r="AE42" s="74" t="str">
        <f t="shared" si="9"/>
        <v/>
      </c>
      <c r="AF42" s="74" t="str">
        <f t="shared" ca="1" si="10"/>
        <v/>
      </c>
      <c r="AG42" s="74" t="str">
        <f t="shared" si="11"/>
        <v/>
      </c>
    </row>
    <row r="43" spans="1:33" x14ac:dyDescent="0.2">
      <c r="A43"/>
      <c r="B43" s="75"/>
      <c r="C43" s="75"/>
      <c r="D43" s="75"/>
      <c r="E43" s="75"/>
      <c r="F43" s="75"/>
      <c r="G43" s="75"/>
      <c r="H43" s="75"/>
      <c r="I43" s="96"/>
      <c r="J43" s="96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X43" s="166"/>
      <c r="Y43" s="169"/>
      <c r="Z43" s="75"/>
      <c r="AB43" s="73"/>
      <c r="AC43" s="76"/>
      <c r="AD43" s="74" t="str">
        <f t="shared" si="8"/>
        <v/>
      </c>
      <c r="AE43" s="74" t="str">
        <f t="shared" si="9"/>
        <v/>
      </c>
      <c r="AF43" s="74" t="str">
        <f t="shared" ca="1" si="10"/>
        <v/>
      </c>
      <c r="AG43" s="74" t="str">
        <f t="shared" si="11"/>
        <v/>
      </c>
    </row>
    <row r="44" spans="1:33" x14ac:dyDescent="0.2">
      <c r="A44" s="75"/>
      <c r="B44" s="75"/>
      <c r="C44" s="75"/>
      <c r="D44" s="75"/>
      <c r="E44" s="75"/>
      <c r="F44" s="75"/>
      <c r="G44" s="75"/>
      <c r="H44" s="75"/>
      <c r="I44" s="96"/>
      <c r="J44" s="96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X44" s="166"/>
      <c r="Y44" s="169"/>
      <c r="Z44" s="75"/>
      <c r="AB44" s="73"/>
      <c r="AC44" s="76"/>
      <c r="AD44" s="74" t="str">
        <f t="shared" si="8"/>
        <v/>
      </c>
      <c r="AE44" s="74" t="str">
        <f t="shared" si="9"/>
        <v/>
      </c>
      <c r="AF44" s="74" t="str">
        <f t="shared" ca="1" si="10"/>
        <v/>
      </c>
      <c r="AG44" s="74" t="str">
        <f t="shared" si="11"/>
        <v/>
      </c>
    </row>
    <row r="45" spans="1:33" x14ac:dyDescent="0.2">
      <c r="A45" s="75"/>
      <c r="B45" s="75"/>
      <c r="C45" s="75"/>
      <c r="D45" s="75"/>
      <c r="E45" s="75"/>
      <c r="F45" s="75"/>
      <c r="G45" s="75"/>
      <c r="H45" s="75"/>
      <c r="I45" s="96"/>
      <c r="J45" s="96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X45" s="166"/>
      <c r="Y45" s="169"/>
      <c r="Z45" s="75"/>
      <c r="AB45" s="73"/>
      <c r="AC45" s="76"/>
      <c r="AD45" s="74" t="str">
        <f t="shared" si="8"/>
        <v/>
      </c>
      <c r="AE45" s="74" t="str">
        <f t="shared" si="9"/>
        <v/>
      </c>
      <c r="AF45" s="74" t="str">
        <f t="shared" ca="1" si="10"/>
        <v/>
      </c>
      <c r="AG45" s="74" t="str">
        <f t="shared" si="11"/>
        <v/>
      </c>
    </row>
    <row r="46" spans="1:33" x14ac:dyDescent="0.2">
      <c r="A46" s="75"/>
      <c r="B46" s="75"/>
      <c r="C46" s="75"/>
      <c r="D46" s="75"/>
      <c r="E46" s="75"/>
      <c r="F46" s="75"/>
      <c r="G46" s="75"/>
      <c r="H46" s="75"/>
      <c r="I46" s="96"/>
      <c r="J46" s="96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X46" s="166"/>
      <c r="Y46" s="169"/>
      <c r="Z46" s="75"/>
      <c r="AB46" s="73"/>
      <c r="AC46" s="76"/>
      <c r="AD46" s="74" t="str">
        <f t="shared" si="8"/>
        <v/>
      </c>
      <c r="AE46" s="74" t="str">
        <f t="shared" si="9"/>
        <v/>
      </c>
      <c r="AF46" s="74" t="str">
        <f t="shared" ca="1" si="10"/>
        <v/>
      </c>
      <c r="AG46" s="74" t="str">
        <f t="shared" si="11"/>
        <v/>
      </c>
    </row>
    <row r="47" spans="1:33" x14ac:dyDescent="0.2">
      <c r="A47" s="75"/>
      <c r="B47" s="75"/>
      <c r="C47" s="75"/>
      <c r="D47" s="75"/>
      <c r="E47" s="75"/>
      <c r="F47" s="75"/>
      <c r="G47" s="75"/>
      <c r="H47" s="75"/>
      <c r="I47" s="96"/>
      <c r="J47" s="96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X47" s="166"/>
      <c r="Y47" s="169"/>
      <c r="Z47" s="75"/>
      <c r="AB47" s="73"/>
      <c r="AC47" s="76"/>
      <c r="AD47" s="74" t="str">
        <f t="shared" si="8"/>
        <v/>
      </c>
      <c r="AE47" s="74" t="str">
        <f t="shared" si="9"/>
        <v/>
      </c>
      <c r="AF47" s="74" t="str">
        <f t="shared" ca="1" si="10"/>
        <v/>
      </c>
      <c r="AG47" s="74" t="str">
        <f t="shared" si="11"/>
        <v/>
      </c>
    </row>
    <row r="48" spans="1:33" x14ac:dyDescent="0.2">
      <c r="A48" s="75"/>
      <c r="B48" s="75"/>
      <c r="C48" s="75"/>
      <c r="D48" s="75"/>
      <c r="E48" s="75"/>
      <c r="F48" s="75"/>
      <c r="G48" s="75"/>
      <c r="H48" s="75"/>
      <c r="I48" s="96"/>
      <c r="J48" s="96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X48" s="166"/>
      <c r="Y48" s="169"/>
      <c r="Z48" s="75"/>
      <c r="AB48" s="73"/>
      <c r="AC48" s="76"/>
      <c r="AD48" s="74" t="str">
        <f t="shared" si="8"/>
        <v/>
      </c>
      <c r="AE48" s="74" t="str">
        <f t="shared" si="9"/>
        <v/>
      </c>
      <c r="AF48" s="74" t="str">
        <f t="shared" ca="1" si="10"/>
        <v/>
      </c>
      <c r="AG48" s="74" t="str">
        <f t="shared" si="11"/>
        <v/>
      </c>
    </row>
    <row r="49" spans="1:33" x14ac:dyDescent="0.2">
      <c r="A49" s="75"/>
      <c r="B49" s="75"/>
      <c r="C49" s="75"/>
      <c r="D49" s="75"/>
      <c r="E49" s="75"/>
      <c r="F49" s="75"/>
      <c r="G49" s="75"/>
      <c r="H49" s="75"/>
      <c r="I49" s="96"/>
      <c r="J49" s="96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X49" s="166"/>
      <c r="Y49" s="169"/>
      <c r="Z49" s="75"/>
      <c r="AB49" s="73"/>
      <c r="AC49" s="76"/>
      <c r="AD49" s="74" t="str">
        <f t="shared" si="8"/>
        <v/>
      </c>
      <c r="AE49" s="74" t="str">
        <f t="shared" si="9"/>
        <v/>
      </c>
      <c r="AF49" s="74" t="str">
        <f t="shared" ca="1" si="10"/>
        <v/>
      </c>
      <c r="AG49" s="74" t="str">
        <f t="shared" si="11"/>
        <v/>
      </c>
    </row>
    <row r="50" spans="1:33" x14ac:dyDescent="0.2">
      <c r="A50" s="75"/>
      <c r="B50" s="75"/>
      <c r="C50" s="75"/>
      <c r="D50" s="75"/>
      <c r="E50" s="75"/>
      <c r="F50" s="75"/>
      <c r="G50" s="75"/>
      <c r="H50" s="75"/>
      <c r="I50" s="96"/>
      <c r="J50" s="96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X50" s="166"/>
      <c r="Y50" s="169"/>
      <c r="Z50" s="75"/>
      <c r="AB50" s="73"/>
      <c r="AC50" s="76"/>
      <c r="AD50" s="74" t="str">
        <f t="shared" si="8"/>
        <v/>
      </c>
      <c r="AE50" s="74" t="str">
        <f t="shared" si="9"/>
        <v/>
      </c>
      <c r="AF50" s="74" t="str">
        <f t="shared" ca="1" si="10"/>
        <v/>
      </c>
      <c r="AG50" s="74" t="str">
        <f t="shared" si="11"/>
        <v/>
      </c>
    </row>
    <row r="51" spans="1:33" x14ac:dyDescent="0.2">
      <c r="A51" s="75"/>
      <c r="B51" s="75"/>
      <c r="C51" s="75"/>
      <c r="D51" s="75"/>
      <c r="E51" s="75"/>
      <c r="F51" s="75"/>
      <c r="G51" s="75"/>
      <c r="H51" s="75"/>
      <c r="I51" s="96"/>
      <c r="J51" s="96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X51" s="166"/>
      <c r="Y51" s="169"/>
      <c r="Z51" s="75"/>
      <c r="AB51" s="73"/>
      <c r="AC51" s="76"/>
      <c r="AD51" s="74" t="str">
        <f t="shared" si="8"/>
        <v/>
      </c>
      <c r="AE51" s="74" t="str">
        <f t="shared" si="9"/>
        <v/>
      </c>
      <c r="AF51" s="74" t="str">
        <f t="shared" ca="1" si="10"/>
        <v/>
      </c>
      <c r="AG51" s="74" t="str">
        <f t="shared" si="11"/>
        <v/>
      </c>
    </row>
    <row r="52" spans="1:33" x14ac:dyDescent="0.2">
      <c r="A52" s="75"/>
      <c r="B52" s="75"/>
      <c r="C52" s="75"/>
      <c r="D52" s="75"/>
      <c r="E52" s="75"/>
      <c r="F52" s="75"/>
      <c r="G52" s="75"/>
      <c r="H52" s="75"/>
      <c r="I52" s="96"/>
      <c r="J52" s="96"/>
      <c r="K52" s="75"/>
      <c r="L52" s="75"/>
      <c r="M52" s="75"/>
      <c r="N52" s="75"/>
      <c r="O52" s="75"/>
      <c r="P52" s="75"/>
      <c r="Q52" s="96"/>
      <c r="R52" s="96"/>
      <c r="S52" s="75"/>
      <c r="T52" s="75"/>
      <c r="U52" s="75"/>
      <c r="V52" s="75"/>
      <c r="X52" s="166"/>
      <c r="AB52" s="73"/>
      <c r="AC52" s="76"/>
      <c r="AD52" s="74" t="str">
        <f t="shared" si="8"/>
        <v/>
      </c>
      <c r="AE52" s="74" t="str">
        <f t="shared" si="9"/>
        <v/>
      </c>
      <c r="AF52" s="74" t="str">
        <f t="shared" ca="1" si="10"/>
        <v/>
      </c>
      <c r="AG52" s="74" t="str">
        <f t="shared" si="11"/>
        <v/>
      </c>
    </row>
    <row r="53" spans="1:33" x14ac:dyDescent="0.2">
      <c r="A53" s="75"/>
      <c r="B53" s="75"/>
      <c r="C53" s="75"/>
      <c r="D53" s="75"/>
      <c r="E53" s="75"/>
      <c r="F53" s="75"/>
      <c r="G53" s="75"/>
      <c r="H53" s="75"/>
      <c r="I53" s="96"/>
      <c r="J53" s="96"/>
      <c r="K53" s="75"/>
      <c r="L53" s="75"/>
      <c r="M53" s="75"/>
      <c r="N53" s="75"/>
      <c r="O53" s="75"/>
      <c r="P53" s="75"/>
      <c r="Q53" s="96"/>
      <c r="R53" s="96"/>
      <c r="S53" s="75"/>
      <c r="T53" s="75"/>
      <c r="U53" s="75"/>
      <c r="V53" s="75"/>
      <c r="X53" s="166"/>
      <c r="AB53" s="73"/>
      <c r="AC53" s="76"/>
      <c r="AD53" s="74" t="str">
        <f t="shared" si="8"/>
        <v/>
      </c>
      <c r="AE53" s="74" t="str">
        <f t="shared" si="9"/>
        <v/>
      </c>
      <c r="AF53" s="74" t="str">
        <f t="shared" ca="1" si="10"/>
        <v/>
      </c>
      <c r="AG53" s="74" t="str">
        <f t="shared" si="11"/>
        <v/>
      </c>
    </row>
    <row r="54" spans="1:33" x14ac:dyDescent="0.2">
      <c r="A54" s="75"/>
      <c r="B54" s="75"/>
      <c r="C54" s="75"/>
      <c r="D54" s="75"/>
      <c r="E54" s="75"/>
      <c r="F54" s="75"/>
      <c r="G54" s="75"/>
      <c r="H54" s="75"/>
      <c r="I54" s="96"/>
      <c r="J54" s="96"/>
      <c r="K54" s="75"/>
      <c r="L54" s="75"/>
      <c r="M54" s="75"/>
      <c r="N54" s="75"/>
      <c r="O54" s="75"/>
      <c r="P54" s="75"/>
      <c r="Q54" s="96"/>
      <c r="R54" s="96"/>
      <c r="S54" s="75"/>
      <c r="T54" s="75"/>
      <c r="U54" s="75"/>
      <c r="V54" s="75"/>
      <c r="X54" s="166"/>
      <c r="AB54" s="73"/>
      <c r="AC54" s="76"/>
      <c r="AD54" s="74" t="str">
        <f t="shared" si="8"/>
        <v/>
      </c>
      <c r="AE54" s="74" t="str">
        <f t="shared" si="9"/>
        <v/>
      </c>
      <c r="AF54" s="74" t="str">
        <f t="shared" ca="1" si="10"/>
        <v/>
      </c>
      <c r="AG54" s="74" t="str">
        <f t="shared" si="11"/>
        <v/>
      </c>
    </row>
    <row r="55" spans="1:33" x14ac:dyDescent="0.2">
      <c r="A55" s="75"/>
      <c r="B55" s="75"/>
      <c r="C55" s="75"/>
      <c r="D55" s="75"/>
      <c r="E55" s="75"/>
      <c r="F55" s="75"/>
      <c r="G55" s="75"/>
      <c r="H55" s="75"/>
      <c r="I55" s="96"/>
      <c r="J55" s="96"/>
      <c r="K55" s="75"/>
      <c r="L55" s="75"/>
      <c r="M55" s="75"/>
      <c r="N55" s="75"/>
      <c r="O55" s="75"/>
      <c r="P55" s="75"/>
      <c r="Q55" s="96"/>
      <c r="R55" s="96"/>
      <c r="S55" s="75"/>
      <c r="T55" s="75"/>
      <c r="U55" s="75"/>
      <c r="V55" s="75"/>
      <c r="X55" s="166"/>
      <c r="AB55" s="73"/>
      <c r="AC55" s="76"/>
      <c r="AD55" s="74" t="str">
        <f t="shared" si="8"/>
        <v/>
      </c>
      <c r="AE55" s="74" t="str">
        <f t="shared" si="9"/>
        <v/>
      </c>
      <c r="AF55" s="74" t="str">
        <f t="shared" ca="1" si="10"/>
        <v/>
      </c>
      <c r="AG55" s="74" t="str">
        <f t="shared" si="11"/>
        <v/>
      </c>
    </row>
    <row r="56" spans="1:33" x14ac:dyDescent="0.2">
      <c r="A56" s="75"/>
      <c r="B56" s="75"/>
      <c r="C56" s="75"/>
      <c r="D56" s="75"/>
      <c r="E56" s="75"/>
      <c r="F56" s="75"/>
      <c r="G56" s="75"/>
      <c r="H56" s="75"/>
      <c r="I56" s="96"/>
      <c r="J56" s="96"/>
      <c r="K56" s="75"/>
      <c r="L56" s="75"/>
      <c r="M56" s="75"/>
      <c r="N56" s="75"/>
      <c r="O56" s="75"/>
      <c r="P56" s="75"/>
      <c r="Q56" s="96"/>
      <c r="R56" s="96"/>
      <c r="S56" s="75"/>
      <c r="T56" s="75"/>
      <c r="U56" s="75"/>
      <c r="V56" s="75"/>
      <c r="X56" s="166"/>
      <c r="AB56" s="73"/>
      <c r="AC56" s="76"/>
      <c r="AD56" s="74" t="str">
        <f t="shared" si="8"/>
        <v/>
      </c>
      <c r="AE56" s="74" t="str">
        <f t="shared" si="9"/>
        <v/>
      </c>
      <c r="AF56" s="74" t="str">
        <f t="shared" ca="1" si="10"/>
        <v/>
      </c>
      <c r="AG56" s="74" t="str">
        <f t="shared" si="11"/>
        <v/>
      </c>
    </row>
    <row r="57" spans="1:33" x14ac:dyDescent="0.2">
      <c r="A57" s="75"/>
      <c r="B57" s="75"/>
      <c r="C57" s="75"/>
      <c r="D57" s="75"/>
      <c r="E57" s="75"/>
      <c r="F57" s="75"/>
      <c r="G57" s="75"/>
      <c r="H57" s="75"/>
      <c r="I57" s="96"/>
      <c r="J57" s="96"/>
      <c r="K57" s="75"/>
      <c r="L57" s="75"/>
      <c r="M57" s="75"/>
      <c r="N57" s="75"/>
      <c r="O57" s="75"/>
      <c r="P57" s="75"/>
      <c r="Q57" s="96"/>
      <c r="R57" s="96"/>
      <c r="S57" s="75"/>
      <c r="T57" s="75"/>
      <c r="U57" s="75"/>
      <c r="V57" s="75"/>
      <c r="X57" s="166"/>
      <c r="AB57" s="73"/>
      <c r="AC57" s="76"/>
      <c r="AD57" s="74" t="str">
        <f t="shared" si="8"/>
        <v/>
      </c>
      <c r="AE57" s="74" t="str">
        <f t="shared" si="9"/>
        <v/>
      </c>
      <c r="AF57" s="74" t="str">
        <f t="shared" ca="1" si="10"/>
        <v/>
      </c>
      <c r="AG57" s="74" t="str">
        <f t="shared" si="11"/>
        <v/>
      </c>
    </row>
    <row r="58" spans="1:33" x14ac:dyDescent="0.2">
      <c r="A58" s="75"/>
      <c r="B58" s="75"/>
      <c r="C58" s="75"/>
      <c r="D58" s="75"/>
      <c r="E58" s="75"/>
      <c r="F58" s="75"/>
      <c r="G58" s="75"/>
      <c r="H58" s="75"/>
      <c r="I58" s="96"/>
      <c r="J58" s="96"/>
      <c r="K58" s="75"/>
      <c r="L58" s="75"/>
      <c r="M58" s="75"/>
      <c r="N58" s="75"/>
      <c r="O58" s="75"/>
      <c r="P58" s="75"/>
      <c r="Q58" s="96"/>
      <c r="R58" s="96"/>
      <c r="S58" s="75"/>
      <c r="T58" s="75"/>
      <c r="U58" s="75"/>
      <c r="V58" s="75"/>
      <c r="X58" s="166"/>
      <c r="AB58" s="73"/>
      <c r="AC58" s="76"/>
      <c r="AD58" s="74" t="str">
        <f t="shared" si="8"/>
        <v/>
      </c>
      <c r="AE58" s="74" t="str">
        <f t="shared" si="9"/>
        <v/>
      </c>
      <c r="AF58" s="74" t="str">
        <f t="shared" ca="1" si="10"/>
        <v/>
      </c>
      <c r="AG58" s="74" t="str">
        <f t="shared" si="11"/>
        <v/>
      </c>
    </row>
    <row r="59" spans="1:33" x14ac:dyDescent="0.2">
      <c r="A59" s="75"/>
      <c r="B59" s="75"/>
      <c r="C59" s="75"/>
      <c r="D59" s="75"/>
      <c r="E59" s="75"/>
      <c r="F59" s="75"/>
      <c r="G59" s="75"/>
      <c r="H59" s="75"/>
      <c r="I59" s="96"/>
      <c r="J59" s="96"/>
      <c r="K59" s="75"/>
      <c r="L59" s="75"/>
      <c r="M59" s="75"/>
      <c r="N59" s="75"/>
      <c r="O59" s="75"/>
      <c r="P59" s="75"/>
      <c r="Q59" s="96"/>
      <c r="R59" s="96"/>
      <c r="S59" s="75"/>
      <c r="T59" s="75"/>
      <c r="U59" s="75"/>
      <c r="V59" s="75"/>
      <c r="X59" s="166"/>
      <c r="AB59" s="73"/>
      <c r="AC59" s="76"/>
      <c r="AD59" s="74" t="str">
        <f t="shared" si="8"/>
        <v/>
      </c>
      <c r="AE59" s="74" t="str">
        <f t="shared" si="9"/>
        <v/>
      </c>
      <c r="AF59" s="74" t="str">
        <f t="shared" ca="1" si="10"/>
        <v/>
      </c>
      <c r="AG59" s="74" t="str">
        <f t="shared" si="11"/>
        <v/>
      </c>
    </row>
    <row r="60" spans="1:33" x14ac:dyDescent="0.2">
      <c r="A60" s="75"/>
      <c r="B60" s="75"/>
      <c r="C60" s="75"/>
      <c r="D60" s="75"/>
      <c r="E60" s="75"/>
      <c r="F60" s="75"/>
      <c r="G60" s="75"/>
      <c r="H60" s="75"/>
      <c r="I60" s="96"/>
      <c r="J60" s="96"/>
      <c r="K60" s="75"/>
      <c r="L60" s="75"/>
      <c r="M60" s="75"/>
      <c r="N60" s="75"/>
      <c r="O60" s="75"/>
      <c r="P60" s="75"/>
      <c r="Q60" s="96"/>
      <c r="R60" s="96"/>
      <c r="S60" s="75"/>
      <c r="T60" s="75"/>
      <c r="U60" s="75"/>
      <c r="V60" s="75"/>
      <c r="X60" s="166"/>
      <c r="AB60" s="73"/>
      <c r="AC60" s="76"/>
      <c r="AD60" s="74" t="str">
        <f t="shared" si="8"/>
        <v/>
      </c>
      <c r="AE60" s="74" t="str">
        <f t="shared" si="9"/>
        <v/>
      </c>
      <c r="AF60" s="74" t="str">
        <f t="shared" ca="1" si="10"/>
        <v/>
      </c>
      <c r="AG60" s="74" t="str">
        <f t="shared" si="11"/>
        <v/>
      </c>
    </row>
    <row r="61" spans="1:33" x14ac:dyDescent="0.2">
      <c r="A61" s="75"/>
      <c r="B61" s="75"/>
      <c r="C61" s="75"/>
      <c r="D61" s="75"/>
      <c r="E61" s="75"/>
      <c r="F61" s="75"/>
      <c r="G61" s="75"/>
      <c r="H61" s="75"/>
      <c r="I61" s="96"/>
      <c r="J61" s="96"/>
      <c r="K61" s="75"/>
      <c r="L61" s="75"/>
      <c r="M61" s="75"/>
      <c r="N61" s="75"/>
      <c r="O61" s="75"/>
      <c r="P61" s="75"/>
      <c r="Q61" s="96"/>
      <c r="R61" s="96"/>
      <c r="S61" s="75"/>
      <c r="T61" s="75"/>
      <c r="U61" s="75"/>
      <c r="V61" s="75"/>
      <c r="X61" s="166"/>
      <c r="AB61" s="73"/>
      <c r="AC61" s="76"/>
      <c r="AD61" s="74" t="str">
        <f t="shared" si="8"/>
        <v/>
      </c>
      <c r="AE61" s="74" t="str">
        <f t="shared" si="9"/>
        <v/>
      </c>
      <c r="AF61" s="74" t="str">
        <f t="shared" ca="1" si="10"/>
        <v/>
      </c>
      <c r="AG61" s="74" t="str">
        <f t="shared" si="11"/>
        <v/>
      </c>
    </row>
    <row r="62" spans="1:33" x14ac:dyDescent="0.2">
      <c r="A62" s="75"/>
      <c r="B62" s="75"/>
      <c r="C62" s="75"/>
      <c r="D62" s="75"/>
      <c r="E62" s="75"/>
      <c r="F62" s="75"/>
      <c r="G62" s="75"/>
      <c r="H62" s="75"/>
      <c r="I62" s="96"/>
      <c r="J62" s="96"/>
      <c r="K62" s="75"/>
      <c r="L62" s="75"/>
      <c r="M62" s="75"/>
      <c r="N62" s="75"/>
      <c r="O62" s="75"/>
      <c r="P62" s="75"/>
      <c r="Q62" s="96"/>
      <c r="R62" s="96"/>
      <c r="S62" s="75"/>
      <c r="T62" s="75"/>
      <c r="U62" s="75"/>
      <c r="V62" s="75"/>
      <c r="X62" s="166"/>
      <c r="AB62" s="73"/>
      <c r="AC62" s="76"/>
      <c r="AD62" s="74" t="str">
        <f t="shared" si="8"/>
        <v/>
      </c>
      <c r="AE62" s="74" t="str">
        <f t="shared" si="9"/>
        <v/>
      </c>
      <c r="AF62" s="74" t="str">
        <f t="shared" ca="1" si="10"/>
        <v/>
      </c>
      <c r="AG62" s="74" t="str">
        <f t="shared" si="11"/>
        <v/>
      </c>
    </row>
    <row r="63" spans="1:33" x14ac:dyDescent="0.2">
      <c r="A63" s="75"/>
      <c r="B63" s="75"/>
      <c r="C63" s="75"/>
      <c r="D63" s="75"/>
      <c r="E63" s="75"/>
      <c r="F63" s="75"/>
      <c r="G63" s="75"/>
      <c r="H63" s="75"/>
      <c r="I63" s="96"/>
      <c r="J63" s="96"/>
      <c r="K63" s="75"/>
      <c r="L63" s="75"/>
      <c r="M63" s="75"/>
      <c r="N63" s="75"/>
      <c r="O63" s="75"/>
      <c r="P63" s="75"/>
      <c r="Q63" s="96"/>
      <c r="R63" s="96"/>
      <c r="S63" s="75"/>
      <c r="T63" s="75"/>
      <c r="U63" s="75"/>
      <c r="V63" s="75"/>
      <c r="X63" s="166"/>
      <c r="AB63" s="73"/>
      <c r="AC63" s="76"/>
      <c r="AD63" s="74" t="str">
        <f t="shared" si="8"/>
        <v/>
      </c>
      <c r="AE63" s="74" t="str">
        <f t="shared" si="9"/>
        <v/>
      </c>
      <c r="AF63" s="74" t="str">
        <f t="shared" ca="1" si="10"/>
        <v/>
      </c>
      <c r="AG63" s="74" t="str">
        <f t="shared" si="11"/>
        <v/>
      </c>
    </row>
    <row r="64" spans="1:33" x14ac:dyDescent="0.2">
      <c r="A64" s="75"/>
      <c r="B64" s="75"/>
      <c r="C64" s="75"/>
      <c r="D64" s="75"/>
      <c r="E64" s="75"/>
      <c r="F64" s="75"/>
      <c r="G64" s="75"/>
      <c r="H64" s="75"/>
      <c r="I64" s="96"/>
      <c r="J64" s="96"/>
      <c r="K64" s="75"/>
      <c r="L64" s="75"/>
      <c r="M64" s="75"/>
      <c r="N64" s="75"/>
      <c r="O64" s="75"/>
      <c r="P64" s="75"/>
      <c r="Q64" s="96"/>
      <c r="R64" s="96"/>
      <c r="S64" s="75"/>
      <c r="T64" s="75"/>
      <c r="U64" s="75"/>
      <c r="V64" s="75"/>
      <c r="X64" s="166"/>
      <c r="AB64" s="73"/>
      <c r="AC64" s="76"/>
      <c r="AD64" s="74" t="str">
        <f t="shared" si="8"/>
        <v/>
      </c>
      <c r="AE64" s="74" t="str">
        <f t="shared" si="9"/>
        <v/>
      </c>
      <c r="AF64" s="74" t="str">
        <f t="shared" ca="1" si="10"/>
        <v/>
      </c>
      <c r="AG64" s="74" t="str">
        <f t="shared" si="11"/>
        <v/>
      </c>
    </row>
    <row r="65" spans="1:33" x14ac:dyDescent="0.2">
      <c r="A65" s="75"/>
      <c r="B65" s="75"/>
      <c r="C65" s="75"/>
      <c r="D65" s="75"/>
      <c r="E65" s="75"/>
      <c r="F65" s="75"/>
      <c r="G65" s="75"/>
      <c r="H65" s="75"/>
      <c r="I65" s="96"/>
      <c r="J65" s="96"/>
      <c r="K65" s="75"/>
      <c r="L65" s="75"/>
      <c r="M65" s="75"/>
      <c r="N65" s="75"/>
      <c r="O65" s="75"/>
      <c r="P65" s="75"/>
      <c r="Q65" s="96"/>
      <c r="R65" s="96"/>
      <c r="S65" s="75"/>
      <c r="T65" s="75"/>
      <c r="U65" s="75"/>
      <c r="V65" s="75"/>
      <c r="X65" s="166"/>
      <c r="AB65" s="73"/>
      <c r="AC65" s="76"/>
      <c r="AD65" s="74" t="str">
        <f t="shared" si="8"/>
        <v/>
      </c>
      <c r="AE65" s="74" t="str">
        <f t="shared" si="9"/>
        <v/>
      </c>
      <c r="AF65" s="74" t="str">
        <f t="shared" ca="1" si="10"/>
        <v/>
      </c>
      <c r="AG65" s="74" t="str">
        <f t="shared" si="11"/>
        <v/>
      </c>
    </row>
    <row r="66" spans="1:33" x14ac:dyDescent="0.2">
      <c r="A66" s="75"/>
      <c r="B66" s="75"/>
      <c r="C66" s="75"/>
      <c r="D66" s="75"/>
      <c r="E66" s="75"/>
      <c r="F66" s="75"/>
      <c r="G66" s="75"/>
      <c r="H66" s="75"/>
      <c r="I66" s="96"/>
      <c r="J66" s="96"/>
      <c r="K66" s="75"/>
      <c r="L66" s="75"/>
      <c r="M66" s="75"/>
      <c r="N66" s="75"/>
      <c r="O66" s="75"/>
      <c r="P66" s="75"/>
      <c r="Q66" s="96"/>
      <c r="R66" s="96"/>
      <c r="S66" s="75"/>
      <c r="T66" s="75"/>
      <c r="U66" s="75"/>
      <c r="V66" s="75"/>
      <c r="X66" s="166"/>
      <c r="AB66" s="73"/>
      <c r="AC66" s="76"/>
      <c r="AD66" s="74" t="str">
        <f t="shared" si="8"/>
        <v/>
      </c>
      <c r="AE66" s="74" t="str">
        <f t="shared" si="9"/>
        <v/>
      </c>
      <c r="AF66" s="74" t="str">
        <f t="shared" ca="1" si="10"/>
        <v/>
      </c>
      <c r="AG66" s="74" t="str">
        <f t="shared" si="11"/>
        <v/>
      </c>
    </row>
    <row r="67" spans="1:33" x14ac:dyDescent="0.2">
      <c r="A67" s="75"/>
      <c r="B67" s="75"/>
      <c r="C67" s="75"/>
      <c r="D67" s="75"/>
      <c r="E67" s="75"/>
      <c r="F67" s="75"/>
      <c r="G67" s="75"/>
      <c r="H67" s="75"/>
      <c r="I67" s="96"/>
      <c r="J67" s="96"/>
      <c r="K67" s="75"/>
      <c r="L67" s="75"/>
      <c r="M67" s="75"/>
      <c r="N67" s="75"/>
      <c r="O67" s="75"/>
      <c r="P67" s="75"/>
      <c r="Q67" s="96"/>
      <c r="R67" s="96"/>
      <c r="S67" s="75"/>
      <c r="T67" s="75"/>
      <c r="U67" s="75"/>
      <c r="V67" s="75"/>
      <c r="X67" s="166"/>
      <c r="AB67" s="73"/>
      <c r="AC67" s="76"/>
      <c r="AD67" s="74" t="str">
        <f t="shared" si="8"/>
        <v/>
      </c>
      <c r="AE67" s="74" t="str">
        <f t="shared" si="9"/>
        <v/>
      </c>
      <c r="AF67" s="74" t="str">
        <f t="shared" ca="1" si="10"/>
        <v/>
      </c>
      <c r="AG67" s="74" t="str">
        <f t="shared" si="11"/>
        <v/>
      </c>
    </row>
    <row r="68" spans="1:33" x14ac:dyDescent="0.2">
      <c r="A68" s="75"/>
      <c r="B68" s="75"/>
      <c r="C68" s="75"/>
      <c r="D68" s="75"/>
      <c r="E68" s="75"/>
      <c r="F68" s="75"/>
      <c r="G68" s="75"/>
      <c r="H68" s="75"/>
      <c r="I68" s="96"/>
      <c r="J68" s="96"/>
      <c r="K68" s="75"/>
      <c r="L68" s="75"/>
      <c r="M68" s="75"/>
      <c r="N68" s="75"/>
      <c r="O68" s="75"/>
      <c r="P68" s="75"/>
      <c r="Q68" s="96"/>
      <c r="R68" s="96"/>
      <c r="S68" s="75"/>
      <c r="T68" s="75"/>
      <c r="U68" s="75"/>
      <c r="V68" s="75"/>
      <c r="X68" s="166"/>
      <c r="AB68" s="73"/>
      <c r="AC68" s="76"/>
      <c r="AD68" s="74" t="str">
        <f t="shared" si="8"/>
        <v/>
      </c>
      <c r="AE68" s="74" t="str">
        <f t="shared" si="9"/>
        <v/>
      </c>
      <c r="AF68" s="74" t="str">
        <f t="shared" ca="1" si="10"/>
        <v/>
      </c>
      <c r="AG68" s="74" t="str">
        <f t="shared" si="11"/>
        <v/>
      </c>
    </row>
    <row r="69" spans="1:33" x14ac:dyDescent="0.2">
      <c r="A69" s="75"/>
      <c r="B69" s="75"/>
      <c r="C69" s="75"/>
      <c r="D69" s="75"/>
      <c r="E69" s="75"/>
      <c r="F69" s="75"/>
      <c r="G69" s="75"/>
      <c r="H69" s="75"/>
      <c r="I69" s="96"/>
      <c r="J69" s="96"/>
      <c r="K69" s="75"/>
      <c r="L69" s="75"/>
      <c r="M69" s="75"/>
      <c r="N69" s="75"/>
      <c r="O69" s="75"/>
      <c r="P69" s="75"/>
      <c r="Q69" s="96"/>
      <c r="R69" s="96"/>
      <c r="S69" s="75"/>
      <c r="T69" s="75"/>
      <c r="U69" s="75"/>
      <c r="V69" s="75"/>
      <c r="X69" s="166"/>
      <c r="AB69" s="73"/>
      <c r="AC69" s="76"/>
      <c r="AD69" s="74" t="str">
        <f t="shared" si="8"/>
        <v/>
      </c>
      <c r="AE69" s="74" t="str">
        <f t="shared" si="9"/>
        <v/>
      </c>
      <c r="AF69" s="74" t="str">
        <f t="shared" ca="1" si="10"/>
        <v/>
      </c>
      <c r="AG69" s="74" t="str">
        <f t="shared" si="11"/>
        <v/>
      </c>
    </row>
    <row r="70" spans="1:33" x14ac:dyDescent="0.2">
      <c r="A70" s="75"/>
      <c r="B70" s="75"/>
      <c r="C70" s="75"/>
      <c r="D70" s="75"/>
      <c r="E70" s="75"/>
      <c r="F70" s="75"/>
      <c r="G70" s="75"/>
      <c r="H70" s="75"/>
      <c r="I70" s="96"/>
      <c r="J70" s="96"/>
      <c r="K70" s="75"/>
      <c r="L70" s="75"/>
      <c r="M70" s="75"/>
      <c r="N70" s="75"/>
      <c r="O70" s="75"/>
      <c r="P70" s="75"/>
      <c r="Q70" s="96"/>
      <c r="R70" s="96"/>
      <c r="S70" s="75"/>
      <c r="T70" s="75"/>
      <c r="U70" s="75"/>
      <c r="V70" s="75"/>
      <c r="X70" s="166"/>
      <c r="AB70" s="73"/>
      <c r="AC70" s="76"/>
      <c r="AD70" s="74" t="str">
        <f t="shared" si="8"/>
        <v/>
      </c>
      <c r="AE70" s="74" t="str">
        <f t="shared" si="9"/>
        <v/>
      </c>
      <c r="AF70" s="74" t="str">
        <f t="shared" ca="1" si="10"/>
        <v/>
      </c>
      <c r="AG70" s="74" t="str">
        <f t="shared" si="11"/>
        <v/>
      </c>
    </row>
    <row r="71" spans="1:33" x14ac:dyDescent="0.2">
      <c r="A71" s="75"/>
      <c r="B71" s="75"/>
      <c r="C71" s="75"/>
      <c r="D71" s="75"/>
      <c r="E71" s="75"/>
      <c r="F71" s="75"/>
      <c r="G71" s="75"/>
      <c r="H71" s="75"/>
      <c r="I71" s="96"/>
      <c r="J71" s="96"/>
      <c r="K71" s="75"/>
      <c r="L71" s="75"/>
      <c r="M71" s="75"/>
      <c r="N71" s="75"/>
      <c r="O71" s="75"/>
      <c r="P71" s="75"/>
      <c r="Q71" s="96"/>
      <c r="R71" s="96"/>
      <c r="S71" s="75"/>
      <c r="T71" s="75"/>
      <c r="U71" s="75"/>
      <c r="V71" s="75"/>
      <c r="X71" s="166"/>
      <c r="AB71" s="73"/>
      <c r="AC71" s="76"/>
      <c r="AD71" s="74" t="str">
        <f t="shared" si="8"/>
        <v/>
      </c>
      <c r="AE71" s="74" t="str">
        <f t="shared" si="9"/>
        <v/>
      </c>
      <c r="AF71" s="74" t="str">
        <f t="shared" ca="1" si="10"/>
        <v/>
      </c>
      <c r="AG71" s="74" t="str">
        <f t="shared" si="11"/>
        <v/>
      </c>
    </row>
    <row r="72" spans="1:33" x14ac:dyDescent="0.2">
      <c r="A72" s="75"/>
      <c r="B72" s="75"/>
      <c r="C72" s="75"/>
      <c r="D72" s="75"/>
      <c r="E72" s="75"/>
      <c r="F72" s="75"/>
      <c r="G72" s="75"/>
      <c r="H72" s="75"/>
      <c r="I72" s="96"/>
      <c r="J72" s="96"/>
      <c r="K72" s="75"/>
      <c r="L72" s="75"/>
      <c r="M72" s="75"/>
      <c r="N72" s="75"/>
      <c r="O72" s="75"/>
      <c r="P72" s="75"/>
      <c r="Q72" s="96"/>
      <c r="R72" s="96"/>
      <c r="S72" s="75"/>
      <c r="T72" s="75"/>
      <c r="U72" s="75"/>
      <c r="V72" s="75"/>
      <c r="X72" s="166"/>
      <c r="AB72" s="73"/>
      <c r="AC72" s="76"/>
      <c r="AD72" s="74" t="str">
        <f t="shared" si="8"/>
        <v/>
      </c>
      <c r="AE72" s="74" t="str">
        <f t="shared" si="9"/>
        <v/>
      </c>
      <c r="AF72" s="74" t="str">
        <f t="shared" ca="1" si="10"/>
        <v/>
      </c>
      <c r="AG72" s="74" t="str">
        <f t="shared" si="11"/>
        <v/>
      </c>
    </row>
    <row r="73" spans="1:33" x14ac:dyDescent="0.2">
      <c r="A73" s="75"/>
      <c r="B73" s="75"/>
      <c r="C73" s="75"/>
      <c r="D73" s="75"/>
      <c r="E73" s="75"/>
      <c r="F73" s="75"/>
      <c r="G73" s="75"/>
      <c r="H73" s="75"/>
      <c r="I73" s="96"/>
      <c r="J73" s="96"/>
      <c r="K73" s="75"/>
      <c r="L73" s="75"/>
      <c r="M73" s="75"/>
      <c r="N73" s="75"/>
      <c r="O73" s="75"/>
      <c r="P73" s="75"/>
      <c r="Q73" s="96"/>
      <c r="R73" s="96"/>
      <c r="S73" s="75"/>
      <c r="T73" s="75"/>
      <c r="U73" s="75"/>
      <c r="V73" s="75"/>
      <c r="X73" s="166"/>
      <c r="AB73" s="73"/>
      <c r="AC73" s="76"/>
      <c r="AD73" s="74" t="str">
        <f t="shared" si="8"/>
        <v/>
      </c>
      <c r="AE73" s="74" t="str">
        <f t="shared" si="9"/>
        <v/>
      </c>
      <c r="AF73" s="74" t="str">
        <f t="shared" ca="1" si="10"/>
        <v/>
      </c>
      <c r="AG73" s="74" t="str">
        <f t="shared" si="11"/>
        <v/>
      </c>
    </row>
    <row r="74" spans="1:33" x14ac:dyDescent="0.2">
      <c r="A74" s="75"/>
      <c r="B74" s="75"/>
      <c r="C74" s="75"/>
      <c r="D74" s="75"/>
      <c r="E74" s="75"/>
      <c r="F74" s="75"/>
      <c r="G74" s="75"/>
      <c r="H74" s="75"/>
      <c r="I74" s="96"/>
      <c r="J74" s="96"/>
      <c r="K74" s="75"/>
      <c r="L74" s="75"/>
      <c r="M74" s="75"/>
      <c r="N74" s="75"/>
      <c r="O74" s="75"/>
      <c r="P74" s="75"/>
      <c r="Q74" s="96"/>
      <c r="R74" s="96"/>
      <c r="S74" s="75"/>
      <c r="T74" s="75"/>
      <c r="U74" s="75"/>
      <c r="V74" s="75"/>
      <c r="X74" s="166"/>
      <c r="AB74" s="73"/>
      <c r="AC74" s="76"/>
      <c r="AD74" s="74" t="str">
        <f t="shared" si="8"/>
        <v/>
      </c>
      <c r="AE74" s="74" t="str">
        <f t="shared" si="9"/>
        <v/>
      </c>
      <c r="AF74" s="74" t="str">
        <f t="shared" ca="1" si="10"/>
        <v/>
      </c>
      <c r="AG74" s="74" t="str">
        <f t="shared" si="11"/>
        <v/>
      </c>
    </row>
    <row r="75" spans="1:33" x14ac:dyDescent="0.2">
      <c r="A75" s="75"/>
      <c r="B75" s="75"/>
      <c r="C75" s="75"/>
      <c r="D75" s="75"/>
      <c r="E75" s="75"/>
      <c r="F75" s="75"/>
      <c r="G75" s="75"/>
      <c r="H75" s="75"/>
      <c r="I75" s="96"/>
      <c r="J75" s="96"/>
      <c r="K75" s="75"/>
      <c r="L75" s="75"/>
      <c r="M75" s="75"/>
      <c r="N75" s="75"/>
      <c r="O75" s="75"/>
      <c r="P75" s="75"/>
      <c r="Q75" s="96"/>
      <c r="R75" s="96"/>
      <c r="S75" s="75"/>
      <c r="T75" s="75"/>
      <c r="U75" s="75"/>
      <c r="V75" s="75"/>
      <c r="X75" s="166"/>
      <c r="AB75" s="73"/>
      <c r="AC75" s="76"/>
      <c r="AD75" s="74" t="str">
        <f t="shared" si="8"/>
        <v/>
      </c>
      <c r="AE75" s="74" t="str">
        <f t="shared" si="9"/>
        <v/>
      </c>
      <c r="AF75" s="74" t="str">
        <f t="shared" ca="1" si="10"/>
        <v/>
      </c>
      <c r="AG75" s="74" t="str">
        <f t="shared" si="11"/>
        <v/>
      </c>
    </row>
    <row r="76" spans="1:33" x14ac:dyDescent="0.2">
      <c r="A76" s="75"/>
      <c r="B76" s="75"/>
      <c r="C76" s="75"/>
      <c r="D76" s="75"/>
      <c r="E76" s="75"/>
      <c r="F76" s="75"/>
      <c r="G76" s="75"/>
      <c r="H76" s="75"/>
      <c r="I76" s="96"/>
      <c r="J76" s="96"/>
      <c r="K76" s="75"/>
      <c r="L76" s="75"/>
      <c r="M76" s="75"/>
      <c r="N76" s="75"/>
      <c r="O76" s="75"/>
      <c r="P76" s="75"/>
      <c r="Q76" s="96"/>
      <c r="R76" s="96"/>
      <c r="S76" s="75"/>
      <c r="T76" s="75"/>
      <c r="U76" s="75"/>
      <c r="V76" s="75"/>
      <c r="X76" s="166"/>
      <c r="AB76" s="73"/>
      <c r="AC76" s="76"/>
      <c r="AD76" s="74" t="str">
        <f t="shared" si="8"/>
        <v/>
      </c>
      <c r="AE76" s="74" t="str">
        <f t="shared" si="9"/>
        <v/>
      </c>
      <c r="AF76" s="74" t="str">
        <f t="shared" ca="1" si="10"/>
        <v/>
      </c>
      <c r="AG76" s="74" t="str">
        <f t="shared" si="11"/>
        <v/>
      </c>
    </row>
    <row r="77" spans="1:33" x14ac:dyDescent="0.2">
      <c r="A77" s="75"/>
      <c r="B77" s="75"/>
      <c r="C77" s="75"/>
      <c r="D77" s="75"/>
      <c r="E77" s="75"/>
      <c r="F77" s="75"/>
      <c r="G77" s="75"/>
      <c r="H77" s="75"/>
      <c r="I77" s="96"/>
      <c r="J77" s="96"/>
      <c r="K77" s="75"/>
      <c r="L77" s="75"/>
      <c r="M77" s="75"/>
      <c r="N77" s="75"/>
      <c r="O77" s="75"/>
      <c r="P77" s="75"/>
      <c r="Q77" s="96"/>
      <c r="R77" s="96"/>
      <c r="S77" s="75"/>
      <c r="T77" s="75"/>
      <c r="U77" s="75"/>
      <c r="V77" s="75"/>
      <c r="X77" s="166"/>
      <c r="AB77" s="73"/>
      <c r="AC77" s="76"/>
      <c r="AD77" s="74" t="str">
        <f t="shared" si="8"/>
        <v/>
      </c>
      <c r="AE77" s="74" t="str">
        <f t="shared" si="9"/>
        <v/>
      </c>
      <c r="AF77" s="74" t="str">
        <f t="shared" ca="1" si="10"/>
        <v/>
      </c>
      <c r="AG77" s="74" t="str">
        <f t="shared" si="11"/>
        <v/>
      </c>
    </row>
    <row r="78" spans="1:33" x14ac:dyDescent="0.2">
      <c r="A78" s="75"/>
      <c r="B78" s="75"/>
      <c r="C78" s="75"/>
      <c r="D78" s="75"/>
      <c r="E78" s="75"/>
      <c r="F78" s="75"/>
      <c r="G78" s="75"/>
      <c r="H78" s="75"/>
      <c r="I78" s="96"/>
      <c r="J78" s="96"/>
      <c r="K78" s="75"/>
      <c r="L78" s="75"/>
      <c r="M78" s="75"/>
      <c r="N78" s="75"/>
      <c r="O78" s="75"/>
      <c r="P78" s="75"/>
      <c r="Q78" s="96"/>
      <c r="R78" s="96"/>
      <c r="S78" s="75"/>
      <c r="T78" s="75"/>
      <c r="U78" s="75"/>
      <c r="V78" s="75"/>
      <c r="X78" s="166"/>
      <c r="AB78" s="73"/>
      <c r="AC78" s="76"/>
      <c r="AD78" s="74" t="str">
        <f t="shared" si="8"/>
        <v/>
      </c>
      <c r="AE78" s="74" t="str">
        <f t="shared" si="9"/>
        <v/>
      </c>
      <c r="AF78" s="74" t="str">
        <f t="shared" ca="1" si="10"/>
        <v/>
      </c>
      <c r="AG78" s="74" t="str">
        <f t="shared" si="11"/>
        <v/>
      </c>
    </row>
    <row r="79" spans="1:33" x14ac:dyDescent="0.2">
      <c r="A79" s="75"/>
      <c r="B79" s="75"/>
      <c r="C79" s="75"/>
      <c r="D79" s="75"/>
      <c r="E79" s="75"/>
      <c r="F79" s="75"/>
      <c r="G79" s="75"/>
      <c r="H79" s="75"/>
      <c r="I79" s="96"/>
      <c r="J79" s="96"/>
      <c r="K79" s="75"/>
      <c r="L79" s="75"/>
      <c r="M79" s="75"/>
      <c r="N79" s="75"/>
      <c r="O79" s="75"/>
      <c r="P79" s="75"/>
      <c r="Q79" s="96"/>
      <c r="R79" s="96"/>
      <c r="S79" s="75"/>
      <c r="T79" s="75"/>
      <c r="U79" s="75"/>
      <c r="V79" s="75"/>
      <c r="X79" s="166"/>
      <c r="AB79" s="73"/>
      <c r="AC79" s="76"/>
      <c r="AD79" s="74" t="str">
        <f t="shared" si="8"/>
        <v/>
      </c>
      <c r="AE79" s="74" t="str">
        <f t="shared" si="9"/>
        <v/>
      </c>
      <c r="AF79" s="74" t="str">
        <f t="shared" ca="1" si="10"/>
        <v/>
      </c>
      <c r="AG79" s="74" t="str">
        <f t="shared" si="11"/>
        <v/>
      </c>
    </row>
    <row r="80" spans="1:33" x14ac:dyDescent="0.2">
      <c r="A80" s="75"/>
      <c r="B80" s="75"/>
      <c r="C80" s="75"/>
      <c r="D80" s="75"/>
      <c r="E80" s="75"/>
      <c r="F80" s="75"/>
      <c r="G80" s="75"/>
      <c r="H80" s="75"/>
      <c r="I80" s="96"/>
      <c r="J80" s="96"/>
      <c r="K80" s="75"/>
      <c r="L80" s="75"/>
      <c r="M80" s="75"/>
      <c r="N80" s="75"/>
      <c r="O80" s="75"/>
      <c r="P80" s="75"/>
      <c r="Q80" s="96"/>
      <c r="R80" s="96"/>
      <c r="S80" s="75"/>
      <c r="T80" s="75"/>
      <c r="U80" s="75"/>
      <c r="V80" s="75"/>
      <c r="X80" s="166"/>
      <c r="AB80" s="73"/>
      <c r="AC80" s="76"/>
      <c r="AD80" s="74" t="str">
        <f t="shared" si="8"/>
        <v/>
      </c>
      <c r="AE80" s="74" t="str">
        <f t="shared" si="9"/>
        <v/>
      </c>
      <c r="AF80" s="74" t="str">
        <f t="shared" ca="1" si="10"/>
        <v/>
      </c>
      <c r="AG80" s="74" t="str">
        <f t="shared" si="11"/>
        <v/>
      </c>
    </row>
    <row r="81" spans="1:33" x14ac:dyDescent="0.2">
      <c r="A81" s="75"/>
      <c r="B81" s="75"/>
      <c r="C81" s="75"/>
      <c r="D81" s="75"/>
      <c r="E81" s="75"/>
      <c r="F81" s="75"/>
      <c r="G81" s="75"/>
      <c r="H81" s="75"/>
      <c r="I81" s="96"/>
      <c r="J81" s="96"/>
      <c r="K81" s="75"/>
      <c r="L81" s="75"/>
      <c r="M81" s="75"/>
      <c r="N81" s="75"/>
      <c r="O81" s="75"/>
      <c r="P81" s="75"/>
      <c r="Q81" s="96"/>
      <c r="R81" s="96"/>
      <c r="S81" s="75"/>
      <c r="T81" s="75"/>
      <c r="U81" s="75"/>
      <c r="V81" s="75"/>
      <c r="X81" s="166"/>
      <c r="AB81" s="73"/>
      <c r="AC81" s="76"/>
      <c r="AD81" s="74" t="str">
        <f t="shared" si="8"/>
        <v/>
      </c>
      <c r="AE81" s="74" t="str">
        <f t="shared" si="9"/>
        <v/>
      </c>
      <c r="AF81" s="74" t="str">
        <f t="shared" ca="1" si="10"/>
        <v/>
      </c>
      <c r="AG81" s="74" t="str">
        <f t="shared" si="11"/>
        <v/>
      </c>
    </row>
    <row r="82" spans="1:33" x14ac:dyDescent="0.2">
      <c r="A82" s="75"/>
      <c r="B82" s="75"/>
      <c r="C82" s="75"/>
      <c r="D82" s="75"/>
      <c r="E82" s="75"/>
      <c r="F82" s="75"/>
      <c r="G82" s="75"/>
      <c r="H82" s="75"/>
      <c r="I82" s="96"/>
      <c r="J82" s="96"/>
      <c r="K82" s="75"/>
      <c r="L82" s="75"/>
      <c r="M82" s="75"/>
      <c r="N82" s="75"/>
      <c r="O82" s="75"/>
      <c r="P82" s="75"/>
      <c r="Q82" s="96"/>
      <c r="R82" s="96"/>
      <c r="S82" s="75"/>
      <c r="T82" s="75"/>
      <c r="U82" s="75"/>
      <c r="V82" s="75"/>
      <c r="X82" s="166"/>
      <c r="AB82" s="73"/>
      <c r="AC82" s="76"/>
      <c r="AD82" s="74" t="str">
        <f t="shared" si="8"/>
        <v/>
      </c>
      <c r="AE82" s="74" t="str">
        <f t="shared" si="9"/>
        <v/>
      </c>
      <c r="AF82" s="74" t="str">
        <f t="shared" ca="1" si="10"/>
        <v/>
      </c>
      <c r="AG82" s="74" t="str">
        <f t="shared" si="11"/>
        <v/>
      </c>
    </row>
    <row r="83" spans="1:33" x14ac:dyDescent="0.2">
      <c r="A83" s="75"/>
      <c r="B83" s="75"/>
      <c r="C83" s="75"/>
      <c r="D83" s="75"/>
      <c r="E83" s="75"/>
      <c r="F83" s="75"/>
      <c r="G83" s="75"/>
      <c r="H83" s="75"/>
      <c r="I83" s="96"/>
      <c r="J83" s="96"/>
      <c r="K83" s="75"/>
      <c r="L83" s="75"/>
      <c r="M83" s="75"/>
      <c r="N83" s="75"/>
      <c r="O83" s="75"/>
      <c r="P83" s="75"/>
      <c r="Q83" s="96"/>
      <c r="R83" s="96"/>
      <c r="S83" s="75"/>
      <c r="T83" s="75"/>
      <c r="U83" s="75"/>
      <c r="V83" s="75"/>
      <c r="X83" s="166"/>
      <c r="AB83" s="73"/>
      <c r="AC83" s="76"/>
      <c r="AD83" s="74" t="str">
        <f t="shared" si="8"/>
        <v/>
      </c>
      <c r="AE83" s="74" t="str">
        <f t="shared" si="9"/>
        <v/>
      </c>
      <c r="AF83" s="74" t="str">
        <f t="shared" ca="1" si="10"/>
        <v/>
      </c>
      <c r="AG83" s="74" t="str">
        <f t="shared" si="11"/>
        <v/>
      </c>
    </row>
    <row r="84" spans="1:33" x14ac:dyDescent="0.2">
      <c r="A84" s="75"/>
      <c r="B84" s="75"/>
      <c r="C84" s="75"/>
      <c r="D84" s="75"/>
      <c r="E84" s="75"/>
      <c r="F84" s="75"/>
      <c r="G84" s="75"/>
      <c r="H84" s="75"/>
      <c r="I84" s="96"/>
      <c r="J84" s="96"/>
      <c r="K84" s="75"/>
      <c r="L84" s="75"/>
      <c r="M84" s="75"/>
      <c r="N84" s="75"/>
      <c r="O84" s="75"/>
      <c r="P84" s="75"/>
      <c r="Q84" s="96"/>
      <c r="R84" s="96"/>
      <c r="S84" s="75"/>
      <c r="T84" s="75"/>
      <c r="U84" s="75"/>
      <c r="V84" s="75"/>
      <c r="X84" s="166"/>
      <c r="AB84" s="73"/>
      <c r="AC84" s="76"/>
      <c r="AD84" s="74" t="str">
        <f t="shared" si="8"/>
        <v/>
      </c>
      <c r="AE84" s="74" t="str">
        <f t="shared" si="9"/>
        <v/>
      </c>
      <c r="AF84" s="74" t="str">
        <f t="shared" ca="1" si="10"/>
        <v/>
      </c>
      <c r="AG84" s="74" t="str">
        <f t="shared" si="11"/>
        <v/>
      </c>
    </row>
    <row r="85" spans="1:33" x14ac:dyDescent="0.2">
      <c r="A85" s="75"/>
      <c r="B85" s="75"/>
      <c r="C85" s="75"/>
      <c r="D85" s="75"/>
      <c r="E85" s="75"/>
      <c r="F85" s="75"/>
      <c r="G85" s="75"/>
      <c r="H85" s="75"/>
      <c r="I85" s="96"/>
      <c r="J85" s="96"/>
      <c r="K85" s="75"/>
      <c r="L85" s="75"/>
      <c r="M85" s="75"/>
      <c r="N85" s="75"/>
      <c r="O85" s="75"/>
      <c r="P85" s="75"/>
      <c r="Q85" s="96"/>
      <c r="R85" s="96"/>
      <c r="S85" s="75"/>
      <c r="T85" s="75"/>
      <c r="U85" s="75"/>
      <c r="V85" s="75"/>
      <c r="X85" s="166"/>
      <c r="AB85" s="73"/>
      <c r="AC85" s="76"/>
      <c r="AD85" s="74" t="str">
        <f t="shared" si="8"/>
        <v/>
      </c>
      <c r="AE85" s="74" t="str">
        <f t="shared" si="9"/>
        <v/>
      </c>
      <c r="AF85" s="74" t="str">
        <f t="shared" ca="1" si="10"/>
        <v/>
      </c>
      <c r="AG85" s="74" t="str">
        <f t="shared" si="11"/>
        <v/>
      </c>
    </row>
    <row r="86" spans="1:33" x14ac:dyDescent="0.2">
      <c r="A86" s="75"/>
      <c r="B86" s="75"/>
      <c r="C86" s="75"/>
      <c r="D86" s="75"/>
      <c r="E86" s="75"/>
      <c r="F86" s="75"/>
      <c r="G86" s="75"/>
      <c r="H86" s="75"/>
      <c r="I86" s="96"/>
      <c r="J86" s="96"/>
      <c r="K86" s="75"/>
      <c r="L86" s="75"/>
      <c r="M86" s="75"/>
      <c r="N86" s="75"/>
      <c r="O86" s="75"/>
      <c r="P86" s="75"/>
      <c r="Q86" s="96"/>
      <c r="R86" s="96"/>
      <c r="S86" s="75"/>
      <c r="T86" s="75"/>
      <c r="U86" s="75"/>
      <c r="V86" s="75"/>
      <c r="X86" s="166"/>
      <c r="AB86" s="73"/>
      <c r="AC86" s="76"/>
      <c r="AD86" s="74" t="str">
        <f t="shared" si="8"/>
        <v/>
      </c>
      <c r="AE86" s="74" t="str">
        <f t="shared" si="9"/>
        <v/>
      </c>
      <c r="AF86" s="74" t="str">
        <f t="shared" ca="1" si="10"/>
        <v/>
      </c>
      <c r="AG86" s="74" t="str">
        <f t="shared" si="11"/>
        <v/>
      </c>
    </row>
    <row r="87" spans="1:33" x14ac:dyDescent="0.2">
      <c r="A87" s="75"/>
      <c r="B87" s="75"/>
      <c r="C87" s="75"/>
      <c r="D87" s="75"/>
      <c r="E87" s="75"/>
      <c r="F87" s="75"/>
      <c r="G87" s="75"/>
      <c r="H87" s="75"/>
      <c r="I87" s="96"/>
      <c r="J87" s="96"/>
      <c r="K87" s="75"/>
      <c r="L87" s="75"/>
      <c r="M87" s="75"/>
      <c r="N87" s="75"/>
      <c r="O87" s="75"/>
      <c r="P87" s="75"/>
      <c r="Q87" s="96"/>
      <c r="R87" s="96"/>
      <c r="S87" s="75"/>
      <c r="T87" s="75"/>
      <c r="U87" s="75"/>
      <c r="V87" s="75"/>
      <c r="X87" s="166"/>
      <c r="AB87" s="73"/>
      <c r="AC87" s="76"/>
      <c r="AD87" s="74" t="str">
        <f t="shared" si="8"/>
        <v/>
      </c>
      <c r="AE87" s="74" t="str">
        <f t="shared" si="9"/>
        <v/>
      </c>
      <c r="AF87" s="74" t="str">
        <f t="shared" ca="1" si="10"/>
        <v/>
      </c>
      <c r="AG87" s="74" t="str">
        <f t="shared" si="11"/>
        <v/>
      </c>
    </row>
    <row r="88" spans="1:33" x14ac:dyDescent="0.2">
      <c r="A88" s="75"/>
      <c r="B88" s="75"/>
      <c r="C88" s="75"/>
      <c r="D88" s="75"/>
      <c r="E88" s="75"/>
      <c r="F88" s="75"/>
      <c r="G88" s="75"/>
      <c r="H88" s="75"/>
      <c r="I88" s="96"/>
      <c r="J88" s="96"/>
      <c r="K88" s="75"/>
      <c r="L88" s="75"/>
      <c r="M88" s="75"/>
      <c r="N88" s="75"/>
      <c r="O88" s="75"/>
      <c r="P88" s="75"/>
      <c r="Q88" s="96"/>
      <c r="R88" s="96"/>
      <c r="S88" s="75"/>
      <c r="T88" s="75"/>
      <c r="U88" s="75"/>
      <c r="V88" s="75"/>
      <c r="X88" s="166"/>
      <c r="AB88" s="73"/>
      <c r="AC88" s="76"/>
      <c r="AD88" s="74" t="str">
        <f t="shared" si="8"/>
        <v/>
      </c>
      <c r="AE88" s="74" t="str">
        <f t="shared" si="9"/>
        <v/>
      </c>
      <c r="AF88" s="74" t="str">
        <f t="shared" ca="1" si="10"/>
        <v/>
      </c>
      <c r="AG88" s="74" t="str">
        <f t="shared" si="11"/>
        <v/>
      </c>
    </row>
    <row r="89" spans="1:33" x14ac:dyDescent="0.2">
      <c r="A89" s="75"/>
      <c r="B89" s="75"/>
      <c r="C89" s="75"/>
      <c r="D89" s="75"/>
      <c r="E89" s="75"/>
      <c r="F89" s="75"/>
      <c r="G89" s="75"/>
      <c r="H89" s="75"/>
      <c r="I89" s="96"/>
      <c r="J89" s="96"/>
      <c r="K89" s="75"/>
      <c r="L89" s="75"/>
      <c r="M89" s="75"/>
      <c r="N89" s="75"/>
      <c r="O89" s="75"/>
      <c r="P89" s="75"/>
      <c r="Q89" s="96"/>
      <c r="R89" s="96"/>
      <c r="S89" s="75"/>
      <c r="T89" s="75"/>
      <c r="U89" s="75"/>
      <c r="V89" s="75"/>
      <c r="X89" s="166"/>
      <c r="AB89" s="73"/>
      <c r="AC89" s="76"/>
      <c r="AD89" s="74" t="str">
        <f t="shared" si="8"/>
        <v/>
      </c>
      <c r="AE89" s="74" t="str">
        <f t="shared" si="9"/>
        <v/>
      </c>
      <c r="AF89" s="74" t="str">
        <f t="shared" ca="1" si="10"/>
        <v/>
      </c>
      <c r="AG89" s="74" t="str">
        <f t="shared" si="11"/>
        <v/>
      </c>
    </row>
    <row r="90" spans="1:33" x14ac:dyDescent="0.2">
      <c r="A90" s="75"/>
      <c r="B90" s="75"/>
      <c r="C90" s="75"/>
      <c r="D90" s="75"/>
      <c r="E90" s="75"/>
      <c r="F90" s="75"/>
      <c r="G90" s="75"/>
      <c r="H90" s="75"/>
      <c r="I90" s="96"/>
      <c r="J90" s="96"/>
      <c r="K90" s="75"/>
      <c r="L90" s="75"/>
      <c r="M90" s="75"/>
      <c r="N90" s="75"/>
      <c r="O90" s="75"/>
      <c r="P90" s="75"/>
      <c r="Q90" s="96"/>
      <c r="R90" s="96"/>
      <c r="S90" s="75"/>
      <c r="T90" s="75"/>
      <c r="U90" s="75"/>
      <c r="V90" s="75"/>
      <c r="X90" s="166"/>
      <c r="AB90" s="73"/>
      <c r="AC90" s="76"/>
      <c r="AD90" s="74" t="str">
        <f t="shared" si="8"/>
        <v/>
      </c>
      <c r="AE90" s="74" t="str">
        <f t="shared" si="9"/>
        <v/>
      </c>
      <c r="AF90" s="74" t="str">
        <f t="shared" ca="1" si="10"/>
        <v/>
      </c>
      <c r="AG90" s="74" t="str">
        <f t="shared" si="11"/>
        <v/>
      </c>
    </row>
    <row r="91" spans="1:33" x14ac:dyDescent="0.2">
      <c r="A91" s="75"/>
      <c r="B91" s="75"/>
      <c r="C91" s="75"/>
      <c r="D91" s="75"/>
      <c r="E91" s="75"/>
      <c r="F91" s="75"/>
      <c r="G91" s="75"/>
      <c r="H91" s="75"/>
      <c r="I91" s="96"/>
      <c r="J91" s="96"/>
      <c r="K91" s="75"/>
      <c r="L91" s="75"/>
      <c r="M91" s="75"/>
      <c r="N91" s="75"/>
      <c r="O91" s="75"/>
      <c r="P91" s="75"/>
      <c r="Q91" s="96"/>
      <c r="R91" s="96"/>
      <c r="S91" s="75"/>
      <c r="T91" s="75"/>
      <c r="U91" s="75"/>
      <c r="V91" s="75"/>
      <c r="X91" s="166"/>
      <c r="AB91" s="73"/>
      <c r="AC91" s="76"/>
      <c r="AD91" s="74" t="str">
        <f t="shared" si="8"/>
        <v/>
      </c>
      <c r="AE91" s="74" t="str">
        <f t="shared" si="9"/>
        <v/>
      </c>
      <c r="AF91" s="74" t="str">
        <f t="shared" ca="1" si="10"/>
        <v/>
      </c>
      <c r="AG91" s="74" t="str">
        <f t="shared" si="11"/>
        <v/>
      </c>
    </row>
    <row r="92" spans="1:33" x14ac:dyDescent="0.2">
      <c r="A92" s="75"/>
      <c r="B92" s="75"/>
      <c r="C92" s="75"/>
      <c r="D92" s="75"/>
      <c r="E92" s="75"/>
      <c r="F92" s="75"/>
      <c r="G92" s="75"/>
      <c r="H92" s="75"/>
      <c r="I92" s="96"/>
      <c r="J92" s="96"/>
      <c r="K92" s="75"/>
      <c r="L92" s="75"/>
      <c r="M92" s="75"/>
      <c r="N92" s="75"/>
      <c r="O92" s="75"/>
      <c r="P92" s="75"/>
      <c r="Q92" s="96"/>
      <c r="R92" s="96"/>
      <c r="S92" s="75"/>
      <c r="T92" s="75"/>
      <c r="U92" s="75"/>
      <c r="V92" s="75"/>
      <c r="X92" s="166"/>
      <c r="AB92" s="73"/>
      <c r="AC92" s="76"/>
      <c r="AD92" s="74" t="str">
        <f t="shared" si="8"/>
        <v/>
      </c>
      <c r="AE92" s="74" t="str">
        <f t="shared" si="9"/>
        <v/>
      </c>
      <c r="AF92" s="74" t="str">
        <f t="shared" ca="1" si="10"/>
        <v/>
      </c>
      <c r="AG92" s="74" t="str">
        <f t="shared" si="11"/>
        <v/>
      </c>
    </row>
    <row r="93" spans="1:33" x14ac:dyDescent="0.2">
      <c r="A93" s="75"/>
      <c r="B93" s="75"/>
      <c r="C93" s="75"/>
      <c r="D93" s="75"/>
      <c r="E93" s="75"/>
      <c r="F93" s="75"/>
      <c r="G93" s="75"/>
      <c r="H93" s="75"/>
      <c r="I93" s="96"/>
      <c r="J93" s="96"/>
      <c r="K93" s="75"/>
      <c r="L93" s="75"/>
      <c r="M93" s="75"/>
      <c r="N93" s="75"/>
      <c r="O93" s="75"/>
      <c r="P93" s="75"/>
      <c r="Q93" s="96"/>
      <c r="R93" s="96"/>
      <c r="S93" s="75"/>
      <c r="T93" s="75"/>
      <c r="U93" s="75"/>
      <c r="V93" s="75"/>
      <c r="X93" s="166"/>
      <c r="AB93" s="73"/>
      <c r="AC93" s="76"/>
      <c r="AD93" s="74" t="str">
        <f t="shared" si="8"/>
        <v/>
      </c>
      <c r="AE93" s="74" t="str">
        <f t="shared" si="9"/>
        <v/>
      </c>
      <c r="AF93" s="74" t="str">
        <f t="shared" ca="1" si="10"/>
        <v/>
      </c>
      <c r="AG93" s="74" t="str">
        <f t="shared" si="11"/>
        <v/>
      </c>
    </row>
    <row r="94" spans="1:33" x14ac:dyDescent="0.2">
      <c r="A94" s="75"/>
      <c r="B94" s="75"/>
      <c r="C94" s="75"/>
      <c r="D94" s="75"/>
      <c r="E94" s="75"/>
      <c r="F94" s="75"/>
      <c r="G94" s="75"/>
      <c r="H94" s="75"/>
      <c r="I94" s="96"/>
      <c r="J94" s="96"/>
      <c r="K94" s="75"/>
      <c r="L94" s="75"/>
      <c r="M94" s="75"/>
      <c r="N94" s="75"/>
      <c r="O94" s="75"/>
      <c r="P94" s="75"/>
      <c r="Q94" s="96"/>
      <c r="R94" s="96"/>
      <c r="S94" s="75"/>
      <c r="T94" s="75"/>
      <c r="U94" s="75"/>
      <c r="V94" s="75"/>
      <c r="X94" s="166"/>
      <c r="AB94" s="73"/>
      <c r="AC94" s="76"/>
      <c r="AD94" s="74" t="str">
        <f t="shared" si="8"/>
        <v/>
      </c>
      <c r="AE94" s="74" t="str">
        <f t="shared" si="9"/>
        <v/>
      </c>
      <c r="AF94" s="74" t="str">
        <f t="shared" ca="1" si="10"/>
        <v/>
      </c>
      <c r="AG94" s="74" t="str">
        <f t="shared" si="11"/>
        <v/>
      </c>
    </row>
    <row r="95" spans="1:33" x14ac:dyDescent="0.2">
      <c r="A95" s="75"/>
      <c r="B95" s="75"/>
      <c r="C95" s="75"/>
      <c r="D95" s="75"/>
      <c r="E95" s="75"/>
      <c r="F95" s="75"/>
      <c r="G95" s="75"/>
      <c r="H95" s="75"/>
      <c r="I95" s="96"/>
      <c r="J95" s="96"/>
      <c r="K95" s="75"/>
      <c r="L95" s="75"/>
      <c r="M95" s="75"/>
      <c r="N95" s="75"/>
      <c r="O95" s="75"/>
      <c r="P95" s="75"/>
      <c r="Q95" s="96"/>
      <c r="R95" s="96"/>
      <c r="S95" s="75"/>
      <c r="T95" s="75"/>
      <c r="U95" s="75"/>
      <c r="V95" s="75"/>
      <c r="X95" s="166"/>
      <c r="AB95" s="73"/>
      <c r="AC95" s="76"/>
      <c r="AD95" s="74" t="str">
        <f t="shared" si="8"/>
        <v/>
      </c>
      <c r="AE95" s="74" t="str">
        <f t="shared" si="9"/>
        <v/>
      </c>
      <c r="AF95" s="74" t="str">
        <f t="shared" ca="1" si="10"/>
        <v/>
      </c>
      <c r="AG95" s="74" t="str">
        <f t="shared" si="11"/>
        <v/>
      </c>
    </row>
    <row r="96" spans="1:33" x14ac:dyDescent="0.2">
      <c r="A96" s="75"/>
      <c r="B96" s="75"/>
      <c r="C96" s="75"/>
      <c r="D96" s="75"/>
      <c r="E96" s="75"/>
      <c r="F96" s="75"/>
      <c r="G96" s="75"/>
      <c r="H96" s="75"/>
      <c r="I96" s="96"/>
      <c r="J96" s="96"/>
      <c r="K96" s="75"/>
      <c r="L96" s="75"/>
      <c r="M96" s="75"/>
      <c r="N96" s="75"/>
      <c r="O96" s="75"/>
      <c r="P96" s="75"/>
      <c r="Q96" s="96"/>
      <c r="R96" s="96"/>
      <c r="S96" s="75"/>
      <c r="T96" s="75"/>
      <c r="U96" s="75"/>
      <c r="V96" s="75"/>
      <c r="X96" s="166"/>
      <c r="AB96" s="73"/>
      <c r="AC96" s="76"/>
      <c r="AD96" s="74" t="str">
        <f t="shared" si="8"/>
        <v/>
      </c>
      <c r="AE96" s="74" t="str">
        <f t="shared" si="9"/>
        <v/>
      </c>
      <c r="AF96" s="74" t="str">
        <f t="shared" ca="1" si="10"/>
        <v/>
      </c>
      <c r="AG96" s="74" t="str">
        <f t="shared" si="11"/>
        <v/>
      </c>
    </row>
    <row r="97" spans="1:33" x14ac:dyDescent="0.2">
      <c r="A97" s="75"/>
      <c r="B97" s="75"/>
      <c r="C97" s="75"/>
      <c r="D97" s="75"/>
      <c r="E97" s="75"/>
      <c r="F97" s="75"/>
      <c r="G97" s="75"/>
      <c r="H97" s="75"/>
      <c r="I97" s="96"/>
      <c r="J97" s="96"/>
      <c r="K97" s="75"/>
      <c r="L97" s="75"/>
      <c r="M97" s="75"/>
      <c r="N97" s="75"/>
      <c r="O97" s="75"/>
      <c r="P97" s="75"/>
      <c r="Q97" s="96"/>
      <c r="R97" s="96"/>
      <c r="S97" s="75"/>
      <c r="T97" s="75"/>
      <c r="U97" s="75"/>
      <c r="V97" s="75"/>
      <c r="X97" s="166"/>
      <c r="AB97" s="73"/>
      <c r="AC97" s="76"/>
      <c r="AD97" s="74" t="str">
        <f t="shared" si="8"/>
        <v/>
      </c>
      <c r="AE97" s="74" t="str">
        <f t="shared" si="9"/>
        <v/>
      </c>
      <c r="AF97" s="74" t="str">
        <f t="shared" ca="1" si="10"/>
        <v/>
      </c>
      <c r="AG97" s="74" t="str">
        <f t="shared" si="11"/>
        <v/>
      </c>
    </row>
    <row r="98" spans="1:33" x14ac:dyDescent="0.2">
      <c r="A98" s="75"/>
      <c r="B98" s="75"/>
      <c r="C98" s="75"/>
      <c r="D98" s="75"/>
      <c r="E98" s="75"/>
      <c r="F98" s="75"/>
      <c r="G98" s="75"/>
      <c r="H98" s="75"/>
      <c r="I98" s="96"/>
      <c r="J98" s="96"/>
      <c r="K98" s="75"/>
      <c r="L98" s="75"/>
      <c r="M98" s="75"/>
      <c r="N98" s="75"/>
      <c r="O98" s="75"/>
      <c r="P98" s="75"/>
      <c r="Q98" s="96"/>
      <c r="R98" s="96"/>
      <c r="S98" s="75"/>
      <c r="T98" s="75"/>
      <c r="U98" s="75"/>
      <c r="V98" s="75"/>
      <c r="X98" s="166"/>
      <c r="AB98" s="73"/>
      <c r="AC98" s="76"/>
      <c r="AD98" s="74" t="str">
        <f t="shared" si="8"/>
        <v/>
      </c>
      <c r="AE98" s="74" t="str">
        <f t="shared" si="9"/>
        <v/>
      </c>
      <c r="AF98" s="74" t="str">
        <f t="shared" ca="1" si="10"/>
        <v/>
      </c>
      <c r="AG98" s="74" t="str">
        <f t="shared" si="11"/>
        <v/>
      </c>
    </row>
    <row r="99" spans="1:33" x14ac:dyDescent="0.2">
      <c r="A99" s="75"/>
      <c r="B99" s="75"/>
      <c r="C99" s="75"/>
      <c r="D99" s="75"/>
      <c r="E99" s="75"/>
      <c r="F99" s="75"/>
      <c r="G99" s="75"/>
      <c r="H99" s="75"/>
      <c r="I99" s="96"/>
      <c r="J99" s="96"/>
      <c r="K99" s="75"/>
      <c r="L99" s="75"/>
      <c r="M99" s="75"/>
      <c r="N99" s="75"/>
      <c r="O99" s="75"/>
      <c r="P99" s="75"/>
      <c r="Q99" s="96"/>
      <c r="R99" s="96"/>
      <c r="S99" s="75"/>
      <c r="T99" s="75"/>
      <c r="U99" s="75"/>
      <c r="V99" s="75"/>
      <c r="X99" s="166"/>
      <c r="AB99" s="73"/>
      <c r="AC99" s="76"/>
      <c r="AD99" s="74" t="str">
        <f t="shared" si="8"/>
        <v/>
      </c>
      <c r="AE99" s="74" t="str">
        <f t="shared" si="9"/>
        <v/>
      </c>
      <c r="AF99" s="74" t="str">
        <f t="shared" ca="1" si="10"/>
        <v/>
      </c>
      <c r="AG99" s="74" t="str">
        <f t="shared" si="11"/>
        <v/>
      </c>
    </row>
    <row r="100" spans="1:33" x14ac:dyDescent="0.2">
      <c r="A100" s="75"/>
      <c r="B100" s="75"/>
      <c r="C100" s="75"/>
      <c r="D100" s="75"/>
      <c r="E100" s="75"/>
      <c r="F100" s="75"/>
      <c r="G100" s="75"/>
      <c r="H100" s="75"/>
      <c r="I100" s="96"/>
      <c r="J100" s="96"/>
      <c r="K100" s="75"/>
      <c r="L100" s="75"/>
      <c r="M100" s="75"/>
      <c r="N100" s="75"/>
      <c r="O100" s="75"/>
      <c r="P100" s="75"/>
      <c r="Q100" s="96"/>
      <c r="R100" s="96"/>
      <c r="S100" s="75"/>
      <c r="T100" s="75"/>
      <c r="U100" s="75"/>
      <c r="V100" s="75"/>
      <c r="X100" s="166"/>
      <c r="AB100" s="73"/>
      <c r="AC100" s="76"/>
      <c r="AD100" s="74" t="str">
        <f t="shared" si="8"/>
        <v/>
      </c>
      <c r="AE100" s="74" t="str">
        <f t="shared" si="9"/>
        <v/>
      </c>
      <c r="AF100" s="74" t="str">
        <f t="shared" ca="1" si="10"/>
        <v/>
      </c>
      <c r="AG100" s="74" t="str">
        <f t="shared" si="11"/>
        <v/>
      </c>
    </row>
    <row r="101" spans="1:33" x14ac:dyDescent="0.2">
      <c r="A101" s="75"/>
      <c r="B101" s="75"/>
      <c r="C101" s="75"/>
      <c r="D101" s="75"/>
      <c r="E101" s="75"/>
      <c r="F101" s="75"/>
      <c r="G101" s="75"/>
      <c r="H101" s="75"/>
      <c r="I101" s="96"/>
      <c r="J101" s="96"/>
      <c r="K101" s="75"/>
      <c r="L101" s="75"/>
      <c r="M101" s="75"/>
      <c r="N101" s="75"/>
      <c r="O101" s="75"/>
      <c r="P101" s="75"/>
      <c r="Q101" s="96"/>
      <c r="R101" s="96"/>
      <c r="S101" s="75"/>
      <c r="T101" s="75"/>
      <c r="U101" s="75"/>
      <c r="V101" s="75"/>
      <c r="X101" s="166"/>
      <c r="AB101" s="73"/>
      <c r="AC101" s="76"/>
      <c r="AD101" s="74" t="str">
        <f t="shared" ref="AD101:AD164" si="12">IF(A:A&lt;&gt;"",(M101&amp;"-"&amp;N101),"")</f>
        <v/>
      </c>
      <c r="AE101" s="74" t="str">
        <f t="shared" ref="AE101:AE164" si="13">IF(F:F&lt;&gt;"",IF(F101="Other","Proactive",IF(F101="Proactive","Proactive","Reactive")),"")</f>
        <v/>
      </c>
      <c r="AF101" s="74" t="str">
        <f t="shared" ref="AF101:AF164" ca="1" si="14">IF(I:I&lt;&gt;"",(IF(E101&lt;&gt;"Closed",DATEDIF(I101,TODAY(),"d"),"")),"")</f>
        <v/>
      </c>
      <c r="AG101" s="74" t="str">
        <f t="shared" ref="AG101:AG164" si="15">IF(R:R&lt;&gt;"",DATEDIF(I101,R101,"d"),"")</f>
        <v/>
      </c>
    </row>
    <row r="102" spans="1:33" x14ac:dyDescent="0.2">
      <c r="A102" s="75"/>
      <c r="B102" s="75"/>
      <c r="C102" s="75"/>
      <c r="D102" s="75"/>
      <c r="E102" s="75"/>
      <c r="F102" s="75"/>
      <c r="G102" s="75"/>
      <c r="H102" s="75"/>
      <c r="I102" s="96"/>
      <c r="J102" s="96"/>
      <c r="K102" s="75"/>
      <c r="L102" s="75"/>
      <c r="M102" s="75"/>
      <c r="N102" s="75"/>
      <c r="O102" s="75"/>
      <c r="P102" s="75"/>
      <c r="Q102" s="96"/>
      <c r="R102" s="96"/>
      <c r="S102" s="75"/>
      <c r="T102" s="75"/>
      <c r="U102" s="75"/>
      <c r="V102" s="75"/>
      <c r="X102" s="166"/>
      <c r="AB102" s="73"/>
      <c r="AC102" s="76"/>
      <c r="AD102" s="74" t="str">
        <f t="shared" si="12"/>
        <v/>
      </c>
      <c r="AE102" s="74" t="str">
        <f t="shared" si="13"/>
        <v/>
      </c>
      <c r="AF102" s="74" t="str">
        <f t="shared" ca="1" si="14"/>
        <v/>
      </c>
      <c r="AG102" s="74" t="str">
        <f t="shared" si="15"/>
        <v/>
      </c>
    </row>
    <row r="103" spans="1:33" x14ac:dyDescent="0.2">
      <c r="A103" s="75"/>
      <c r="B103" s="75"/>
      <c r="C103" s="75"/>
      <c r="D103" s="75"/>
      <c r="E103" s="75"/>
      <c r="F103" s="75"/>
      <c r="G103" s="75"/>
      <c r="H103" s="75"/>
      <c r="I103" s="96"/>
      <c r="J103" s="96"/>
      <c r="K103" s="75"/>
      <c r="L103" s="75"/>
      <c r="M103" s="75"/>
      <c r="N103" s="75"/>
      <c r="O103" s="75"/>
      <c r="P103" s="75"/>
      <c r="Q103" s="96"/>
      <c r="R103" s="96"/>
      <c r="S103" s="75"/>
      <c r="T103" s="75"/>
      <c r="U103" s="75"/>
      <c r="V103" s="75"/>
      <c r="X103" s="166"/>
      <c r="AB103" s="73"/>
      <c r="AC103" s="76"/>
      <c r="AD103" s="74" t="str">
        <f t="shared" si="12"/>
        <v/>
      </c>
      <c r="AE103" s="74" t="str">
        <f t="shared" si="13"/>
        <v/>
      </c>
      <c r="AF103" s="74" t="str">
        <f t="shared" ca="1" si="14"/>
        <v/>
      </c>
      <c r="AG103" s="74" t="str">
        <f t="shared" si="15"/>
        <v/>
      </c>
    </row>
    <row r="104" spans="1:33" x14ac:dyDescent="0.2">
      <c r="A104" s="75"/>
      <c r="B104" s="75"/>
      <c r="C104" s="75"/>
      <c r="D104" s="75"/>
      <c r="E104" s="75"/>
      <c r="F104" s="75"/>
      <c r="G104" s="75"/>
      <c r="H104" s="75"/>
      <c r="I104" s="96"/>
      <c r="J104" s="96"/>
      <c r="K104" s="75"/>
      <c r="L104" s="75"/>
      <c r="M104" s="75"/>
      <c r="N104" s="75"/>
      <c r="O104" s="75"/>
      <c r="P104" s="75"/>
      <c r="Q104" s="96"/>
      <c r="R104" s="96"/>
      <c r="S104" s="75"/>
      <c r="T104" s="75"/>
      <c r="U104" s="75"/>
      <c r="V104" s="75"/>
      <c r="X104" s="166"/>
      <c r="AB104" s="73"/>
      <c r="AC104" s="76"/>
      <c r="AD104" s="74" t="str">
        <f t="shared" si="12"/>
        <v/>
      </c>
      <c r="AE104" s="74" t="str">
        <f t="shared" si="13"/>
        <v/>
      </c>
      <c r="AF104" s="74" t="str">
        <f t="shared" ca="1" si="14"/>
        <v/>
      </c>
      <c r="AG104" s="74" t="str">
        <f t="shared" si="15"/>
        <v/>
      </c>
    </row>
    <row r="105" spans="1:33" x14ac:dyDescent="0.2">
      <c r="A105" s="75"/>
      <c r="B105" s="75"/>
      <c r="C105" s="75"/>
      <c r="D105" s="75"/>
      <c r="E105" s="75"/>
      <c r="F105" s="75"/>
      <c r="G105" s="75"/>
      <c r="H105" s="75"/>
      <c r="I105" s="96"/>
      <c r="J105" s="96"/>
      <c r="K105" s="75"/>
      <c r="L105" s="75"/>
      <c r="M105" s="75"/>
      <c r="N105" s="75"/>
      <c r="O105" s="75"/>
      <c r="P105" s="75"/>
      <c r="Q105" s="96"/>
      <c r="R105" s="96"/>
      <c r="S105" s="75"/>
      <c r="T105" s="75"/>
      <c r="U105" s="75"/>
      <c r="V105" s="75"/>
      <c r="X105" s="166"/>
      <c r="AB105" s="73"/>
      <c r="AC105" s="76"/>
      <c r="AD105" s="74" t="str">
        <f t="shared" si="12"/>
        <v/>
      </c>
      <c r="AE105" s="74" t="str">
        <f t="shared" si="13"/>
        <v/>
      </c>
      <c r="AF105" s="74" t="str">
        <f t="shared" ca="1" si="14"/>
        <v/>
      </c>
      <c r="AG105" s="74" t="str">
        <f t="shared" si="15"/>
        <v/>
      </c>
    </row>
    <row r="106" spans="1:33" x14ac:dyDescent="0.2">
      <c r="A106" s="75"/>
      <c r="B106" s="75"/>
      <c r="C106" s="75"/>
      <c r="D106" s="75"/>
      <c r="E106" s="75"/>
      <c r="F106" s="75"/>
      <c r="G106" s="75"/>
      <c r="H106" s="75"/>
      <c r="I106" s="96"/>
      <c r="J106" s="96"/>
      <c r="K106" s="75"/>
      <c r="L106" s="75"/>
      <c r="M106" s="75"/>
      <c r="N106" s="75"/>
      <c r="O106" s="75"/>
      <c r="P106" s="75"/>
      <c r="Q106" s="96"/>
      <c r="R106" s="96"/>
      <c r="S106" s="75"/>
      <c r="T106" s="75"/>
      <c r="U106" s="75"/>
      <c r="V106" s="75"/>
      <c r="X106" s="166"/>
      <c r="AB106" s="73"/>
      <c r="AC106" s="76"/>
      <c r="AD106" s="74" t="str">
        <f t="shared" si="12"/>
        <v/>
      </c>
      <c r="AE106" s="74" t="str">
        <f t="shared" si="13"/>
        <v/>
      </c>
      <c r="AF106" s="74" t="str">
        <f t="shared" ca="1" si="14"/>
        <v/>
      </c>
      <c r="AG106" s="74" t="str">
        <f t="shared" si="15"/>
        <v/>
      </c>
    </row>
    <row r="107" spans="1:33" x14ac:dyDescent="0.2">
      <c r="A107" s="75"/>
      <c r="B107" s="75"/>
      <c r="C107" s="75"/>
      <c r="D107" s="75"/>
      <c r="E107" s="75"/>
      <c r="F107" s="75"/>
      <c r="G107" s="75"/>
      <c r="H107" s="75"/>
      <c r="I107" s="96"/>
      <c r="J107" s="96"/>
      <c r="K107" s="75"/>
      <c r="L107" s="75"/>
      <c r="M107" s="75"/>
      <c r="N107" s="75"/>
      <c r="O107" s="75"/>
      <c r="P107" s="75"/>
      <c r="Q107" s="96"/>
      <c r="R107" s="96"/>
      <c r="S107" s="75"/>
      <c r="T107" s="75"/>
      <c r="U107" s="75"/>
      <c r="V107" s="75"/>
      <c r="X107" s="166"/>
      <c r="AB107" s="73"/>
      <c r="AC107" s="76"/>
      <c r="AD107" s="74" t="str">
        <f t="shared" si="12"/>
        <v/>
      </c>
      <c r="AE107" s="74" t="str">
        <f t="shared" si="13"/>
        <v/>
      </c>
      <c r="AF107" s="74" t="str">
        <f t="shared" ca="1" si="14"/>
        <v/>
      </c>
      <c r="AG107" s="74" t="str">
        <f t="shared" si="15"/>
        <v/>
      </c>
    </row>
    <row r="108" spans="1:33" x14ac:dyDescent="0.2">
      <c r="A108" s="75"/>
      <c r="B108" s="75"/>
      <c r="C108" s="75"/>
      <c r="D108" s="75"/>
      <c r="E108" s="75"/>
      <c r="F108" s="75"/>
      <c r="G108" s="75"/>
      <c r="H108" s="75"/>
      <c r="I108" s="96"/>
      <c r="J108" s="96"/>
      <c r="K108" s="75"/>
      <c r="L108" s="75"/>
      <c r="M108" s="75"/>
      <c r="N108" s="75"/>
      <c r="O108" s="75"/>
      <c r="P108" s="75"/>
      <c r="Q108" s="96"/>
      <c r="R108" s="96"/>
      <c r="S108" s="75"/>
      <c r="T108" s="75"/>
      <c r="U108" s="75"/>
      <c r="V108" s="75"/>
      <c r="X108" s="166"/>
      <c r="AB108" s="73"/>
      <c r="AC108" s="76"/>
      <c r="AD108" s="74" t="str">
        <f t="shared" si="12"/>
        <v/>
      </c>
      <c r="AE108" s="74" t="str">
        <f t="shared" si="13"/>
        <v/>
      </c>
      <c r="AF108" s="74" t="str">
        <f t="shared" ca="1" si="14"/>
        <v/>
      </c>
      <c r="AG108" s="74" t="str">
        <f t="shared" si="15"/>
        <v/>
      </c>
    </row>
    <row r="109" spans="1:33" x14ac:dyDescent="0.2">
      <c r="A109" s="75"/>
      <c r="B109" s="75"/>
      <c r="C109" s="75"/>
      <c r="D109" s="75"/>
      <c r="E109" s="75"/>
      <c r="F109" s="75"/>
      <c r="G109" s="75"/>
      <c r="H109" s="75"/>
      <c r="I109" s="96"/>
      <c r="J109" s="96"/>
      <c r="K109" s="75"/>
      <c r="L109" s="75"/>
      <c r="M109" s="75"/>
      <c r="N109" s="75"/>
      <c r="O109" s="75"/>
      <c r="P109" s="75"/>
      <c r="Q109" s="96"/>
      <c r="R109" s="96"/>
      <c r="S109" s="75"/>
      <c r="T109" s="75"/>
      <c r="U109" s="75"/>
      <c r="V109" s="75"/>
      <c r="X109" s="166"/>
      <c r="AB109" s="73"/>
      <c r="AC109" s="76"/>
      <c r="AD109" s="74" t="str">
        <f t="shared" si="12"/>
        <v/>
      </c>
      <c r="AE109" s="74" t="str">
        <f t="shared" si="13"/>
        <v/>
      </c>
      <c r="AF109" s="74" t="str">
        <f t="shared" ca="1" si="14"/>
        <v/>
      </c>
      <c r="AG109" s="74" t="str">
        <f t="shared" si="15"/>
        <v/>
      </c>
    </row>
    <row r="110" spans="1:33" x14ac:dyDescent="0.2">
      <c r="A110" s="75"/>
      <c r="B110" s="75"/>
      <c r="C110" s="75"/>
      <c r="D110" s="75"/>
      <c r="E110" s="75"/>
      <c r="F110" s="75"/>
      <c r="G110" s="75"/>
      <c r="H110" s="75"/>
      <c r="I110" s="96"/>
      <c r="J110" s="96"/>
      <c r="K110" s="75"/>
      <c r="L110" s="75"/>
      <c r="M110" s="75"/>
      <c r="N110" s="75"/>
      <c r="O110" s="75"/>
      <c r="P110" s="75"/>
      <c r="Q110" s="96"/>
      <c r="R110" s="96"/>
      <c r="S110" s="75"/>
      <c r="T110" s="75"/>
      <c r="U110" s="75"/>
      <c r="V110" s="75"/>
      <c r="X110" s="166"/>
      <c r="AB110" s="73"/>
      <c r="AC110" s="76"/>
      <c r="AD110" s="74" t="str">
        <f t="shared" si="12"/>
        <v/>
      </c>
      <c r="AE110" s="74" t="str">
        <f t="shared" si="13"/>
        <v/>
      </c>
      <c r="AF110" s="74" t="str">
        <f t="shared" ca="1" si="14"/>
        <v/>
      </c>
      <c r="AG110" s="74" t="str">
        <f t="shared" si="15"/>
        <v/>
      </c>
    </row>
    <row r="111" spans="1:33" x14ac:dyDescent="0.2">
      <c r="A111" s="75"/>
      <c r="B111" s="75"/>
      <c r="C111" s="75"/>
      <c r="D111" s="75"/>
      <c r="E111" s="75"/>
      <c r="F111" s="75"/>
      <c r="G111" s="75"/>
      <c r="H111" s="75"/>
      <c r="I111" s="96"/>
      <c r="J111" s="96"/>
      <c r="K111" s="75"/>
      <c r="L111" s="75"/>
      <c r="M111" s="75"/>
      <c r="N111" s="75"/>
      <c r="O111" s="75"/>
      <c r="P111" s="75"/>
      <c r="Q111" s="96"/>
      <c r="R111" s="96"/>
      <c r="S111" s="75"/>
      <c r="T111" s="75"/>
      <c r="U111" s="75"/>
      <c r="V111" s="75"/>
      <c r="X111" s="166"/>
      <c r="AB111" s="73"/>
      <c r="AC111" s="76"/>
      <c r="AD111" s="74" t="str">
        <f t="shared" si="12"/>
        <v/>
      </c>
      <c r="AE111" s="74" t="str">
        <f t="shared" si="13"/>
        <v/>
      </c>
      <c r="AF111" s="74" t="str">
        <f t="shared" ca="1" si="14"/>
        <v/>
      </c>
      <c r="AG111" s="74" t="str">
        <f t="shared" si="15"/>
        <v/>
      </c>
    </row>
    <row r="112" spans="1:33" x14ac:dyDescent="0.2">
      <c r="A112" s="75"/>
      <c r="B112" s="75"/>
      <c r="C112" s="75"/>
      <c r="D112" s="75"/>
      <c r="E112" s="75"/>
      <c r="F112" s="75"/>
      <c r="G112" s="75"/>
      <c r="H112" s="75"/>
      <c r="I112" s="96"/>
      <c r="J112" s="96"/>
      <c r="K112" s="75"/>
      <c r="L112" s="75"/>
      <c r="M112" s="75"/>
      <c r="N112" s="75"/>
      <c r="O112" s="75"/>
      <c r="P112" s="75"/>
      <c r="Q112" s="96"/>
      <c r="R112" s="96"/>
      <c r="S112" s="75"/>
      <c r="T112" s="75"/>
      <c r="U112" s="75"/>
      <c r="V112" s="75"/>
      <c r="X112" s="166"/>
      <c r="AB112" s="73"/>
      <c r="AC112" s="76"/>
      <c r="AD112" s="74" t="str">
        <f t="shared" si="12"/>
        <v/>
      </c>
      <c r="AE112" s="74" t="str">
        <f t="shared" si="13"/>
        <v/>
      </c>
      <c r="AF112" s="74" t="str">
        <f t="shared" ca="1" si="14"/>
        <v/>
      </c>
      <c r="AG112" s="74" t="str">
        <f t="shared" si="15"/>
        <v/>
      </c>
    </row>
    <row r="113" spans="1:33" x14ac:dyDescent="0.2">
      <c r="A113" s="75"/>
      <c r="B113" s="75"/>
      <c r="C113" s="75"/>
      <c r="D113" s="75"/>
      <c r="E113" s="75"/>
      <c r="F113" s="75"/>
      <c r="G113" s="75"/>
      <c r="H113" s="75"/>
      <c r="I113" s="96"/>
      <c r="J113" s="96"/>
      <c r="K113" s="75"/>
      <c r="L113" s="75"/>
      <c r="M113" s="75"/>
      <c r="N113" s="75"/>
      <c r="O113" s="75"/>
      <c r="P113" s="75"/>
      <c r="Q113" s="96"/>
      <c r="R113" s="96"/>
      <c r="S113" s="75"/>
      <c r="T113" s="75"/>
      <c r="U113" s="75"/>
      <c r="V113" s="75"/>
      <c r="X113" s="166"/>
      <c r="AB113" s="73"/>
      <c r="AC113" s="76"/>
      <c r="AD113" s="74" t="str">
        <f t="shared" si="12"/>
        <v/>
      </c>
      <c r="AE113" s="74" t="str">
        <f t="shared" si="13"/>
        <v/>
      </c>
      <c r="AF113" s="74" t="str">
        <f t="shared" ca="1" si="14"/>
        <v/>
      </c>
      <c r="AG113" s="74" t="str">
        <f t="shared" si="15"/>
        <v/>
      </c>
    </row>
    <row r="114" spans="1:33" x14ac:dyDescent="0.2">
      <c r="A114" s="75"/>
      <c r="B114" s="75"/>
      <c r="C114" s="75"/>
      <c r="D114" s="75"/>
      <c r="E114" s="75"/>
      <c r="F114" s="75"/>
      <c r="G114" s="75"/>
      <c r="H114" s="75"/>
      <c r="I114" s="96"/>
      <c r="J114" s="96"/>
      <c r="K114" s="75"/>
      <c r="L114" s="75"/>
      <c r="M114" s="75"/>
      <c r="N114" s="75"/>
      <c r="O114" s="75"/>
      <c r="P114" s="75"/>
      <c r="Q114" s="96"/>
      <c r="R114" s="96"/>
      <c r="S114" s="75"/>
      <c r="T114" s="75"/>
      <c r="U114" s="75"/>
      <c r="V114" s="75"/>
      <c r="X114" s="166"/>
      <c r="AB114" s="73"/>
      <c r="AC114" s="76"/>
      <c r="AD114" s="74" t="str">
        <f t="shared" si="12"/>
        <v/>
      </c>
      <c r="AE114" s="74" t="str">
        <f t="shared" si="13"/>
        <v/>
      </c>
      <c r="AF114" s="74" t="str">
        <f t="shared" ca="1" si="14"/>
        <v/>
      </c>
      <c r="AG114" s="74" t="str">
        <f t="shared" si="15"/>
        <v/>
      </c>
    </row>
    <row r="115" spans="1:33" x14ac:dyDescent="0.2">
      <c r="A115" s="75"/>
      <c r="B115" s="75"/>
      <c r="C115" s="75"/>
      <c r="D115" s="75"/>
      <c r="E115" s="75"/>
      <c r="F115" s="75"/>
      <c r="G115" s="75"/>
      <c r="H115" s="75"/>
      <c r="I115" s="96"/>
      <c r="J115" s="96"/>
      <c r="K115" s="75"/>
      <c r="L115" s="75"/>
      <c r="M115" s="75"/>
      <c r="N115" s="75"/>
      <c r="O115" s="75"/>
      <c r="P115" s="75"/>
      <c r="Q115" s="96"/>
      <c r="R115" s="96"/>
      <c r="S115" s="75"/>
      <c r="T115" s="75"/>
      <c r="U115" s="75"/>
      <c r="V115" s="75"/>
      <c r="X115" s="166"/>
      <c r="AB115" s="73"/>
      <c r="AC115" s="76"/>
      <c r="AD115" s="74" t="str">
        <f t="shared" si="12"/>
        <v/>
      </c>
      <c r="AE115" s="74" t="str">
        <f t="shared" si="13"/>
        <v/>
      </c>
      <c r="AF115" s="74" t="str">
        <f t="shared" ca="1" si="14"/>
        <v/>
      </c>
      <c r="AG115" s="74" t="str">
        <f t="shared" si="15"/>
        <v/>
      </c>
    </row>
    <row r="116" spans="1:33" x14ac:dyDescent="0.2">
      <c r="A116" s="75"/>
      <c r="B116" s="75"/>
      <c r="C116" s="75"/>
      <c r="D116" s="75"/>
      <c r="E116" s="75"/>
      <c r="F116" s="75"/>
      <c r="G116" s="75"/>
      <c r="H116" s="75"/>
      <c r="I116" s="96"/>
      <c r="J116" s="96"/>
      <c r="K116" s="75"/>
      <c r="L116" s="75"/>
      <c r="M116" s="75"/>
      <c r="N116" s="75"/>
      <c r="O116" s="75"/>
      <c r="P116" s="75"/>
      <c r="Q116" s="96"/>
      <c r="R116" s="96"/>
      <c r="S116" s="75"/>
      <c r="T116" s="75"/>
      <c r="U116" s="75"/>
      <c r="V116" s="75"/>
      <c r="X116" s="166"/>
      <c r="AB116" s="73"/>
      <c r="AC116" s="76"/>
      <c r="AD116" s="74" t="str">
        <f t="shared" si="12"/>
        <v/>
      </c>
      <c r="AE116" s="74" t="str">
        <f t="shared" si="13"/>
        <v/>
      </c>
      <c r="AF116" s="74" t="str">
        <f t="shared" ca="1" si="14"/>
        <v/>
      </c>
      <c r="AG116" s="74" t="str">
        <f t="shared" si="15"/>
        <v/>
      </c>
    </row>
    <row r="117" spans="1:33" x14ac:dyDescent="0.2">
      <c r="A117" s="75"/>
      <c r="B117" s="75"/>
      <c r="C117" s="75"/>
      <c r="D117" s="75"/>
      <c r="E117" s="75"/>
      <c r="F117" s="75"/>
      <c r="G117" s="75"/>
      <c r="H117" s="75"/>
      <c r="I117" s="96"/>
      <c r="J117" s="96"/>
      <c r="K117" s="75"/>
      <c r="L117" s="75"/>
      <c r="M117" s="75"/>
      <c r="N117" s="75"/>
      <c r="O117" s="75"/>
      <c r="P117" s="75"/>
      <c r="Q117" s="96"/>
      <c r="R117" s="96"/>
      <c r="S117" s="75"/>
      <c r="T117" s="75"/>
      <c r="U117" s="75"/>
      <c r="V117" s="75"/>
      <c r="X117" s="166"/>
      <c r="AB117" s="73"/>
      <c r="AC117" s="76"/>
      <c r="AD117" s="74" t="str">
        <f t="shared" si="12"/>
        <v/>
      </c>
      <c r="AE117" s="74" t="str">
        <f t="shared" si="13"/>
        <v/>
      </c>
      <c r="AF117" s="74" t="str">
        <f t="shared" ca="1" si="14"/>
        <v/>
      </c>
      <c r="AG117" s="74" t="str">
        <f t="shared" si="15"/>
        <v/>
      </c>
    </row>
    <row r="118" spans="1:33" x14ac:dyDescent="0.2">
      <c r="A118" s="75"/>
      <c r="B118" s="75"/>
      <c r="C118" s="75"/>
      <c r="D118" s="75"/>
      <c r="E118" s="75"/>
      <c r="F118" s="75"/>
      <c r="G118" s="75"/>
      <c r="H118" s="75"/>
      <c r="I118" s="96"/>
      <c r="J118" s="96"/>
      <c r="K118" s="75"/>
      <c r="L118" s="75"/>
      <c r="M118" s="75"/>
      <c r="N118" s="75"/>
      <c r="O118" s="75"/>
      <c r="P118" s="75"/>
      <c r="Q118" s="96"/>
      <c r="R118" s="96"/>
      <c r="S118" s="75"/>
      <c r="T118" s="75"/>
      <c r="U118" s="75"/>
      <c r="V118" s="75"/>
      <c r="X118" s="166"/>
      <c r="AB118" s="73"/>
      <c r="AC118" s="76"/>
      <c r="AD118" s="74" t="str">
        <f t="shared" si="12"/>
        <v/>
      </c>
      <c r="AE118" s="74" t="str">
        <f t="shared" si="13"/>
        <v/>
      </c>
      <c r="AF118" s="74" t="str">
        <f t="shared" ca="1" si="14"/>
        <v/>
      </c>
      <c r="AG118" s="74" t="str">
        <f t="shared" si="15"/>
        <v/>
      </c>
    </row>
    <row r="119" spans="1:33" x14ac:dyDescent="0.2">
      <c r="A119" s="75"/>
      <c r="B119" s="75"/>
      <c r="C119" s="75"/>
      <c r="D119" s="75"/>
      <c r="E119" s="75"/>
      <c r="F119" s="75"/>
      <c r="G119" s="75"/>
      <c r="H119" s="75"/>
      <c r="I119" s="96"/>
      <c r="J119" s="96"/>
      <c r="K119" s="75"/>
      <c r="L119" s="75"/>
      <c r="M119" s="75"/>
      <c r="N119" s="75"/>
      <c r="O119" s="75"/>
      <c r="P119" s="75"/>
      <c r="Q119" s="96"/>
      <c r="R119" s="96"/>
      <c r="S119" s="75"/>
      <c r="T119" s="75"/>
      <c r="U119" s="75"/>
      <c r="V119" s="75"/>
      <c r="X119" s="166"/>
      <c r="AB119" s="73"/>
      <c r="AC119" s="76"/>
      <c r="AD119" s="74" t="str">
        <f t="shared" si="12"/>
        <v/>
      </c>
      <c r="AE119" s="74" t="str">
        <f t="shared" si="13"/>
        <v/>
      </c>
      <c r="AF119" s="74" t="str">
        <f t="shared" ca="1" si="14"/>
        <v/>
      </c>
      <c r="AG119" s="74" t="str">
        <f t="shared" si="15"/>
        <v/>
      </c>
    </row>
    <row r="120" spans="1:33" x14ac:dyDescent="0.2">
      <c r="A120" s="75"/>
      <c r="B120" s="75"/>
      <c r="C120" s="75"/>
      <c r="D120" s="75"/>
      <c r="E120" s="75"/>
      <c r="F120" s="75"/>
      <c r="G120" s="75"/>
      <c r="H120" s="75"/>
      <c r="I120" s="96"/>
      <c r="J120" s="96"/>
      <c r="K120" s="75"/>
      <c r="L120" s="75"/>
      <c r="M120" s="75"/>
      <c r="N120" s="75"/>
      <c r="O120" s="75"/>
      <c r="P120" s="75"/>
      <c r="Q120" s="96"/>
      <c r="R120" s="96"/>
      <c r="S120" s="75"/>
      <c r="T120" s="75"/>
      <c r="U120" s="75"/>
      <c r="V120" s="75"/>
      <c r="X120" s="166"/>
      <c r="AB120" s="73"/>
      <c r="AC120" s="76"/>
      <c r="AD120" s="74" t="str">
        <f t="shared" si="12"/>
        <v/>
      </c>
      <c r="AE120" s="74" t="str">
        <f t="shared" si="13"/>
        <v/>
      </c>
      <c r="AF120" s="74" t="str">
        <f t="shared" ca="1" si="14"/>
        <v/>
      </c>
      <c r="AG120" s="74" t="str">
        <f t="shared" si="15"/>
        <v/>
      </c>
    </row>
    <row r="121" spans="1:33" x14ac:dyDescent="0.2">
      <c r="A121" s="75"/>
      <c r="B121" s="75"/>
      <c r="C121" s="75"/>
      <c r="D121" s="75"/>
      <c r="E121" s="75"/>
      <c r="F121" s="75"/>
      <c r="G121" s="75"/>
      <c r="H121" s="75"/>
      <c r="I121" s="96"/>
      <c r="J121" s="96"/>
      <c r="K121" s="75"/>
      <c r="L121" s="75"/>
      <c r="M121" s="75"/>
      <c r="N121" s="75"/>
      <c r="O121" s="75"/>
      <c r="P121" s="75"/>
      <c r="Q121" s="96"/>
      <c r="R121" s="96"/>
      <c r="S121" s="75"/>
      <c r="T121" s="75"/>
      <c r="U121" s="75"/>
      <c r="V121" s="75"/>
      <c r="X121" s="166"/>
      <c r="AB121" s="73"/>
      <c r="AC121" s="76"/>
      <c r="AD121" s="74" t="str">
        <f t="shared" si="12"/>
        <v/>
      </c>
      <c r="AE121" s="74" t="str">
        <f t="shared" si="13"/>
        <v/>
      </c>
      <c r="AF121" s="74" t="str">
        <f t="shared" ca="1" si="14"/>
        <v/>
      </c>
      <c r="AG121" s="74" t="str">
        <f t="shared" si="15"/>
        <v/>
      </c>
    </row>
    <row r="122" spans="1:33" x14ac:dyDescent="0.2">
      <c r="A122" s="75"/>
      <c r="B122" s="75"/>
      <c r="C122" s="75"/>
      <c r="D122" s="75"/>
      <c r="E122" s="75"/>
      <c r="F122" s="75"/>
      <c r="G122" s="75"/>
      <c r="H122" s="75"/>
      <c r="I122" s="96"/>
      <c r="J122" s="96"/>
      <c r="K122" s="75"/>
      <c r="L122" s="75"/>
      <c r="M122" s="75"/>
      <c r="N122" s="75"/>
      <c r="O122" s="75"/>
      <c r="P122" s="75"/>
      <c r="Q122" s="96"/>
      <c r="R122" s="96"/>
      <c r="S122" s="75"/>
      <c r="T122" s="75"/>
      <c r="U122" s="75"/>
      <c r="V122" s="75"/>
      <c r="X122" s="166"/>
      <c r="AB122" s="73"/>
      <c r="AC122" s="76"/>
      <c r="AD122" s="74" t="str">
        <f t="shared" si="12"/>
        <v/>
      </c>
      <c r="AE122" s="74" t="str">
        <f t="shared" si="13"/>
        <v/>
      </c>
      <c r="AF122" s="74" t="str">
        <f t="shared" ca="1" si="14"/>
        <v/>
      </c>
      <c r="AG122" s="74" t="str">
        <f t="shared" si="15"/>
        <v/>
      </c>
    </row>
    <row r="123" spans="1:33" x14ac:dyDescent="0.2">
      <c r="A123" s="75"/>
      <c r="B123" s="75"/>
      <c r="C123" s="75"/>
      <c r="D123" s="75"/>
      <c r="E123" s="75"/>
      <c r="F123" s="75"/>
      <c r="G123" s="75"/>
      <c r="H123" s="75"/>
      <c r="I123" s="96"/>
      <c r="J123" s="96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X123" s="166"/>
      <c r="AB123" s="73"/>
      <c r="AC123" s="76"/>
      <c r="AD123" s="74" t="str">
        <f t="shared" si="12"/>
        <v/>
      </c>
      <c r="AE123" s="74" t="str">
        <f t="shared" si="13"/>
        <v/>
      </c>
      <c r="AF123" s="74" t="str">
        <f t="shared" ca="1" si="14"/>
        <v/>
      </c>
      <c r="AG123" s="74" t="str">
        <f t="shared" si="15"/>
        <v/>
      </c>
    </row>
    <row r="124" spans="1:33" x14ac:dyDescent="0.2">
      <c r="A124" s="75"/>
      <c r="B124" s="75"/>
      <c r="C124" s="75"/>
      <c r="D124" s="75"/>
      <c r="E124" s="75"/>
      <c r="F124" s="75"/>
      <c r="G124" s="75"/>
      <c r="H124" s="75"/>
      <c r="I124" s="96"/>
      <c r="J124" s="96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X124" s="166"/>
      <c r="AB124" s="73"/>
      <c r="AC124" s="76"/>
      <c r="AD124" s="74" t="str">
        <f t="shared" si="12"/>
        <v/>
      </c>
      <c r="AE124" s="74" t="str">
        <f t="shared" si="13"/>
        <v/>
      </c>
      <c r="AF124" s="74" t="str">
        <f t="shared" ca="1" si="14"/>
        <v/>
      </c>
      <c r="AG124" s="74" t="str">
        <f t="shared" si="15"/>
        <v/>
      </c>
    </row>
    <row r="125" spans="1:33" x14ac:dyDescent="0.2">
      <c r="A125" s="75"/>
      <c r="B125" s="75"/>
      <c r="C125" s="75"/>
      <c r="D125" s="75"/>
      <c r="E125" s="75"/>
      <c r="F125" s="75"/>
      <c r="G125" s="75"/>
      <c r="H125" s="75"/>
      <c r="I125" s="96"/>
      <c r="J125" s="96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X125" s="166"/>
      <c r="AB125" s="73"/>
      <c r="AC125" s="76"/>
      <c r="AD125" s="74" t="str">
        <f t="shared" si="12"/>
        <v/>
      </c>
      <c r="AE125" s="74" t="str">
        <f t="shared" si="13"/>
        <v/>
      </c>
      <c r="AF125" s="74" t="str">
        <f t="shared" ca="1" si="14"/>
        <v/>
      </c>
      <c r="AG125" s="74" t="str">
        <f t="shared" si="15"/>
        <v/>
      </c>
    </row>
    <row r="126" spans="1:33" x14ac:dyDescent="0.2">
      <c r="A126" s="75"/>
      <c r="B126" s="75"/>
      <c r="C126" s="75"/>
      <c r="D126" s="75"/>
      <c r="E126" s="75"/>
      <c r="F126" s="75"/>
      <c r="G126" s="75"/>
      <c r="H126" s="75"/>
      <c r="I126" s="96"/>
      <c r="J126" s="96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X126" s="166"/>
      <c r="AB126" s="73"/>
      <c r="AC126" s="76"/>
      <c r="AD126" s="74" t="str">
        <f t="shared" si="12"/>
        <v/>
      </c>
      <c r="AE126" s="74" t="str">
        <f t="shared" si="13"/>
        <v/>
      </c>
      <c r="AF126" s="74" t="str">
        <f t="shared" ca="1" si="14"/>
        <v/>
      </c>
      <c r="AG126" s="74" t="str">
        <f t="shared" si="15"/>
        <v/>
      </c>
    </row>
    <row r="127" spans="1:33" x14ac:dyDescent="0.2">
      <c r="A127" s="75"/>
      <c r="B127" s="75"/>
      <c r="C127" s="75"/>
      <c r="D127" s="75"/>
      <c r="E127" s="75"/>
      <c r="F127" s="75"/>
      <c r="G127" s="75"/>
      <c r="H127" s="75"/>
      <c r="I127" s="96"/>
      <c r="J127" s="96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X127" s="166"/>
      <c r="AB127" s="73"/>
      <c r="AC127" s="76"/>
      <c r="AD127" s="74" t="str">
        <f t="shared" si="12"/>
        <v/>
      </c>
      <c r="AE127" s="74" t="str">
        <f t="shared" si="13"/>
        <v/>
      </c>
      <c r="AF127" s="74" t="str">
        <f t="shared" ca="1" si="14"/>
        <v/>
      </c>
      <c r="AG127" s="74" t="str">
        <f t="shared" si="15"/>
        <v/>
      </c>
    </row>
    <row r="128" spans="1:33" x14ac:dyDescent="0.2">
      <c r="A128" s="75"/>
      <c r="B128" s="75"/>
      <c r="C128" s="75"/>
      <c r="D128" s="75"/>
      <c r="E128" s="75"/>
      <c r="F128" s="75"/>
      <c r="G128" s="75"/>
      <c r="H128" s="75"/>
      <c r="I128" s="96"/>
      <c r="J128" s="96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X128" s="166"/>
      <c r="AB128" s="73"/>
      <c r="AC128" s="76"/>
      <c r="AD128" s="74" t="str">
        <f t="shared" si="12"/>
        <v/>
      </c>
      <c r="AE128" s="74" t="str">
        <f t="shared" si="13"/>
        <v/>
      </c>
      <c r="AF128" s="74" t="str">
        <f t="shared" ca="1" si="14"/>
        <v/>
      </c>
      <c r="AG128" s="74" t="str">
        <f t="shared" si="15"/>
        <v/>
      </c>
    </row>
    <row r="129" spans="1:33" x14ac:dyDescent="0.2">
      <c r="A129" s="75"/>
      <c r="B129" s="75"/>
      <c r="C129" s="75"/>
      <c r="D129" s="75"/>
      <c r="E129" s="75"/>
      <c r="F129" s="75"/>
      <c r="G129" s="75"/>
      <c r="H129" s="75"/>
      <c r="I129" s="96"/>
      <c r="J129" s="96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X129" s="166"/>
      <c r="AB129" s="73"/>
      <c r="AC129" s="76"/>
      <c r="AD129" s="74" t="str">
        <f t="shared" si="12"/>
        <v/>
      </c>
      <c r="AE129" s="74" t="str">
        <f t="shared" si="13"/>
        <v/>
      </c>
      <c r="AF129" s="74" t="str">
        <f t="shared" ca="1" si="14"/>
        <v/>
      </c>
      <c r="AG129" s="74" t="str">
        <f t="shared" si="15"/>
        <v/>
      </c>
    </row>
    <row r="130" spans="1:33" x14ac:dyDescent="0.2">
      <c r="A130" s="75"/>
      <c r="B130" s="75"/>
      <c r="C130" s="75"/>
      <c r="D130" s="75"/>
      <c r="E130" s="75"/>
      <c r="F130" s="75"/>
      <c r="G130" s="75"/>
      <c r="H130" s="75"/>
      <c r="I130" s="96"/>
      <c r="J130" s="96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X130" s="166"/>
      <c r="AB130" s="73"/>
      <c r="AC130" s="76"/>
      <c r="AD130" s="74" t="str">
        <f t="shared" si="12"/>
        <v/>
      </c>
      <c r="AE130" s="74" t="str">
        <f t="shared" si="13"/>
        <v/>
      </c>
      <c r="AF130" s="74" t="str">
        <f t="shared" ca="1" si="14"/>
        <v/>
      </c>
      <c r="AG130" s="74" t="str">
        <f t="shared" si="15"/>
        <v/>
      </c>
    </row>
    <row r="131" spans="1:33" x14ac:dyDescent="0.2">
      <c r="A131" s="75"/>
      <c r="B131" s="75"/>
      <c r="C131" s="75"/>
      <c r="D131" s="75"/>
      <c r="E131" s="75"/>
      <c r="F131" s="75"/>
      <c r="G131" s="75"/>
      <c r="H131" s="75"/>
      <c r="I131" s="96"/>
      <c r="J131" s="96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X131" s="166"/>
      <c r="AB131" s="73"/>
      <c r="AC131" s="76"/>
      <c r="AD131" s="74" t="str">
        <f t="shared" si="12"/>
        <v/>
      </c>
      <c r="AE131" s="74" t="str">
        <f t="shared" si="13"/>
        <v/>
      </c>
      <c r="AF131" s="74" t="str">
        <f t="shared" ca="1" si="14"/>
        <v/>
      </c>
      <c r="AG131" s="74" t="str">
        <f t="shared" si="15"/>
        <v/>
      </c>
    </row>
    <row r="132" spans="1:33" x14ac:dyDescent="0.2">
      <c r="A132" s="75"/>
      <c r="B132" s="75"/>
      <c r="C132" s="75"/>
      <c r="D132" s="75"/>
      <c r="E132" s="75"/>
      <c r="F132" s="75"/>
      <c r="G132" s="75"/>
      <c r="H132" s="75"/>
      <c r="I132" s="96"/>
      <c r="J132" s="96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X132" s="166"/>
      <c r="AB132" s="73"/>
      <c r="AC132" s="76"/>
      <c r="AD132" s="74" t="str">
        <f t="shared" si="12"/>
        <v/>
      </c>
      <c r="AE132" s="74" t="str">
        <f t="shared" si="13"/>
        <v/>
      </c>
      <c r="AF132" s="74" t="str">
        <f t="shared" ca="1" si="14"/>
        <v/>
      </c>
      <c r="AG132" s="74" t="str">
        <f t="shared" si="15"/>
        <v/>
      </c>
    </row>
    <row r="133" spans="1:33" x14ac:dyDescent="0.2">
      <c r="A133" s="75"/>
      <c r="B133" s="75"/>
      <c r="C133" s="75"/>
      <c r="D133" s="75"/>
      <c r="E133" s="75"/>
      <c r="F133" s="75"/>
      <c r="G133" s="75"/>
      <c r="H133" s="75"/>
      <c r="I133" s="96"/>
      <c r="J133" s="96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X133" s="166"/>
      <c r="AB133" s="73"/>
      <c r="AC133" s="76"/>
      <c r="AD133" s="74" t="str">
        <f t="shared" si="12"/>
        <v/>
      </c>
      <c r="AE133" s="74" t="str">
        <f t="shared" si="13"/>
        <v/>
      </c>
      <c r="AF133" s="74" t="str">
        <f t="shared" ca="1" si="14"/>
        <v/>
      </c>
      <c r="AG133" s="74" t="str">
        <f t="shared" si="15"/>
        <v/>
      </c>
    </row>
    <row r="134" spans="1:33" x14ac:dyDescent="0.2">
      <c r="A134" s="75"/>
      <c r="B134" s="75"/>
      <c r="C134" s="75"/>
      <c r="D134" s="75"/>
      <c r="E134" s="75"/>
      <c r="F134" s="75"/>
      <c r="G134" s="75"/>
      <c r="H134" s="75"/>
      <c r="I134" s="96"/>
      <c r="J134" s="96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X134" s="166"/>
      <c r="AB134" s="73"/>
      <c r="AC134" s="76"/>
      <c r="AD134" s="74" t="str">
        <f t="shared" si="12"/>
        <v/>
      </c>
      <c r="AE134" s="74" t="str">
        <f t="shared" si="13"/>
        <v/>
      </c>
      <c r="AF134" s="74" t="str">
        <f t="shared" ca="1" si="14"/>
        <v/>
      </c>
      <c r="AG134" s="74" t="str">
        <f t="shared" si="15"/>
        <v/>
      </c>
    </row>
    <row r="135" spans="1:33" x14ac:dyDescent="0.2">
      <c r="A135" s="75"/>
      <c r="B135" s="75"/>
      <c r="C135" s="75"/>
      <c r="D135" s="75"/>
      <c r="E135" s="75"/>
      <c r="F135" s="75"/>
      <c r="G135" s="75"/>
      <c r="H135" s="75"/>
      <c r="I135" s="96"/>
      <c r="J135" s="96"/>
      <c r="K135" s="75"/>
      <c r="L135" s="75"/>
      <c r="M135" s="75"/>
      <c r="N135" s="75"/>
      <c r="O135" s="75"/>
      <c r="P135" s="75"/>
      <c r="Q135" s="96"/>
      <c r="R135" s="75"/>
      <c r="S135" s="75"/>
      <c r="T135" s="75"/>
      <c r="U135" s="75"/>
      <c r="V135" s="75"/>
      <c r="X135" s="166"/>
      <c r="AB135" s="73"/>
      <c r="AC135" s="76"/>
      <c r="AD135" s="74" t="str">
        <f t="shared" si="12"/>
        <v/>
      </c>
      <c r="AE135" s="74" t="str">
        <f t="shared" si="13"/>
        <v/>
      </c>
      <c r="AF135" s="74" t="str">
        <f t="shared" ca="1" si="14"/>
        <v/>
      </c>
      <c r="AG135" s="74" t="str">
        <f t="shared" si="15"/>
        <v/>
      </c>
    </row>
    <row r="136" spans="1:33" x14ac:dyDescent="0.2">
      <c r="A136" s="75"/>
      <c r="B136" s="75"/>
      <c r="C136" s="75"/>
      <c r="D136" s="75"/>
      <c r="E136" s="75"/>
      <c r="F136" s="75"/>
      <c r="G136" s="75"/>
      <c r="H136" s="75"/>
      <c r="I136" s="96"/>
      <c r="J136" s="96"/>
      <c r="K136" s="75"/>
      <c r="L136" s="75"/>
      <c r="M136" s="75"/>
      <c r="N136" s="75"/>
      <c r="O136" s="75"/>
      <c r="P136" s="75"/>
      <c r="Q136" s="96"/>
      <c r="R136" s="75"/>
      <c r="S136" s="75"/>
      <c r="T136" s="75"/>
      <c r="U136" s="75"/>
      <c r="V136" s="75"/>
      <c r="X136" s="166"/>
      <c r="AB136" s="73"/>
      <c r="AC136" s="76"/>
      <c r="AD136" s="74" t="str">
        <f t="shared" si="12"/>
        <v/>
      </c>
      <c r="AE136" s="74" t="str">
        <f t="shared" si="13"/>
        <v/>
      </c>
      <c r="AF136" s="74" t="str">
        <f t="shared" ca="1" si="14"/>
        <v/>
      </c>
      <c r="AG136" s="74" t="str">
        <f t="shared" si="15"/>
        <v/>
      </c>
    </row>
    <row r="137" spans="1:33" x14ac:dyDescent="0.2">
      <c r="A137" s="75"/>
      <c r="B137" s="75"/>
      <c r="C137" s="75"/>
      <c r="D137" s="75"/>
      <c r="E137" s="75"/>
      <c r="F137" s="75"/>
      <c r="G137" s="75"/>
      <c r="H137" s="75"/>
      <c r="I137" s="96"/>
      <c r="J137" s="96"/>
      <c r="K137" s="75"/>
      <c r="L137" s="75"/>
      <c r="M137" s="75"/>
      <c r="N137" s="75"/>
      <c r="O137" s="75"/>
      <c r="P137" s="75"/>
      <c r="Q137" s="96"/>
      <c r="R137" s="75"/>
      <c r="S137" s="75"/>
      <c r="T137" s="75"/>
      <c r="U137" s="75"/>
      <c r="V137" s="75"/>
      <c r="X137" s="166"/>
      <c r="AB137" s="73"/>
      <c r="AC137" s="76"/>
      <c r="AD137" s="74" t="str">
        <f t="shared" si="12"/>
        <v/>
      </c>
      <c r="AE137" s="74" t="str">
        <f t="shared" si="13"/>
        <v/>
      </c>
      <c r="AF137" s="74" t="str">
        <f t="shared" ca="1" si="14"/>
        <v/>
      </c>
      <c r="AG137" s="74" t="str">
        <f t="shared" si="15"/>
        <v/>
      </c>
    </row>
    <row r="138" spans="1:33" x14ac:dyDescent="0.2">
      <c r="A138" s="75"/>
      <c r="B138" s="75"/>
      <c r="C138" s="75"/>
      <c r="D138" s="75"/>
      <c r="E138" s="75"/>
      <c r="F138" s="75"/>
      <c r="G138" s="75"/>
      <c r="H138" s="75"/>
      <c r="I138" s="96"/>
      <c r="J138" s="96"/>
      <c r="K138" s="75"/>
      <c r="L138" s="75"/>
      <c r="M138" s="75"/>
      <c r="N138" s="75"/>
      <c r="O138" s="75"/>
      <c r="P138" s="75"/>
      <c r="Q138" s="96"/>
      <c r="R138" s="75"/>
      <c r="S138" s="75"/>
      <c r="T138" s="75"/>
      <c r="U138" s="75"/>
      <c r="V138" s="75"/>
      <c r="X138" s="166"/>
      <c r="AB138" s="73"/>
      <c r="AC138" s="76"/>
      <c r="AD138" s="74" t="str">
        <f t="shared" si="12"/>
        <v/>
      </c>
      <c r="AE138" s="74" t="str">
        <f t="shared" si="13"/>
        <v/>
      </c>
      <c r="AF138" s="74" t="str">
        <f t="shared" ca="1" si="14"/>
        <v/>
      </c>
      <c r="AG138" s="74" t="str">
        <f t="shared" si="15"/>
        <v/>
      </c>
    </row>
    <row r="139" spans="1:33" x14ac:dyDescent="0.2">
      <c r="A139" s="75"/>
      <c r="B139" s="75"/>
      <c r="C139" s="75"/>
      <c r="D139" s="75"/>
      <c r="E139" s="75"/>
      <c r="F139" s="75"/>
      <c r="G139" s="75"/>
      <c r="H139" s="75"/>
      <c r="I139" s="96"/>
      <c r="J139" s="96"/>
      <c r="K139" s="75"/>
      <c r="L139" s="75"/>
      <c r="M139" s="75"/>
      <c r="N139" s="75"/>
      <c r="O139" s="75"/>
      <c r="P139" s="75"/>
      <c r="Q139" s="96"/>
      <c r="R139" s="75"/>
      <c r="S139" s="75"/>
      <c r="T139" s="75"/>
      <c r="U139" s="75"/>
      <c r="V139" s="75"/>
      <c r="X139" s="166"/>
      <c r="AB139" s="73"/>
      <c r="AC139" s="76"/>
      <c r="AD139" s="74" t="str">
        <f t="shared" si="12"/>
        <v/>
      </c>
      <c r="AE139" s="74" t="str">
        <f t="shared" si="13"/>
        <v/>
      </c>
      <c r="AF139" s="74" t="str">
        <f t="shared" ca="1" si="14"/>
        <v/>
      </c>
      <c r="AG139" s="74" t="str">
        <f t="shared" si="15"/>
        <v/>
      </c>
    </row>
    <row r="140" spans="1:33" x14ac:dyDescent="0.2">
      <c r="A140" s="75"/>
      <c r="B140" s="75"/>
      <c r="C140" s="75"/>
      <c r="D140" s="75"/>
      <c r="E140" s="75"/>
      <c r="F140" s="75"/>
      <c r="G140" s="75"/>
      <c r="H140" s="75"/>
      <c r="I140" s="96"/>
      <c r="J140" s="96"/>
      <c r="K140" s="75"/>
      <c r="L140" s="75"/>
      <c r="M140" s="75"/>
      <c r="N140" s="75"/>
      <c r="O140" s="75"/>
      <c r="P140" s="75"/>
      <c r="Q140" s="96"/>
      <c r="R140" s="75"/>
      <c r="S140" s="75"/>
      <c r="T140" s="75"/>
      <c r="U140" s="75"/>
      <c r="V140" s="75"/>
      <c r="X140" s="166"/>
      <c r="AB140" s="73"/>
      <c r="AC140" s="76"/>
      <c r="AD140" s="74" t="str">
        <f t="shared" si="12"/>
        <v/>
      </c>
      <c r="AE140" s="74" t="str">
        <f t="shared" si="13"/>
        <v/>
      </c>
      <c r="AF140" s="74" t="str">
        <f t="shared" ca="1" si="14"/>
        <v/>
      </c>
      <c r="AG140" s="74" t="str">
        <f t="shared" si="15"/>
        <v/>
      </c>
    </row>
    <row r="141" spans="1:33" x14ac:dyDescent="0.2">
      <c r="A141" s="75"/>
      <c r="B141" s="75"/>
      <c r="C141" s="75"/>
      <c r="D141" s="75"/>
      <c r="E141" s="75"/>
      <c r="F141" s="75"/>
      <c r="G141" s="75"/>
      <c r="H141" s="75"/>
      <c r="I141" s="96"/>
      <c r="J141" s="96"/>
      <c r="K141" s="75"/>
      <c r="L141" s="75"/>
      <c r="M141" s="75"/>
      <c r="N141" s="75"/>
      <c r="O141" s="75"/>
      <c r="P141" s="75"/>
      <c r="Q141" s="96"/>
      <c r="R141" s="75"/>
      <c r="S141" s="75"/>
      <c r="T141" s="75"/>
      <c r="U141" s="75"/>
      <c r="V141" s="75"/>
      <c r="X141" s="166"/>
      <c r="AB141" s="73"/>
      <c r="AC141" s="76"/>
      <c r="AD141" s="74" t="str">
        <f t="shared" si="12"/>
        <v/>
      </c>
      <c r="AE141" s="74" t="str">
        <f t="shared" si="13"/>
        <v/>
      </c>
      <c r="AF141" s="74" t="str">
        <f t="shared" ca="1" si="14"/>
        <v/>
      </c>
      <c r="AG141" s="74" t="str">
        <f t="shared" si="15"/>
        <v/>
      </c>
    </row>
    <row r="142" spans="1:33" x14ac:dyDescent="0.2">
      <c r="A142" s="75"/>
      <c r="B142" s="75"/>
      <c r="C142" s="75"/>
      <c r="D142" s="75"/>
      <c r="E142" s="75"/>
      <c r="F142" s="75"/>
      <c r="G142" s="75"/>
      <c r="H142" s="75"/>
      <c r="I142" s="96"/>
      <c r="J142" s="96"/>
      <c r="K142" s="75"/>
      <c r="L142" s="75"/>
      <c r="M142" s="75"/>
      <c r="N142" s="75"/>
      <c r="O142" s="75"/>
      <c r="P142" s="75"/>
      <c r="Q142" s="96"/>
      <c r="R142" s="75"/>
      <c r="S142" s="75"/>
      <c r="T142" s="75"/>
      <c r="U142" s="75"/>
      <c r="V142" s="75"/>
      <c r="X142" s="166"/>
      <c r="AB142" s="73"/>
      <c r="AC142" s="76"/>
      <c r="AD142" s="74" t="str">
        <f t="shared" si="12"/>
        <v/>
      </c>
      <c r="AE142" s="74" t="str">
        <f t="shared" si="13"/>
        <v/>
      </c>
      <c r="AF142" s="74" t="str">
        <f t="shared" ca="1" si="14"/>
        <v/>
      </c>
      <c r="AG142" s="74" t="str">
        <f t="shared" si="15"/>
        <v/>
      </c>
    </row>
    <row r="143" spans="1:33" x14ac:dyDescent="0.2">
      <c r="A143" s="75"/>
      <c r="B143" s="75"/>
      <c r="C143" s="75"/>
      <c r="D143" s="75"/>
      <c r="E143" s="75"/>
      <c r="F143" s="75"/>
      <c r="G143" s="75"/>
      <c r="H143" s="75"/>
      <c r="I143" s="96"/>
      <c r="J143" s="96"/>
      <c r="K143" s="75"/>
      <c r="L143" s="75"/>
      <c r="M143" s="75"/>
      <c r="N143" s="75"/>
      <c r="O143" s="75"/>
      <c r="P143" s="75"/>
      <c r="Q143" s="96"/>
      <c r="R143" s="75"/>
      <c r="S143" s="75"/>
      <c r="T143" s="75"/>
      <c r="U143" s="75"/>
      <c r="V143" s="75"/>
      <c r="X143" s="166"/>
      <c r="AB143" s="73"/>
      <c r="AC143" s="76"/>
      <c r="AD143" s="74" t="str">
        <f t="shared" si="12"/>
        <v/>
      </c>
      <c r="AE143" s="74" t="str">
        <f t="shared" si="13"/>
        <v/>
      </c>
      <c r="AF143" s="74" t="str">
        <f t="shared" ca="1" si="14"/>
        <v/>
      </c>
      <c r="AG143" s="74" t="str">
        <f t="shared" si="15"/>
        <v/>
      </c>
    </row>
    <row r="144" spans="1:33" x14ac:dyDescent="0.2">
      <c r="A144" s="75"/>
      <c r="B144" s="75"/>
      <c r="C144" s="75"/>
      <c r="D144" s="75"/>
      <c r="E144" s="75"/>
      <c r="F144" s="75"/>
      <c r="G144" s="75"/>
      <c r="H144" s="75"/>
      <c r="I144" s="96"/>
      <c r="J144" s="96"/>
      <c r="K144" s="75"/>
      <c r="L144" s="75"/>
      <c r="M144" s="75"/>
      <c r="N144" s="75"/>
      <c r="O144" s="75"/>
      <c r="P144" s="75"/>
      <c r="Q144" s="96"/>
      <c r="R144" s="75"/>
      <c r="S144" s="75"/>
      <c r="T144" s="75"/>
      <c r="U144" s="75"/>
      <c r="V144" s="75"/>
      <c r="X144" s="166"/>
      <c r="AB144" s="73"/>
      <c r="AC144" s="76"/>
      <c r="AD144" s="74" t="str">
        <f t="shared" si="12"/>
        <v/>
      </c>
      <c r="AE144" s="74" t="str">
        <f t="shared" si="13"/>
        <v/>
      </c>
      <c r="AF144" s="74" t="str">
        <f t="shared" ca="1" si="14"/>
        <v/>
      </c>
      <c r="AG144" s="74" t="str">
        <f t="shared" si="15"/>
        <v/>
      </c>
    </row>
    <row r="145" spans="1:33" x14ac:dyDescent="0.2">
      <c r="A145" s="75"/>
      <c r="B145" s="75"/>
      <c r="C145" s="75"/>
      <c r="D145" s="75"/>
      <c r="E145" s="75"/>
      <c r="F145" s="75"/>
      <c r="G145" s="75"/>
      <c r="H145" s="75"/>
      <c r="I145" s="96"/>
      <c r="J145" s="96"/>
      <c r="K145" s="75"/>
      <c r="L145" s="75"/>
      <c r="M145" s="75"/>
      <c r="N145" s="75"/>
      <c r="O145" s="75"/>
      <c r="P145" s="75"/>
      <c r="Q145" s="96"/>
      <c r="R145" s="75"/>
      <c r="S145" s="75"/>
      <c r="T145" s="75"/>
      <c r="U145" s="75"/>
      <c r="V145" s="75"/>
      <c r="X145" s="166"/>
      <c r="AB145" s="73"/>
      <c r="AC145" s="76"/>
      <c r="AD145" s="74" t="str">
        <f t="shared" si="12"/>
        <v/>
      </c>
      <c r="AE145" s="74" t="str">
        <f t="shared" si="13"/>
        <v/>
      </c>
      <c r="AF145" s="74" t="str">
        <f t="shared" ca="1" si="14"/>
        <v/>
      </c>
      <c r="AG145" s="74" t="str">
        <f t="shared" si="15"/>
        <v/>
      </c>
    </row>
    <row r="146" spans="1:33" x14ac:dyDescent="0.2">
      <c r="A146" s="75"/>
      <c r="B146" s="75"/>
      <c r="C146" s="75"/>
      <c r="D146" s="75"/>
      <c r="E146" s="75"/>
      <c r="F146" s="75"/>
      <c r="G146" s="75"/>
      <c r="H146" s="75"/>
      <c r="I146" s="96"/>
      <c r="J146" s="96"/>
      <c r="K146" s="75"/>
      <c r="L146" s="75"/>
      <c r="M146" s="75"/>
      <c r="N146" s="75"/>
      <c r="O146" s="75"/>
      <c r="P146" s="75"/>
      <c r="Q146" s="96"/>
      <c r="R146" s="75"/>
      <c r="S146" s="75"/>
      <c r="T146" s="75"/>
      <c r="U146" s="75"/>
      <c r="V146" s="75"/>
      <c r="X146" s="166"/>
      <c r="AB146" s="73"/>
      <c r="AC146" s="76"/>
      <c r="AD146" s="74" t="str">
        <f t="shared" si="12"/>
        <v/>
      </c>
      <c r="AE146" s="74" t="str">
        <f t="shared" si="13"/>
        <v/>
      </c>
      <c r="AF146" s="74" t="str">
        <f t="shared" ca="1" si="14"/>
        <v/>
      </c>
      <c r="AG146" s="74" t="str">
        <f t="shared" si="15"/>
        <v/>
      </c>
    </row>
    <row r="147" spans="1:33" x14ac:dyDescent="0.2">
      <c r="A147" s="75"/>
      <c r="B147" s="75"/>
      <c r="C147" s="75"/>
      <c r="D147" s="75"/>
      <c r="E147" s="75"/>
      <c r="F147" s="75"/>
      <c r="G147" s="75"/>
      <c r="H147" s="75"/>
      <c r="I147" s="96"/>
      <c r="J147" s="96"/>
      <c r="K147" s="75"/>
      <c r="L147" s="75"/>
      <c r="M147" s="75"/>
      <c r="N147" s="75"/>
      <c r="O147" s="75"/>
      <c r="P147" s="75"/>
      <c r="Q147" s="96"/>
      <c r="R147" s="75"/>
      <c r="S147" s="75"/>
      <c r="T147" s="75"/>
      <c r="U147" s="75"/>
      <c r="V147" s="75"/>
      <c r="X147" s="166"/>
      <c r="AB147" s="73"/>
      <c r="AC147" s="76"/>
      <c r="AD147" s="74" t="str">
        <f t="shared" si="12"/>
        <v/>
      </c>
      <c r="AE147" s="74" t="str">
        <f t="shared" si="13"/>
        <v/>
      </c>
      <c r="AF147" s="74" t="str">
        <f t="shared" ca="1" si="14"/>
        <v/>
      </c>
      <c r="AG147" s="74" t="str">
        <f t="shared" si="15"/>
        <v/>
      </c>
    </row>
    <row r="148" spans="1:33" x14ac:dyDescent="0.2">
      <c r="A148" s="75"/>
      <c r="B148" s="75"/>
      <c r="C148" s="75"/>
      <c r="D148" s="75"/>
      <c r="E148" s="75"/>
      <c r="F148" s="75"/>
      <c r="G148" s="75"/>
      <c r="H148" s="75"/>
      <c r="I148" s="96"/>
      <c r="J148" s="96"/>
      <c r="K148" s="75"/>
      <c r="L148" s="75"/>
      <c r="M148" s="75"/>
      <c r="N148" s="75"/>
      <c r="O148" s="75"/>
      <c r="P148" s="75"/>
      <c r="Q148" s="96"/>
      <c r="R148" s="75"/>
      <c r="S148" s="75"/>
      <c r="T148" s="75"/>
      <c r="U148" s="75"/>
      <c r="V148" s="75"/>
      <c r="X148" s="166"/>
      <c r="AB148" s="73"/>
      <c r="AC148" s="76"/>
      <c r="AD148" s="74" t="str">
        <f t="shared" si="12"/>
        <v/>
      </c>
      <c r="AE148" s="74" t="str">
        <f t="shared" si="13"/>
        <v/>
      </c>
      <c r="AF148" s="74" t="str">
        <f t="shared" ca="1" si="14"/>
        <v/>
      </c>
      <c r="AG148" s="74" t="str">
        <f t="shared" si="15"/>
        <v/>
      </c>
    </row>
    <row r="149" spans="1:33" x14ac:dyDescent="0.2">
      <c r="A149" s="75"/>
      <c r="B149" s="75"/>
      <c r="C149" s="75"/>
      <c r="D149" s="75"/>
      <c r="E149" s="75"/>
      <c r="F149" s="75"/>
      <c r="G149" s="75"/>
      <c r="H149" s="75"/>
      <c r="I149" s="96"/>
      <c r="J149" s="96"/>
      <c r="K149" s="75"/>
      <c r="L149" s="75"/>
      <c r="M149" s="75"/>
      <c r="N149" s="75"/>
      <c r="O149" s="75"/>
      <c r="P149" s="75"/>
      <c r="Q149" s="96"/>
      <c r="R149" s="75"/>
      <c r="S149" s="75"/>
      <c r="T149" s="75"/>
      <c r="U149" s="75"/>
      <c r="V149" s="75"/>
      <c r="X149" s="166"/>
      <c r="AB149" s="73"/>
      <c r="AD149" s="74" t="str">
        <f t="shared" si="12"/>
        <v/>
      </c>
      <c r="AE149" s="74" t="str">
        <f t="shared" si="13"/>
        <v/>
      </c>
      <c r="AF149" s="74" t="str">
        <f t="shared" ca="1" si="14"/>
        <v/>
      </c>
      <c r="AG149" s="74" t="str">
        <f t="shared" si="15"/>
        <v/>
      </c>
    </row>
    <row r="150" spans="1:33" x14ac:dyDescent="0.2">
      <c r="A150" s="75"/>
      <c r="B150" s="75"/>
      <c r="C150" s="75"/>
      <c r="D150" s="75"/>
      <c r="E150" s="75"/>
      <c r="F150" s="75"/>
      <c r="G150" s="75"/>
      <c r="H150" s="75"/>
      <c r="I150" s="96"/>
      <c r="J150" s="96"/>
      <c r="K150" s="75"/>
      <c r="L150" s="75"/>
      <c r="M150" s="75"/>
      <c r="N150" s="75"/>
      <c r="O150" s="75"/>
      <c r="P150" s="75"/>
      <c r="Q150" s="96"/>
      <c r="R150" s="75"/>
      <c r="S150" s="75"/>
      <c r="T150" s="75"/>
      <c r="U150" s="75"/>
      <c r="V150" s="75"/>
      <c r="X150" s="166"/>
      <c r="AB150" s="73"/>
      <c r="AD150" s="74" t="str">
        <f t="shared" si="12"/>
        <v/>
      </c>
      <c r="AE150" s="74" t="str">
        <f t="shared" si="13"/>
        <v/>
      </c>
      <c r="AF150" s="74" t="str">
        <f t="shared" ca="1" si="14"/>
        <v/>
      </c>
      <c r="AG150" s="74" t="str">
        <f t="shared" si="15"/>
        <v/>
      </c>
    </row>
    <row r="151" spans="1:33" x14ac:dyDescent="0.2">
      <c r="A151" s="75"/>
      <c r="B151" s="75"/>
      <c r="C151" s="75"/>
      <c r="D151" s="75"/>
      <c r="E151" s="75"/>
      <c r="F151" s="75"/>
      <c r="G151" s="75"/>
      <c r="H151" s="75"/>
      <c r="I151" s="96"/>
      <c r="J151" s="96"/>
      <c r="K151" s="75"/>
      <c r="L151" s="75"/>
      <c r="M151" s="75"/>
      <c r="N151" s="75"/>
      <c r="O151" s="75"/>
      <c r="P151" s="75"/>
      <c r="Q151" s="96"/>
      <c r="R151" s="75"/>
      <c r="S151" s="75"/>
      <c r="T151" s="75"/>
      <c r="U151" s="75"/>
      <c r="V151" s="75"/>
      <c r="X151" s="166"/>
      <c r="AB151" s="73"/>
      <c r="AD151" s="74" t="str">
        <f t="shared" si="12"/>
        <v/>
      </c>
      <c r="AE151" s="74" t="str">
        <f t="shared" si="13"/>
        <v/>
      </c>
      <c r="AF151" s="74" t="str">
        <f t="shared" ca="1" si="14"/>
        <v/>
      </c>
      <c r="AG151" s="74" t="str">
        <f t="shared" si="15"/>
        <v/>
      </c>
    </row>
    <row r="152" spans="1:33" x14ac:dyDescent="0.2">
      <c r="A152" s="75"/>
      <c r="B152" s="75"/>
      <c r="C152" s="75"/>
      <c r="D152" s="75"/>
      <c r="E152" s="75"/>
      <c r="F152" s="75"/>
      <c r="G152" s="75"/>
      <c r="H152" s="75"/>
      <c r="I152" s="96"/>
      <c r="J152" s="96"/>
      <c r="K152" s="75"/>
      <c r="L152" s="75"/>
      <c r="M152" s="75"/>
      <c r="N152" s="75"/>
      <c r="O152" s="75"/>
      <c r="P152" s="75"/>
      <c r="Q152" s="96"/>
      <c r="R152" s="75"/>
      <c r="S152" s="75"/>
      <c r="T152" s="75"/>
      <c r="U152" s="75"/>
      <c r="V152" s="75"/>
      <c r="X152" s="166"/>
      <c r="AB152" s="73"/>
      <c r="AD152" s="74" t="str">
        <f t="shared" si="12"/>
        <v/>
      </c>
      <c r="AE152" s="74" t="str">
        <f t="shared" si="13"/>
        <v/>
      </c>
      <c r="AF152" s="74" t="str">
        <f t="shared" ca="1" si="14"/>
        <v/>
      </c>
      <c r="AG152" s="74" t="str">
        <f t="shared" si="15"/>
        <v/>
      </c>
    </row>
    <row r="153" spans="1:33" x14ac:dyDescent="0.2">
      <c r="A153" s="75"/>
      <c r="B153" s="75"/>
      <c r="C153" s="75"/>
      <c r="D153" s="75"/>
      <c r="E153" s="75"/>
      <c r="F153" s="75"/>
      <c r="G153" s="75"/>
      <c r="H153" s="75"/>
      <c r="I153" s="96"/>
      <c r="J153" s="96"/>
      <c r="K153" s="75"/>
      <c r="L153" s="75"/>
      <c r="M153" s="75"/>
      <c r="N153" s="75"/>
      <c r="O153" s="75"/>
      <c r="P153" s="75"/>
      <c r="Q153" s="96"/>
      <c r="R153" s="75"/>
      <c r="S153" s="75"/>
      <c r="T153" s="75"/>
      <c r="U153" s="75"/>
      <c r="V153" s="75"/>
      <c r="X153" s="166"/>
      <c r="AB153" s="73"/>
      <c r="AD153" s="74" t="str">
        <f t="shared" si="12"/>
        <v/>
      </c>
      <c r="AE153" s="74" t="str">
        <f t="shared" si="13"/>
        <v/>
      </c>
      <c r="AF153" s="74" t="str">
        <f t="shared" ca="1" si="14"/>
        <v/>
      </c>
      <c r="AG153" s="74" t="str">
        <f t="shared" si="15"/>
        <v/>
      </c>
    </row>
    <row r="154" spans="1:33" x14ac:dyDescent="0.2">
      <c r="A154" s="75"/>
      <c r="B154" s="75"/>
      <c r="C154" s="75"/>
      <c r="D154" s="75"/>
      <c r="E154" s="75"/>
      <c r="F154" s="75"/>
      <c r="G154" s="75"/>
      <c r="H154" s="75"/>
      <c r="I154" s="96"/>
      <c r="J154" s="96"/>
      <c r="K154" s="75"/>
      <c r="L154" s="75"/>
      <c r="M154" s="75"/>
      <c r="N154" s="75"/>
      <c r="O154" s="75"/>
      <c r="P154" s="75"/>
      <c r="Q154" s="96"/>
      <c r="R154" s="75"/>
      <c r="S154" s="75"/>
      <c r="T154" s="75"/>
      <c r="U154" s="75"/>
      <c r="V154" s="75"/>
      <c r="X154" s="166"/>
      <c r="AB154" s="73"/>
      <c r="AD154" s="74" t="str">
        <f t="shared" si="12"/>
        <v/>
      </c>
      <c r="AE154" s="74" t="str">
        <f t="shared" si="13"/>
        <v/>
      </c>
      <c r="AF154" s="74" t="str">
        <f t="shared" ca="1" si="14"/>
        <v/>
      </c>
      <c r="AG154" s="74" t="str">
        <f t="shared" si="15"/>
        <v/>
      </c>
    </row>
    <row r="155" spans="1:33" x14ac:dyDescent="0.2">
      <c r="A155" s="75"/>
      <c r="B155" s="75"/>
      <c r="C155" s="75"/>
      <c r="D155" s="75"/>
      <c r="E155" s="75"/>
      <c r="F155" s="75"/>
      <c r="G155" s="75"/>
      <c r="H155" s="75"/>
      <c r="I155" s="96"/>
      <c r="J155" s="96"/>
      <c r="K155" s="75"/>
      <c r="L155" s="75"/>
      <c r="M155" s="75"/>
      <c r="N155" s="75"/>
      <c r="O155" s="75"/>
      <c r="P155" s="75"/>
      <c r="Q155" s="96"/>
      <c r="R155" s="75"/>
      <c r="S155" s="75"/>
      <c r="T155" s="75"/>
      <c r="U155" s="75"/>
      <c r="V155" s="75"/>
      <c r="X155" s="166"/>
      <c r="AB155" s="73"/>
      <c r="AD155" s="74" t="str">
        <f t="shared" si="12"/>
        <v/>
      </c>
      <c r="AE155" s="74" t="str">
        <f t="shared" si="13"/>
        <v/>
      </c>
      <c r="AF155" s="74" t="str">
        <f t="shared" ca="1" si="14"/>
        <v/>
      </c>
      <c r="AG155" s="74" t="str">
        <f t="shared" si="15"/>
        <v/>
      </c>
    </row>
    <row r="156" spans="1:33" x14ac:dyDescent="0.2">
      <c r="A156" s="75"/>
      <c r="B156" s="75"/>
      <c r="C156" s="75"/>
      <c r="D156" s="75"/>
      <c r="E156" s="75"/>
      <c r="F156" s="75"/>
      <c r="G156" s="75"/>
      <c r="H156" s="75"/>
      <c r="I156" s="96"/>
      <c r="J156" s="96"/>
      <c r="K156" s="75"/>
      <c r="L156" s="75"/>
      <c r="M156" s="75"/>
      <c r="N156" s="75"/>
      <c r="O156" s="75"/>
      <c r="P156" s="75"/>
      <c r="Q156" s="96"/>
      <c r="R156" s="75"/>
      <c r="S156" s="75"/>
      <c r="T156" s="75"/>
      <c r="U156" s="75"/>
      <c r="V156" s="75"/>
      <c r="X156" s="166"/>
      <c r="AB156" s="73"/>
      <c r="AD156" s="74" t="str">
        <f t="shared" si="12"/>
        <v/>
      </c>
      <c r="AE156" s="74" t="str">
        <f t="shared" si="13"/>
        <v/>
      </c>
      <c r="AF156" s="74" t="str">
        <f t="shared" ca="1" si="14"/>
        <v/>
      </c>
      <c r="AG156" s="74" t="str">
        <f t="shared" si="15"/>
        <v/>
      </c>
    </row>
    <row r="157" spans="1:33" x14ac:dyDescent="0.2">
      <c r="A157" s="75"/>
      <c r="B157" s="75"/>
      <c r="C157" s="75"/>
      <c r="D157" s="75"/>
      <c r="E157" s="75"/>
      <c r="F157" s="75"/>
      <c r="G157" s="75"/>
      <c r="H157" s="75"/>
      <c r="I157" s="96"/>
      <c r="J157" s="96"/>
      <c r="K157" s="75"/>
      <c r="L157" s="75"/>
      <c r="M157" s="75"/>
      <c r="N157" s="75"/>
      <c r="O157" s="75"/>
      <c r="P157" s="75"/>
      <c r="Q157" s="96"/>
      <c r="R157" s="75"/>
      <c r="S157" s="75"/>
      <c r="T157" s="75"/>
      <c r="U157" s="75"/>
      <c r="V157" s="75"/>
      <c r="X157" s="166"/>
      <c r="AB157" s="73"/>
      <c r="AD157" s="74" t="str">
        <f t="shared" si="12"/>
        <v/>
      </c>
      <c r="AE157" s="74" t="str">
        <f t="shared" si="13"/>
        <v/>
      </c>
      <c r="AF157" s="74" t="str">
        <f t="shared" ca="1" si="14"/>
        <v/>
      </c>
      <c r="AG157" s="74" t="str">
        <f t="shared" si="15"/>
        <v/>
      </c>
    </row>
    <row r="158" spans="1:33" x14ac:dyDescent="0.2">
      <c r="A158" s="75"/>
      <c r="B158" s="75"/>
      <c r="C158" s="75"/>
      <c r="D158" s="75"/>
      <c r="E158" s="75"/>
      <c r="F158" s="75"/>
      <c r="G158" s="75"/>
      <c r="H158" s="75"/>
      <c r="I158" s="96"/>
      <c r="J158" s="96"/>
      <c r="K158" s="75"/>
      <c r="L158" s="75"/>
      <c r="M158" s="75"/>
      <c r="N158" s="75"/>
      <c r="O158" s="75"/>
      <c r="P158" s="75"/>
      <c r="Q158" s="96"/>
      <c r="R158" s="75"/>
      <c r="S158" s="75"/>
      <c r="T158" s="75"/>
      <c r="U158" s="75"/>
      <c r="V158" s="75"/>
      <c r="X158" s="166"/>
      <c r="AB158" s="73"/>
      <c r="AD158" s="74" t="str">
        <f t="shared" si="12"/>
        <v/>
      </c>
      <c r="AE158" s="74" t="str">
        <f t="shared" si="13"/>
        <v/>
      </c>
      <c r="AF158" s="74" t="str">
        <f t="shared" ca="1" si="14"/>
        <v/>
      </c>
      <c r="AG158" s="74" t="str">
        <f t="shared" si="15"/>
        <v/>
      </c>
    </row>
    <row r="159" spans="1:33" x14ac:dyDescent="0.2">
      <c r="A159" s="75"/>
      <c r="B159" s="75"/>
      <c r="C159" s="75"/>
      <c r="D159" s="75"/>
      <c r="E159" s="75"/>
      <c r="F159" s="75"/>
      <c r="G159" s="75"/>
      <c r="H159" s="75"/>
      <c r="I159" s="96"/>
      <c r="J159" s="96"/>
      <c r="K159" s="75"/>
      <c r="L159" s="75"/>
      <c r="M159" s="75"/>
      <c r="N159" s="75"/>
      <c r="O159" s="75"/>
      <c r="P159" s="75"/>
      <c r="Q159" s="96"/>
      <c r="R159" s="75"/>
      <c r="S159" s="75"/>
      <c r="T159" s="75"/>
      <c r="U159" s="75"/>
      <c r="V159" s="75"/>
      <c r="X159" s="166"/>
      <c r="AB159" s="73"/>
      <c r="AD159" s="74" t="str">
        <f t="shared" si="12"/>
        <v/>
      </c>
      <c r="AE159" s="74" t="str">
        <f t="shared" si="13"/>
        <v/>
      </c>
      <c r="AF159" s="74" t="str">
        <f t="shared" ca="1" si="14"/>
        <v/>
      </c>
      <c r="AG159" s="74" t="str">
        <f t="shared" si="15"/>
        <v/>
      </c>
    </row>
    <row r="160" spans="1:33" x14ac:dyDescent="0.2">
      <c r="A160" s="75"/>
      <c r="B160" s="75"/>
      <c r="C160" s="75"/>
      <c r="D160" s="75"/>
      <c r="E160" s="75"/>
      <c r="F160" s="75"/>
      <c r="G160" s="75"/>
      <c r="H160" s="75"/>
      <c r="I160" s="96"/>
      <c r="J160" s="96"/>
      <c r="K160" s="75"/>
      <c r="L160" s="75"/>
      <c r="M160" s="75"/>
      <c r="N160" s="75"/>
      <c r="O160" s="75"/>
      <c r="P160" s="75"/>
      <c r="Q160" s="96"/>
      <c r="R160" s="75"/>
      <c r="S160" s="75"/>
      <c r="T160" s="75"/>
      <c r="U160" s="75"/>
      <c r="V160" s="75"/>
      <c r="X160" s="166"/>
      <c r="AB160" s="73"/>
      <c r="AD160" s="74" t="str">
        <f t="shared" si="12"/>
        <v/>
      </c>
      <c r="AE160" s="74" t="str">
        <f t="shared" si="13"/>
        <v/>
      </c>
      <c r="AF160" s="74" t="str">
        <f t="shared" ca="1" si="14"/>
        <v/>
      </c>
      <c r="AG160" s="74" t="str">
        <f t="shared" si="15"/>
        <v/>
      </c>
    </row>
    <row r="161" spans="1:33" x14ac:dyDescent="0.2">
      <c r="A161" s="75"/>
      <c r="B161" s="75"/>
      <c r="C161" s="75"/>
      <c r="D161" s="75"/>
      <c r="E161" s="75"/>
      <c r="F161" s="75"/>
      <c r="G161" s="75"/>
      <c r="H161" s="75"/>
      <c r="I161" s="96"/>
      <c r="J161" s="96"/>
      <c r="K161" s="75"/>
      <c r="L161" s="75"/>
      <c r="M161" s="75"/>
      <c r="N161" s="75"/>
      <c r="O161" s="75"/>
      <c r="P161" s="75"/>
      <c r="Q161" s="96"/>
      <c r="R161" s="75"/>
      <c r="S161" s="75"/>
      <c r="T161" s="75"/>
      <c r="U161" s="75"/>
      <c r="V161" s="75"/>
      <c r="X161" s="166"/>
      <c r="AB161" s="73"/>
      <c r="AD161" s="74" t="str">
        <f t="shared" si="12"/>
        <v/>
      </c>
      <c r="AE161" s="74" t="str">
        <f t="shared" si="13"/>
        <v/>
      </c>
      <c r="AF161" s="74" t="str">
        <f t="shared" ca="1" si="14"/>
        <v/>
      </c>
      <c r="AG161" s="74" t="str">
        <f t="shared" si="15"/>
        <v/>
      </c>
    </row>
    <row r="162" spans="1:33" x14ac:dyDescent="0.2">
      <c r="A162" s="75"/>
      <c r="B162" s="75"/>
      <c r="C162" s="75"/>
      <c r="D162" s="75"/>
      <c r="E162" s="75"/>
      <c r="F162" s="75"/>
      <c r="G162" s="75"/>
      <c r="H162" s="75"/>
      <c r="I162" s="96"/>
      <c r="J162" s="96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X162" s="166"/>
      <c r="AB162" s="73"/>
      <c r="AD162" s="74" t="str">
        <f t="shared" si="12"/>
        <v/>
      </c>
      <c r="AE162" s="74" t="str">
        <f t="shared" si="13"/>
        <v/>
      </c>
      <c r="AF162" s="74" t="str">
        <f t="shared" ca="1" si="14"/>
        <v/>
      </c>
      <c r="AG162" s="74" t="str">
        <f t="shared" si="15"/>
        <v/>
      </c>
    </row>
    <row r="163" spans="1:33" x14ac:dyDescent="0.2">
      <c r="A163" s="75"/>
      <c r="B163" s="75"/>
      <c r="C163" s="75"/>
      <c r="D163" s="75"/>
      <c r="E163" s="75"/>
      <c r="F163" s="75"/>
      <c r="G163" s="75"/>
      <c r="H163" s="75"/>
      <c r="I163" s="96"/>
      <c r="J163" s="96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X163" s="166"/>
      <c r="AB163" s="73"/>
      <c r="AD163" s="74" t="str">
        <f t="shared" si="12"/>
        <v/>
      </c>
      <c r="AE163" s="74" t="str">
        <f t="shared" si="13"/>
        <v/>
      </c>
      <c r="AF163" s="74" t="str">
        <f t="shared" ca="1" si="14"/>
        <v/>
      </c>
      <c r="AG163" s="74" t="str">
        <f t="shared" si="15"/>
        <v/>
      </c>
    </row>
    <row r="164" spans="1:33" x14ac:dyDescent="0.2">
      <c r="A164" s="75"/>
      <c r="B164" s="75"/>
      <c r="C164" s="75"/>
      <c r="D164" s="75"/>
      <c r="E164" s="75"/>
      <c r="F164" s="75"/>
      <c r="G164" s="75"/>
      <c r="H164" s="75"/>
      <c r="I164" s="96"/>
      <c r="J164" s="96"/>
      <c r="K164" s="75"/>
      <c r="L164" s="75"/>
      <c r="M164" s="75"/>
      <c r="N164" s="75"/>
      <c r="O164" s="75"/>
      <c r="P164" s="75"/>
      <c r="Q164" s="96"/>
      <c r="R164" s="75"/>
      <c r="S164" s="75"/>
      <c r="T164" s="75"/>
      <c r="U164" s="75"/>
      <c r="V164" s="75"/>
      <c r="X164" s="166"/>
      <c r="AB164" s="73"/>
      <c r="AD164" s="74" t="str">
        <f t="shared" si="12"/>
        <v/>
      </c>
      <c r="AE164" s="74" t="str">
        <f t="shared" si="13"/>
        <v/>
      </c>
      <c r="AF164" s="74" t="str">
        <f t="shared" ca="1" si="14"/>
        <v/>
      </c>
      <c r="AG164" s="74" t="str">
        <f t="shared" si="15"/>
        <v/>
      </c>
    </row>
    <row r="165" spans="1:33" x14ac:dyDescent="0.2">
      <c r="A165" s="75"/>
      <c r="B165" s="75"/>
      <c r="C165" s="75"/>
      <c r="D165" s="75"/>
      <c r="E165" s="75"/>
      <c r="F165" s="75"/>
      <c r="G165" s="75"/>
      <c r="H165" s="75"/>
      <c r="I165" s="96"/>
      <c r="J165" s="96"/>
      <c r="K165" s="75"/>
      <c r="L165" s="75"/>
      <c r="M165" s="75"/>
      <c r="N165" s="75"/>
      <c r="O165" s="75"/>
      <c r="P165" s="75"/>
      <c r="Q165" s="96"/>
      <c r="R165" s="75"/>
      <c r="S165" s="75"/>
      <c r="T165" s="75"/>
      <c r="U165" s="75"/>
      <c r="V165" s="75"/>
      <c r="X165" s="166"/>
      <c r="AB165" s="73"/>
      <c r="AD165" s="74" t="str">
        <f t="shared" ref="AD165:AD228" si="16">IF(A:A&lt;&gt;"",(M165&amp;"-"&amp;N165),"")</f>
        <v/>
      </c>
      <c r="AE165" s="74" t="str">
        <f t="shared" ref="AE165:AE228" si="17">IF(F:F&lt;&gt;"",IF(F165="Other","Proactive",IF(F165="Proactive","Proactive","Reactive")),"")</f>
        <v/>
      </c>
      <c r="AF165" s="74" t="str">
        <f t="shared" ref="AF165:AF228" ca="1" si="18">IF(I:I&lt;&gt;"",(IF(E165&lt;&gt;"Closed",DATEDIF(I165,TODAY(),"d"),"")),"")</f>
        <v/>
      </c>
      <c r="AG165" s="74" t="str">
        <f t="shared" ref="AG165:AG228" si="19">IF(R:R&lt;&gt;"",DATEDIF(I165,R165,"d"),"")</f>
        <v/>
      </c>
    </row>
    <row r="166" spans="1:33" x14ac:dyDescent="0.2">
      <c r="A166" s="75"/>
      <c r="B166" s="75"/>
      <c r="C166" s="75"/>
      <c r="D166" s="75"/>
      <c r="E166" s="75"/>
      <c r="F166" s="75"/>
      <c r="G166" s="75"/>
      <c r="H166" s="75"/>
      <c r="I166" s="96"/>
      <c r="J166" s="96"/>
      <c r="K166" s="75"/>
      <c r="L166" s="75"/>
      <c r="M166" s="75"/>
      <c r="N166" s="75"/>
      <c r="O166" s="75"/>
      <c r="P166" s="75"/>
      <c r="Q166" s="96"/>
      <c r="R166" s="75"/>
      <c r="S166" s="75"/>
      <c r="T166" s="75"/>
      <c r="U166" s="75"/>
      <c r="V166" s="75"/>
      <c r="X166" s="166"/>
      <c r="AB166" s="73"/>
      <c r="AD166" s="74" t="str">
        <f t="shared" si="16"/>
        <v/>
      </c>
      <c r="AE166" s="74" t="str">
        <f t="shared" si="17"/>
        <v/>
      </c>
      <c r="AF166" s="74" t="str">
        <f t="shared" ca="1" si="18"/>
        <v/>
      </c>
      <c r="AG166" s="74" t="str">
        <f t="shared" si="19"/>
        <v/>
      </c>
    </row>
    <row r="167" spans="1:33" x14ac:dyDescent="0.2">
      <c r="A167" s="75"/>
      <c r="B167" s="75"/>
      <c r="C167" s="75"/>
      <c r="D167" s="75"/>
      <c r="E167" s="75"/>
      <c r="F167" s="75"/>
      <c r="G167" s="75"/>
      <c r="H167" s="75"/>
      <c r="I167" s="96"/>
      <c r="J167" s="96"/>
      <c r="K167" s="75"/>
      <c r="L167" s="75"/>
      <c r="M167" s="75"/>
      <c r="N167" s="75"/>
      <c r="O167" s="75"/>
      <c r="P167" s="75"/>
      <c r="Q167" s="96"/>
      <c r="R167" s="75"/>
      <c r="S167" s="75"/>
      <c r="T167" s="75"/>
      <c r="U167" s="75"/>
      <c r="V167" s="75"/>
      <c r="X167" s="166"/>
      <c r="AB167" s="73"/>
      <c r="AD167" s="74" t="str">
        <f t="shared" si="16"/>
        <v/>
      </c>
      <c r="AE167" s="74" t="str">
        <f t="shared" si="17"/>
        <v/>
      </c>
      <c r="AF167" s="74" t="str">
        <f t="shared" ca="1" si="18"/>
        <v/>
      </c>
      <c r="AG167" s="74" t="str">
        <f t="shared" si="19"/>
        <v/>
      </c>
    </row>
    <row r="168" spans="1:33" x14ac:dyDescent="0.2">
      <c r="A168" s="75"/>
      <c r="B168" s="75"/>
      <c r="C168" s="75"/>
      <c r="D168" s="75"/>
      <c r="E168" s="75"/>
      <c r="F168" s="75"/>
      <c r="G168" s="75"/>
      <c r="H168" s="75"/>
      <c r="I168" s="96"/>
      <c r="J168" s="96"/>
      <c r="K168" s="75"/>
      <c r="L168" s="75"/>
      <c r="M168" s="75"/>
      <c r="N168" s="75"/>
      <c r="O168" s="75"/>
      <c r="P168" s="75"/>
      <c r="Q168" s="96"/>
      <c r="R168" s="75"/>
      <c r="S168" s="75"/>
      <c r="T168" s="75"/>
      <c r="U168" s="75"/>
      <c r="V168" s="75"/>
      <c r="X168" s="166"/>
      <c r="AB168" s="73"/>
      <c r="AD168" s="74" t="str">
        <f t="shared" si="16"/>
        <v/>
      </c>
      <c r="AE168" s="74" t="str">
        <f t="shared" si="17"/>
        <v/>
      </c>
      <c r="AF168" s="74" t="str">
        <f t="shared" ca="1" si="18"/>
        <v/>
      </c>
      <c r="AG168" s="74" t="str">
        <f t="shared" si="19"/>
        <v/>
      </c>
    </row>
    <row r="169" spans="1:33" x14ac:dyDescent="0.2">
      <c r="A169" s="75"/>
      <c r="B169" s="75"/>
      <c r="C169" s="75"/>
      <c r="D169" s="75"/>
      <c r="E169" s="75"/>
      <c r="F169" s="75"/>
      <c r="G169" s="75"/>
      <c r="H169" s="75"/>
      <c r="I169" s="96"/>
      <c r="J169" s="96"/>
      <c r="K169" s="75"/>
      <c r="L169" s="75"/>
      <c r="M169" s="75"/>
      <c r="N169" s="75"/>
      <c r="O169" s="75"/>
      <c r="P169" s="75"/>
      <c r="Q169" s="96"/>
      <c r="R169" s="75"/>
      <c r="S169" s="75"/>
      <c r="T169" s="75"/>
      <c r="U169" s="75"/>
      <c r="V169" s="75"/>
      <c r="X169" s="166"/>
      <c r="AB169" s="73"/>
      <c r="AD169" s="74" t="str">
        <f t="shared" si="16"/>
        <v/>
      </c>
      <c r="AE169" s="74" t="str">
        <f t="shared" si="17"/>
        <v/>
      </c>
      <c r="AF169" s="74" t="str">
        <f t="shared" ca="1" si="18"/>
        <v/>
      </c>
      <c r="AG169" s="74" t="str">
        <f t="shared" si="19"/>
        <v/>
      </c>
    </row>
    <row r="170" spans="1:33" x14ac:dyDescent="0.2">
      <c r="A170" s="75"/>
      <c r="B170" s="75"/>
      <c r="C170" s="75"/>
      <c r="D170" s="75"/>
      <c r="E170" s="75"/>
      <c r="F170" s="75"/>
      <c r="G170" s="75"/>
      <c r="H170" s="75"/>
      <c r="I170" s="96"/>
      <c r="J170" s="96"/>
      <c r="K170" s="75"/>
      <c r="L170" s="75"/>
      <c r="M170" s="75"/>
      <c r="N170" s="75"/>
      <c r="O170" s="75"/>
      <c r="P170" s="75"/>
      <c r="Q170" s="96"/>
      <c r="R170" s="75"/>
      <c r="S170" s="75"/>
      <c r="T170" s="75"/>
      <c r="U170" s="75"/>
      <c r="V170" s="75"/>
      <c r="X170" s="166"/>
      <c r="AB170" s="73"/>
      <c r="AD170" s="74" t="str">
        <f t="shared" si="16"/>
        <v/>
      </c>
      <c r="AE170" s="74" t="str">
        <f t="shared" si="17"/>
        <v/>
      </c>
      <c r="AF170" s="74" t="str">
        <f t="shared" ca="1" si="18"/>
        <v/>
      </c>
      <c r="AG170" s="74" t="str">
        <f t="shared" si="19"/>
        <v/>
      </c>
    </row>
    <row r="171" spans="1:33" x14ac:dyDescent="0.2">
      <c r="A171" s="75"/>
      <c r="B171" s="75"/>
      <c r="C171" s="75"/>
      <c r="D171" s="75"/>
      <c r="E171" s="75"/>
      <c r="F171" s="75"/>
      <c r="G171" s="75"/>
      <c r="H171" s="75"/>
      <c r="I171" s="96"/>
      <c r="J171" s="96"/>
      <c r="K171" s="75"/>
      <c r="L171" s="75"/>
      <c r="M171" s="75"/>
      <c r="N171" s="75"/>
      <c r="O171" s="75"/>
      <c r="P171" s="75"/>
      <c r="Q171" s="96"/>
      <c r="R171" s="75"/>
      <c r="S171" s="75"/>
      <c r="T171" s="75"/>
      <c r="U171" s="75"/>
      <c r="V171" s="75"/>
      <c r="X171" s="166"/>
      <c r="AB171" s="73"/>
      <c r="AD171" s="74" t="str">
        <f t="shared" si="16"/>
        <v/>
      </c>
      <c r="AE171" s="74" t="str">
        <f t="shared" si="17"/>
        <v/>
      </c>
      <c r="AF171" s="74" t="str">
        <f t="shared" ca="1" si="18"/>
        <v/>
      </c>
      <c r="AG171" s="74" t="str">
        <f t="shared" si="19"/>
        <v/>
      </c>
    </row>
    <row r="172" spans="1:33" x14ac:dyDescent="0.2">
      <c r="A172" s="75"/>
      <c r="B172" s="75"/>
      <c r="C172" s="75"/>
      <c r="D172" s="75"/>
      <c r="E172" s="75"/>
      <c r="F172" s="75"/>
      <c r="G172" s="75"/>
      <c r="H172" s="75"/>
      <c r="I172" s="96"/>
      <c r="J172" s="96"/>
      <c r="K172" s="75"/>
      <c r="L172" s="75"/>
      <c r="M172" s="75"/>
      <c r="N172" s="75"/>
      <c r="O172" s="75"/>
      <c r="P172" s="75"/>
      <c r="Q172" s="96"/>
      <c r="R172" s="75"/>
      <c r="S172" s="75"/>
      <c r="T172" s="75"/>
      <c r="U172" s="75"/>
      <c r="V172" s="75"/>
      <c r="X172" s="166"/>
      <c r="AB172" s="73"/>
      <c r="AD172" s="74" t="str">
        <f t="shared" si="16"/>
        <v/>
      </c>
      <c r="AE172" s="74" t="str">
        <f t="shared" si="17"/>
        <v/>
      </c>
      <c r="AF172" s="74" t="str">
        <f t="shared" ca="1" si="18"/>
        <v/>
      </c>
      <c r="AG172" s="74" t="str">
        <f t="shared" si="19"/>
        <v/>
      </c>
    </row>
    <row r="173" spans="1:33" x14ac:dyDescent="0.2">
      <c r="A173" s="75"/>
      <c r="B173" s="75"/>
      <c r="C173" s="75"/>
      <c r="D173" s="75"/>
      <c r="E173" s="75"/>
      <c r="F173" s="75"/>
      <c r="G173" s="75"/>
      <c r="H173" s="75"/>
      <c r="I173" s="96"/>
      <c r="J173" s="96"/>
      <c r="K173" s="75"/>
      <c r="L173" s="75"/>
      <c r="M173" s="75"/>
      <c r="N173" s="75"/>
      <c r="O173" s="75"/>
      <c r="P173" s="75"/>
      <c r="Q173" s="96"/>
      <c r="R173" s="75"/>
      <c r="S173" s="75"/>
      <c r="T173" s="75"/>
      <c r="U173" s="75"/>
      <c r="V173" s="75"/>
      <c r="X173" s="166"/>
      <c r="AB173" s="73"/>
      <c r="AD173" s="74" t="str">
        <f t="shared" si="16"/>
        <v/>
      </c>
      <c r="AE173" s="74" t="str">
        <f t="shared" si="17"/>
        <v/>
      </c>
      <c r="AF173" s="74" t="str">
        <f t="shared" ca="1" si="18"/>
        <v/>
      </c>
      <c r="AG173" s="74" t="str">
        <f t="shared" si="19"/>
        <v/>
      </c>
    </row>
    <row r="174" spans="1:33" x14ac:dyDescent="0.2">
      <c r="A174" s="75"/>
      <c r="B174" s="75"/>
      <c r="C174" s="75"/>
      <c r="D174" s="75"/>
      <c r="E174" s="75"/>
      <c r="F174" s="75"/>
      <c r="G174" s="75"/>
      <c r="H174" s="75"/>
      <c r="I174" s="96"/>
      <c r="J174" s="96"/>
      <c r="K174" s="75"/>
      <c r="L174" s="75"/>
      <c r="M174" s="75"/>
      <c r="N174" s="75"/>
      <c r="O174" s="75"/>
      <c r="P174" s="75"/>
      <c r="Q174" s="96"/>
      <c r="R174" s="75"/>
      <c r="S174" s="75"/>
      <c r="T174" s="75"/>
      <c r="U174" s="75"/>
      <c r="V174" s="75"/>
      <c r="X174" s="166"/>
      <c r="AB174" s="73"/>
      <c r="AD174" s="74" t="str">
        <f t="shared" si="16"/>
        <v/>
      </c>
      <c r="AE174" s="74" t="str">
        <f t="shared" si="17"/>
        <v/>
      </c>
      <c r="AF174" s="74" t="str">
        <f t="shared" ca="1" si="18"/>
        <v/>
      </c>
      <c r="AG174" s="74" t="str">
        <f t="shared" si="19"/>
        <v/>
      </c>
    </row>
    <row r="175" spans="1:33" x14ac:dyDescent="0.2">
      <c r="A175" s="75"/>
      <c r="B175" s="75"/>
      <c r="C175" s="75"/>
      <c r="D175" s="75"/>
      <c r="E175" s="75"/>
      <c r="F175" s="75"/>
      <c r="G175" s="75"/>
      <c r="H175" s="75"/>
      <c r="I175" s="96"/>
      <c r="J175" s="96"/>
      <c r="K175" s="75"/>
      <c r="L175" s="75"/>
      <c r="M175" s="75"/>
      <c r="N175" s="75"/>
      <c r="O175" s="75"/>
      <c r="P175" s="75"/>
      <c r="Q175" s="96"/>
      <c r="R175" s="75"/>
      <c r="S175" s="75"/>
      <c r="T175" s="75"/>
      <c r="U175" s="75"/>
      <c r="V175" s="75"/>
      <c r="X175" s="166"/>
      <c r="AB175" s="73"/>
      <c r="AD175" s="74" t="str">
        <f t="shared" si="16"/>
        <v/>
      </c>
      <c r="AE175" s="74" t="str">
        <f t="shared" si="17"/>
        <v/>
      </c>
      <c r="AF175" s="74" t="str">
        <f t="shared" ca="1" si="18"/>
        <v/>
      </c>
      <c r="AG175" s="74" t="str">
        <f t="shared" si="19"/>
        <v/>
      </c>
    </row>
    <row r="176" spans="1:33" x14ac:dyDescent="0.2">
      <c r="A176" s="75"/>
      <c r="B176" s="75"/>
      <c r="C176" s="75"/>
      <c r="D176" s="75"/>
      <c r="E176" s="75"/>
      <c r="F176" s="75"/>
      <c r="G176" s="75"/>
      <c r="H176" s="75"/>
      <c r="I176" s="96"/>
      <c r="J176" s="96"/>
      <c r="K176" s="75"/>
      <c r="L176" s="75"/>
      <c r="M176" s="75"/>
      <c r="N176" s="75"/>
      <c r="O176" s="75"/>
      <c r="P176" s="75"/>
      <c r="Q176" s="96"/>
      <c r="R176" s="75"/>
      <c r="S176" s="75"/>
      <c r="T176" s="75"/>
      <c r="U176" s="75"/>
      <c r="V176" s="75"/>
      <c r="X176" s="166"/>
      <c r="AB176" s="73"/>
      <c r="AD176" s="74" t="str">
        <f t="shared" si="16"/>
        <v/>
      </c>
      <c r="AE176" s="74" t="str">
        <f t="shared" si="17"/>
        <v/>
      </c>
      <c r="AF176" s="74" t="str">
        <f t="shared" ca="1" si="18"/>
        <v/>
      </c>
      <c r="AG176" s="74" t="str">
        <f t="shared" si="19"/>
        <v/>
      </c>
    </row>
    <row r="177" spans="1:33" x14ac:dyDescent="0.2">
      <c r="A177" s="75"/>
      <c r="B177" s="75"/>
      <c r="C177" s="75"/>
      <c r="D177" s="75"/>
      <c r="E177" s="75"/>
      <c r="F177" s="75"/>
      <c r="G177" s="75"/>
      <c r="H177" s="75"/>
      <c r="I177" s="96"/>
      <c r="J177" s="96"/>
      <c r="K177" s="75"/>
      <c r="L177" s="75"/>
      <c r="M177" s="75"/>
      <c r="N177" s="75"/>
      <c r="O177" s="75"/>
      <c r="P177" s="75"/>
      <c r="Q177" s="96"/>
      <c r="R177" s="75"/>
      <c r="S177" s="75"/>
      <c r="T177" s="75"/>
      <c r="U177" s="75"/>
      <c r="V177" s="75"/>
      <c r="X177" s="166"/>
      <c r="AB177" s="73"/>
      <c r="AD177" s="74" t="str">
        <f t="shared" si="16"/>
        <v/>
      </c>
      <c r="AE177" s="74" t="str">
        <f t="shared" si="17"/>
        <v/>
      </c>
      <c r="AF177" s="74" t="str">
        <f t="shared" ca="1" si="18"/>
        <v/>
      </c>
      <c r="AG177" s="74" t="str">
        <f t="shared" si="19"/>
        <v/>
      </c>
    </row>
    <row r="178" spans="1:33" x14ac:dyDescent="0.2">
      <c r="A178" s="75"/>
      <c r="B178" s="75"/>
      <c r="C178" s="75"/>
      <c r="D178" s="75"/>
      <c r="E178" s="75"/>
      <c r="F178" s="75"/>
      <c r="G178" s="75"/>
      <c r="H178" s="75"/>
      <c r="I178" s="96"/>
      <c r="J178" s="96"/>
      <c r="K178" s="75"/>
      <c r="L178" s="75"/>
      <c r="M178" s="75"/>
      <c r="N178" s="75"/>
      <c r="O178" s="75"/>
      <c r="P178" s="75"/>
      <c r="Q178" s="96"/>
      <c r="R178" s="75"/>
      <c r="S178" s="75"/>
      <c r="T178" s="75"/>
      <c r="U178" s="75"/>
      <c r="V178" s="75"/>
      <c r="X178" s="166"/>
      <c r="AB178" s="73"/>
      <c r="AD178" s="74" t="str">
        <f t="shared" si="16"/>
        <v/>
      </c>
      <c r="AE178" s="74" t="str">
        <f t="shared" si="17"/>
        <v/>
      </c>
      <c r="AF178" s="74" t="str">
        <f t="shared" ca="1" si="18"/>
        <v/>
      </c>
      <c r="AG178" s="74" t="str">
        <f t="shared" si="19"/>
        <v/>
      </c>
    </row>
    <row r="179" spans="1:33" x14ac:dyDescent="0.2">
      <c r="A179" s="75"/>
      <c r="B179" s="75"/>
      <c r="C179" s="75"/>
      <c r="D179" s="75"/>
      <c r="E179" s="75"/>
      <c r="F179" s="75"/>
      <c r="G179" s="75"/>
      <c r="H179" s="75"/>
      <c r="I179" s="96"/>
      <c r="J179" s="96"/>
      <c r="K179" s="75"/>
      <c r="L179" s="75"/>
      <c r="M179" s="75"/>
      <c r="N179" s="75"/>
      <c r="O179" s="75"/>
      <c r="P179" s="75"/>
      <c r="Q179" s="96"/>
      <c r="R179" s="75"/>
      <c r="S179" s="75"/>
      <c r="T179" s="75"/>
      <c r="U179" s="75"/>
      <c r="V179" s="75"/>
      <c r="X179" s="166"/>
      <c r="AB179" s="73"/>
      <c r="AD179" s="74" t="str">
        <f t="shared" si="16"/>
        <v/>
      </c>
      <c r="AE179" s="74" t="str">
        <f t="shared" si="17"/>
        <v/>
      </c>
      <c r="AF179" s="74" t="str">
        <f t="shared" ca="1" si="18"/>
        <v/>
      </c>
      <c r="AG179" s="74" t="str">
        <f t="shared" si="19"/>
        <v/>
      </c>
    </row>
    <row r="180" spans="1:33" x14ac:dyDescent="0.2">
      <c r="A180" s="75"/>
      <c r="B180" s="75"/>
      <c r="C180" s="75"/>
      <c r="D180" s="75"/>
      <c r="E180" s="75"/>
      <c r="F180" s="75"/>
      <c r="G180" s="75"/>
      <c r="H180" s="75"/>
      <c r="I180" s="96"/>
      <c r="J180" s="96"/>
      <c r="K180" s="75"/>
      <c r="L180" s="75"/>
      <c r="M180" s="75"/>
      <c r="N180" s="75"/>
      <c r="O180" s="75"/>
      <c r="P180" s="75"/>
      <c r="Q180" s="96"/>
      <c r="R180" s="75"/>
      <c r="S180" s="75"/>
      <c r="T180" s="75"/>
      <c r="U180" s="75"/>
      <c r="V180" s="75"/>
      <c r="X180" s="166"/>
      <c r="AB180" s="73"/>
      <c r="AD180" s="74" t="str">
        <f t="shared" si="16"/>
        <v/>
      </c>
      <c r="AE180" s="74" t="str">
        <f t="shared" si="17"/>
        <v/>
      </c>
      <c r="AF180" s="74" t="str">
        <f t="shared" ca="1" si="18"/>
        <v/>
      </c>
      <c r="AG180" s="74" t="str">
        <f t="shared" si="19"/>
        <v/>
      </c>
    </row>
    <row r="181" spans="1:33" x14ac:dyDescent="0.2">
      <c r="A181" s="75"/>
      <c r="B181" s="75"/>
      <c r="C181" s="75"/>
      <c r="D181" s="75"/>
      <c r="E181" s="75"/>
      <c r="F181" s="75"/>
      <c r="G181" s="75"/>
      <c r="H181" s="75"/>
      <c r="I181" s="96"/>
      <c r="J181" s="96"/>
      <c r="K181" s="75"/>
      <c r="L181" s="75"/>
      <c r="M181" s="75"/>
      <c r="N181" s="75"/>
      <c r="O181" s="75"/>
      <c r="P181" s="75"/>
      <c r="Q181" s="96"/>
      <c r="R181" s="75"/>
      <c r="S181" s="75"/>
      <c r="T181" s="75"/>
      <c r="U181" s="75"/>
      <c r="V181" s="75"/>
      <c r="X181" s="166"/>
      <c r="AB181" s="73"/>
      <c r="AD181" s="74" t="str">
        <f t="shared" si="16"/>
        <v/>
      </c>
      <c r="AE181" s="74" t="str">
        <f t="shared" si="17"/>
        <v/>
      </c>
      <c r="AF181" s="74" t="str">
        <f t="shared" ca="1" si="18"/>
        <v/>
      </c>
      <c r="AG181" s="74" t="str">
        <f t="shared" si="19"/>
        <v/>
      </c>
    </row>
    <row r="182" spans="1:33" x14ac:dyDescent="0.2">
      <c r="A182" s="75"/>
      <c r="B182" s="75"/>
      <c r="C182" s="75"/>
      <c r="D182" s="75"/>
      <c r="E182" s="75"/>
      <c r="F182" s="75"/>
      <c r="G182" s="75"/>
      <c r="H182" s="75"/>
      <c r="I182" s="96"/>
      <c r="J182" s="96"/>
      <c r="K182" s="75"/>
      <c r="L182" s="75"/>
      <c r="M182" s="75"/>
      <c r="N182" s="75"/>
      <c r="O182" s="75"/>
      <c r="P182" s="75"/>
      <c r="Q182" s="96"/>
      <c r="R182" s="75"/>
      <c r="S182" s="75"/>
      <c r="T182" s="75"/>
      <c r="U182" s="75"/>
      <c r="V182" s="75"/>
      <c r="X182" s="166"/>
      <c r="AB182" s="73"/>
      <c r="AD182" s="74" t="str">
        <f t="shared" si="16"/>
        <v/>
      </c>
      <c r="AE182" s="74" t="str">
        <f t="shared" si="17"/>
        <v/>
      </c>
      <c r="AF182" s="74" t="str">
        <f t="shared" ca="1" si="18"/>
        <v/>
      </c>
      <c r="AG182" s="74" t="str">
        <f t="shared" si="19"/>
        <v/>
      </c>
    </row>
    <row r="183" spans="1:33" x14ac:dyDescent="0.2">
      <c r="A183" s="75"/>
      <c r="B183" s="75"/>
      <c r="C183" s="75"/>
      <c r="D183" s="75"/>
      <c r="E183" s="75"/>
      <c r="F183" s="75"/>
      <c r="G183" s="75"/>
      <c r="H183" s="75"/>
      <c r="I183" s="96"/>
      <c r="J183" s="96"/>
      <c r="K183" s="75"/>
      <c r="L183" s="75"/>
      <c r="M183" s="75"/>
      <c r="N183" s="75"/>
      <c r="O183" s="75"/>
      <c r="P183" s="75"/>
      <c r="Q183" s="96"/>
      <c r="R183" s="75"/>
      <c r="S183" s="75"/>
      <c r="T183" s="75"/>
      <c r="U183" s="75"/>
      <c r="V183" s="75"/>
      <c r="X183" s="166"/>
      <c r="AB183" s="73"/>
      <c r="AD183" s="74" t="str">
        <f t="shared" si="16"/>
        <v/>
      </c>
      <c r="AE183" s="74" t="str">
        <f t="shared" si="17"/>
        <v/>
      </c>
      <c r="AF183" s="74" t="str">
        <f t="shared" ca="1" si="18"/>
        <v/>
      </c>
      <c r="AG183" s="74" t="str">
        <f t="shared" si="19"/>
        <v/>
      </c>
    </row>
    <row r="184" spans="1:33" x14ac:dyDescent="0.2">
      <c r="A184" s="75"/>
      <c r="B184" s="75"/>
      <c r="C184" s="75"/>
      <c r="D184" s="75"/>
      <c r="E184" s="75"/>
      <c r="F184" s="75"/>
      <c r="G184" s="75"/>
      <c r="H184" s="75"/>
      <c r="I184" s="96"/>
      <c r="J184" s="96"/>
      <c r="K184" s="75"/>
      <c r="L184" s="75"/>
      <c r="M184" s="75"/>
      <c r="N184" s="75"/>
      <c r="O184" s="75"/>
      <c r="P184" s="75"/>
      <c r="Q184" s="96"/>
      <c r="R184" s="75"/>
      <c r="S184" s="75"/>
      <c r="T184" s="75"/>
      <c r="U184" s="75"/>
      <c r="V184" s="75"/>
      <c r="X184" s="166"/>
      <c r="AB184" s="73"/>
      <c r="AD184" s="74" t="str">
        <f t="shared" si="16"/>
        <v/>
      </c>
      <c r="AE184" s="74" t="str">
        <f t="shared" si="17"/>
        <v/>
      </c>
      <c r="AF184" s="74" t="str">
        <f t="shared" ca="1" si="18"/>
        <v/>
      </c>
      <c r="AG184" s="74" t="str">
        <f t="shared" si="19"/>
        <v/>
      </c>
    </row>
    <row r="185" spans="1:33" x14ac:dyDescent="0.2">
      <c r="A185" s="75"/>
      <c r="B185" s="75"/>
      <c r="C185" s="75"/>
      <c r="D185" s="75"/>
      <c r="E185" s="75"/>
      <c r="F185" s="75"/>
      <c r="G185" s="75"/>
      <c r="H185" s="75"/>
      <c r="I185" s="96"/>
      <c r="J185" s="96"/>
      <c r="K185" s="75"/>
      <c r="L185" s="75"/>
      <c r="M185" s="75"/>
      <c r="N185" s="75"/>
      <c r="O185" s="75"/>
      <c r="P185" s="75"/>
      <c r="Q185" s="96"/>
      <c r="R185" s="75"/>
      <c r="S185" s="75"/>
      <c r="T185" s="75"/>
      <c r="U185" s="75"/>
      <c r="V185" s="75"/>
      <c r="X185" s="166"/>
      <c r="AB185" s="73"/>
      <c r="AD185" s="74" t="str">
        <f t="shared" si="16"/>
        <v/>
      </c>
      <c r="AE185" s="74" t="str">
        <f t="shared" si="17"/>
        <v/>
      </c>
      <c r="AF185" s="74" t="str">
        <f t="shared" ca="1" si="18"/>
        <v/>
      </c>
      <c r="AG185" s="74" t="str">
        <f t="shared" si="19"/>
        <v/>
      </c>
    </row>
    <row r="186" spans="1:33" x14ac:dyDescent="0.2">
      <c r="A186" s="75"/>
      <c r="B186" s="75"/>
      <c r="C186" s="75"/>
      <c r="D186" s="75"/>
      <c r="E186" s="75"/>
      <c r="F186" s="75"/>
      <c r="G186" s="75"/>
      <c r="H186" s="75"/>
      <c r="I186" s="96"/>
      <c r="J186" s="96"/>
      <c r="K186" s="75"/>
      <c r="L186" s="75"/>
      <c r="M186" s="75"/>
      <c r="N186" s="75"/>
      <c r="O186" s="75"/>
      <c r="P186" s="75"/>
      <c r="Q186" s="96"/>
      <c r="R186" s="75"/>
      <c r="S186" s="75"/>
      <c r="T186" s="75"/>
      <c r="U186" s="75"/>
      <c r="V186" s="75"/>
      <c r="X186" s="166"/>
      <c r="AB186" s="73"/>
      <c r="AD186" s="74" t="str">
        <f t="shared" si="16"/>
        <v/>
      </c>
      <c r="AE186" s="74" t="str">
        <f t="shared" si="17"/>
        <v/>
      </c>
      <c r="AF186" s="74" t="str">
        <f t="shared" ca="1" si="18"/>
        <v/>
      </c>
      <c r="AG186" s="74" t="str">
        <f t="shared" si="19"/>
        <v/>
      </c>
    </row>
    <row r="187" spans="1:33" x14ac:dyDescent="0.2">
      <c r="A187" s="75"/>
      <c r="B187" s="75"/>
      <c r="C187" s="75"/>
      <c r="D187" s="75"/>
      <c r="E187" s="75"/>
      <c r="F187" s="75"/>
      <c r="G187" s="75"/>
      <c r="H187" s="75"/>
      <c r="I187" s="96"/>
      <c r="J187" s="96"/>
      <c r="K187" s="75"/>
      <c r="L187" s="75"/>
      <c r="M187" s="75"/>
      <c r="N187" s="75"/>
      <c r="O187" s="75"/>
      <c r="P187" s="75"/>
      <c r="Q187" s="96"/>
      <c r="R187" s="75"/>
      <c r="S187" s="75"/>
      <c r="T187" s="75"/>
      <c r="U187" s="75"/>
      <c r="V187" s="75"/>
      <c r="X187" s="166"/>
      <c r="AB187" s="73"/>
      <c r="AD187" s="74" t="str">
        <f t="shared" si="16"/>
        <v/>
      </c>
      <c r="AE187" s="74" t="str">
        <f t="shared" si="17"/>
        <v/>
      </c>
      <c r="AF187" s="74" t="str">
        <f t="shared" ca="1" si="18"/>
        <v/>
      </c>
      <c r="AG187" s="74" t="str">
        <f t="shared" si="19"/>
        <v/>
      </c>
    </row>
    <row r="188" spans="1:33" x14ac:dyDescent="0.2">
      <c r="A188" s="75"/>
      <c r="B188" s="75"/>
      <c r="C188" s="75"/>
      <c r="D188" s="75"/>
      <c r="E188" s="75"/>
      <c r="F188" s="75"/>
      <c r="G188" s="75"/>
      <c r="H188" s="75"/>
      <c r="I188" s="96"/>
      <c r="J188" s="96"/>
      <c r="K188" s="75"/>
      <c r="L188" s="75"/>
      <c r="M188" s="75"/>
      <c r="N188" s="75"/>
      <c r="O188" s="75"/>
      <c r="P188" s="75"/>
      <c r="Q188" s="96"/>
      <c r="R188" s="75"/>
      <c r="S188" s="75"/>
      <c r="T188" s="75"/>
      <c r="U188" s="75"/>
      <c r="V188" s="75"/>
      <c r="X188" s="166"/>
      <c r="AB188" s="73"/>
      <c r="AD188" s="74" t="str">
        <f t="shared" si="16"/>
        <v/>
      </c>
      <c r="AE188" s="74" t="str">
        <f t="shared" si="17"/>
        <v/>
      </c>
      <c r="AF188" s="74" t="str">
        <f t="shared" ca="1" si="18"/>
        <v/>
      </c>
      <c r="AG188" s="74" t="str">
        <f t="shared" si="19"/>
        <v/>
      </c>
    </row>
    <row r="189" spans="1:33" x14ac:dyDescent="0.2">
      <c r="A189" s="75"/>
      <c r="B189" s="75"/>
      <c r="C189" s="75"/>
      <c r="D189" s="75"/>
      <c r="E189" s="75"/>
      <c r="F189" s="75"/>
      <c r="G189" s="75"/>
      <c r="H189" s="75"/>
      <c r="I189" s="96"/>
      <c r="J189" s="96"/>
      <c r="K189" s="75"/>
      <c r="L189" s="75"/>
      <c r="M189" s="75"/>
      <c r="N189" s="75"/>
      <c r="O189" s="75"/>
      <c r="P189" s="75"/>
      <c r="Q189" s="96"/>
      <c r="R189" s="75"/>
      <c r="S189" s="75"/>
      <c r="T189" s="75"/>
      <c r="U189" s="75"/>
      <c r="V189" s="75"/>
      <c r="X189" s="166"/>
      <c r="AB189" s="73"/>
      <c r="AD189" s="74" t="str">
        <f t="shared" si="16"/>
        <v/>
      </c>
      <c r="AE189" s="74" t="str">
        <f t="shared" si="17"/>
        <v/>
      </c>
      <c r="AF189" s="74" t="str">
        <f t="shared" ca="1" si="18"/>
        <v/>
      </c>
      <c r="AG189" s="74" t="str">
        <f t="shared" si="19"/>
        <v/>
      </c>
    </row>
    <row r="190" spans="1:33" x14ac:dyDescent="0.2">
      <c r="A190" s="75"/>
      <c r="B190" s="75"/>
      <c r="C190" s="75"/>
      <c r="D190" s="75"/>
      <c r="E190" s="75"/>
      <c r="F190" s="75"/>
      <c r="G190" s="75"/>
      <c r="H190" s="75"/>
      <c r="I190" s="96"/>
      <c r="J190" s="96"/>
      <c r="K190" s="75"/>
      <c r="L190" s="75"/>
      <c r="M190" s="75"/>
      <c r="N190" s="75"/>
      <c r="O190" s="75"/>
      <c r="P190" s="75"/>
      <c r="Q190" s="96"/>
      <c r="R190" s="75"/>
      <c r="S190" s="75"/>
      <c r="T190" s="75"/>
      <c r="U190" s="75"/>
      <c r="V190" s="75"/>
      <c r="X190" s="166"/>
      <c r="AB190" s="73"/>
      <c r="AD190" s="74" t="str">
        <f t="shared" si="16"/>
        <v/>
      </c>
      <c r="AE190" s="74" t="str">
        <f t="shared" si="17"/>
        <v/>
      </c>
      <c r="AF190" s="74" t="str">
        <f t="shared" ca="1" si="18"/>
        <v/>
      </c>
      <c r="AG190" s="74" t="str">
        <f t="shared" si="19"/>
        <v/>
      </c>
    </row>
    <row r="191" spans="1:33" x14ac:dyDescent="0.2">
      <c r="A191" s="75"/>
      <c r="B191" s="75"/>
      <c r="C191" s="75"/>
      <c r="D191" s="75"/>
      <c r="E191" s="75"/>
      <c r="F191" s="75"/>
      <c r="G191" s="75"/>
      <c r="H191" s="75"/>
      <c r="I191" s="96"/>
      <c r="J191" s="96"/>
      <c r="K191" s="75"/>
      <c r="L191" s="75"/>
      <c r="M191" s="75"/>
      <c r="N191" s="75"/>
      <c r="O191" s="75"/>
      <c r="P191" s="75"/>
      <c r="Q191" s="96"/>
      <c r="R191" s="75"/>
      <c r="S191" s="75"/>
      <c r="T191" s="75"/>
      <c r="U191" s="75"/>
      <c r="V191" s="75"/>
      <c r="X191" s="166"/>
      <c r="AB191" s="73"/>
      <c r="AD191" s="74" t="str">
        <f t="shared" si="16"/>
        <v/>
      </c>
      <c r="AE191" s="74" t="str">
        <f t="shared" si="17"/>
        <v/>
      </c>
      <c r="AF191" s="74" t="str">
        <f t="shared" ca="1" si="18"/>
        <v/>
      </c>
      <c r="AG191" s="74" t="str">
        <f t="shared" si="19"/>
        <v/>
      </c>
    </row>
    <row r="192" spans="1:33" x14ac:dyDescent="0.2">
      <c r="A192" s="75"/>
      <c r="B192" s="75"/>
      <c r="C192" s="75"/>
      <c r="D192" s="75"/>
      <c r="E192" s="75"/>
      <c r="F192" s="75"/>
      <c r="G192" s="75"/>
      <c r="H192" s="75"/>
      <c r="I192" s="96"/>
      <c r="J192" s="96"/>
      <c r="K192" s="75"/>
      <c r="L192" s="75"/>
      <c r="M192" s="75"/>
      <c r="N192" s="75"/>
      <c r="O192" s="75"/>
      <c r="P192" s="75"/>
      <c r="Q192" s="96"/>
      <c r="R192" s="75"/>
      <c r="S192" s="75"/>
      <c r="T192" s="75"/>
      <c r="U192" s="75"/>
      <c r="V192" s="75"/>
      <c r="X192" s="166"/>
      <c r="AB192" s="73"/>
      <c r="AD192" s="74" t="str">
        <f t="shared" si="16"/>
        <v/>
      </c>
      <c r="AE192" s="74" t="str">
        <f t="shared" si="17"/>
        <v/>
      </c>
      <c r="AF192" s="74" t="str">
        <f t="shared" ca="1" si="18"/>
        <v/>
      </c>
      <c r="AG192" s="74" t="str">
        <f t="shared" si="19"/>
        <v/>
      </c>
    </row>
    <row r="193" spans="1:33" x14ac:dyDescent="0.2">
      <c r="A193" s="75"/>
      <c r="B193" s="75"/>
      <c r="C193" s="75"/>
      <c r="D193" s="75"/>
      <c r="E193" s="75"/>
      <c r="F193" s="75"/>
      <c r="G193" s="75"/>
      <c r="H193" s="75"/>
      <c r="I193" s="96"/>
      <c r="J193" s="96"/>
      <c r="K193" s="75"/>
      <c r="L193" s="75"/>
      <c r="M193" s="75"/>
      <c r="N193" s="75"/>
      <c r="O193" s="75"/>
      <c r="P193" s="75"/>
      <c r="Q193" s="96"/>
      <c r="R193" s="75"/>
      <c r="S193" s="75"/>
      <c r="T193" s="75"/>
      <c r="U193" s="75"/>
      <c r="V193" s="75"/>
      <c r="X193" s="166"/>
      <c r="AB193" s="73"/>
      <c r="AD193" s="74" t="str">
        <f t="shared" si="16"/>
        <v/>
      </c>
      <c r="AE193" s="74" t="str">
        <f t="shared" si="17"/>
        <v/>
      </c>
      <c r="AF193" s="74" t="str">
        <f t="shared" ca="1" si="18"/>
        <v/>
      </c>
      <c r="AG193" s="74" t="str">
        <f t="shared" si="19"/>
        <v/>
      </c>
    </row>
    <row r="194" spans="1:33" x14ac:dyDescent="0.2">
      <c r="A194" s="75"/>
      <c r="B194" s="75"/>
      <c r="C194" s="75"/>
      <c r="D194" s="75"/>
      <c r="E194" s="75"/>
      <c r="F194" s="75"/>
      <c r="G194" s="75"/>
      <c r="H194" s="75"/>
      <c r="I194" s="96"/>
      <c r="J194" s="96"/>
      <c r="K194" s="75"/>
      <c r="L194" s="75"/>
      <c r="M194" s="75"/>
      <c r="N194" s="75"/>
      <c r="O194" s="75"/>
      <c r="P194" s="75"/>
      <c r="Q194" s="96"/>
      <c r="R194" s="75"/>
      <c r="S194" s="75"/>
      <c r="T194" s="75"/>
      <c r="U194" s="75"/>
      <c r="V194" s="75"/>
      <c r="X194" s="166"/>
      <c r="AB194" s="73"/>
      <c r="AD194" s="74" t="str">
        <f t="shared" si="16"/>
        <v/>
      </c>
      <c r="AE194" s="74" t="str">
        <f t="shared" si="17"/>
        <v/>
      </c>
      <c r="AF194" s="74" t="str">
        <f t="shared" ca="1" si="18"/>
        <v/>
      </c>
      <c r="AG194" s="74" t="str">
        <f t="shared" si="19"/>
        <v/>
      </c>
    </row>
    <row r="195" spans="1:33" x14ac:dyDescent="0.2">
      <c r="A195" s="75"/>
      <c r="B195" s="75"/>
      <c r="C195" s="75"/>
      <c r="D195" s="75"/>
      <c r="E195" s="75"/>
      <c r="F195" s="75"/>
      <c r="G195" s="75"/>
      <c r="H195" s="75"/>
      <c r="I195" s="96"/>
      <c r="J195" s="96"/>
      <c r="K195" s="75"/>
      <c r="L195" s="75"/>
      <c r="M195" s="75"/>
      <c r="N195" s="75"/>
      <c r="O195" s="75"/>
      <c r="P195" s="75"/>
      <c r="Q195" s="96"/>
      <c r="R195" s="75"/>
      <c r="S195" s="75"/>
      <c r="T195" s="75"/>
      <c r="U195" s="75"/>
      <c r="V195" s="75"/>
      <c r="X195" s="166"/>
      <c r="AB195" s="73"/>
      <c r="AD195" s="74" t="str">
        <f t="shared" si="16"/>
        <v/>
      </c>
      <c r="AE195" s="74" t="str">
        <f t="shared" si="17"/>
        <v/>
      </c>
      <c r="AF195" s="74" t="str">
        <f t="shared" ca="1" si="18"/>
        <v/>
      </c>
      <c r="AG195" s="74" t="str">
        <f t="shared" si="19"/>
        <v/>
      </c>
    </row>
    <row r="196" spans="1:33" x14ac:dyDescent="0.2">
      <c r="A196" s="75"/>
      <c r="B196" s="75"/>
      <c r="C196" s="75"/>
      <c r="D196" s="75"/>
      <c r="E196" s="75"/>
      <c r="F196" s="75"/>
      <c r="G196" s="75"/>
      <c r="H196" s="75"/>
      <c r="I196" s="96"/>
      <c r="J196" s="96"/>
      <c r="K196" s="75"/>
      <c r="L196" s="75"/>
      <c r="M196" s="75"/>
      <c r="N196" s="75"/>
      <c r="O196" s="75"/>
      <c r="P196" s="75"/>
      <c r="Q196" s="96"/>
      <c r="R196" s="75"/>
      <c r="S196" s="75"/>
      <c r="T196" s="75"/>
      <c r="U196" s="75"/>
      <c r="V196" s="75"/>
      <c r="X196" s="166"/>
      <c r="AB196" s="73"/>
      <c r="AD196" s="74" t="str">
        <f t="shared" si="16"/>
        <v/>
      </c>
      <c r="AE196" s="74" t="str">
        <f t="shared" si="17"/>
        <v/>
      </c>
      <c r="AF196" s="74" t="str">
        <f t="shared" ca="1" si="18"/>
        <v/>
      </c>
      <c r="AG196" s="74" t="str">
        <f t="shared" si="19"/>
        <v/>
      </c>
    </row>
    <row r="197" spans="1:33" x14ac:dyDescent="0.2">
      <c r="A197" s="75"/>
      <c r="B197" s="75"/>
      <c r="C197" s="75"/>
      <c r="D197" s="75"/>
      <c r="E197" s="75"/>
      <c r="F197" s="75"/>
      <c r="G197" s="75"/>
      <c r="H197" s="75"/>
      <c r="I197" s="96"/>
      <c r="J197" s="96"/>
      <c r="K197" s="75"/>
      <c r="L197" s="75"/>
      <c r="M197" s="75"/>
      <c r="N197" s="75"/>
      <c r="O197" s="75"/>
      <c r="P197" s="75"/>
      <c r="Q197" s="96"/>
      <c r="R197" s="75"/>
      <c r="S197" s="75"/>
      <c r="T197" s="75"/>
      <c r="U197" s="75"/>
      <c r="V197" s="75"/>
      <c r="X197" s="166"/>
      <c r="AB197" s="73"/>
      <c r="AD197" s="74" t="str">
        <f t="shared" si="16"/>
        <v/>
      </c>
      <c r="AE197" s="74" t="str">
        <f t="shared" si="17"/>
        <v/>
      </c>
      <c r="AF197" s="74" t="str">
        <f t="shared" ca="1" si="18"/>
        <v/>
      </c>
      <c r="AG197" s="74" t="str">
        <f t="shared" si="19"/>
        <v/>
      </c>
    </row>
    <row r="198" spans="1:33" x14ac:dyDescent="0.2">
      <c r="A198" s="75"/>
      <c r="B198" s="75"/>
      <c r="C198" s="75"/>
      <c r="D198" s="75"/>
      <c r="E198" s="75"/>
      <c r="F198" s="75"/>
      <c r="G198" s="75"/>
      <c r="H198" s="75"/>
      <c r="I198" s="96"/>
      <c r="J198" s="96"/>
      <c r="K198" s="75"/>
      <c r="L198" s="75"/>
      <c r="M198" s="75"/>
      <c r="N198" s="75"/>
      <c r="O198" s="75"/>
      <c r="P198" s="75"/>
      <c r="Q198" s="96"/>
      <c r="R198" s="75"/>
      <c r="S198" s="75"/>
      <c r="T198" s="75"/>
      <c r="U198" s="75"/>
      <c r="V198" s="75"/>
      <c r="X198" s="166"/>
      <c r="AB198" s="73"/>
      <c r="AD198" s="74" t="str">
        <f t="shared" si="16"/>
        <v/>
      </c>
      <c r="AE198" s="74" t="str">
        <f t="shared" si="17"/>
        <v/>
      </c>
      <c r="AF198" s="74" t="str">
        <f t="shared" ca="1" si="18"/>
        <v/>
      </c>
      <c r="AG198" s="74" t="str">
        <f t="shared" si="19"/>
        <v/>
      </c>
    </row>
    <row r="199" spans="1:33" x14ac:dyDescent="0.2">
      <c r="A199" s="75"/>
      <c r="B199" s="75"/>
      <c r="C199" s="75"/>
      <c r="D199" s="75"/>
      <c r="E199" s="75"/>
      <c r="F199" s="75"/>
      <c r="G199" s="75"/>
      <c r="H199" s="75"/>
      <c r="I199" s="96"/>
      <c r="J199" s="96"/>
      <c r="K199" s="75"/>
      <c r="L199" s="75"/>
      <c r="M199" s="75"/>
      <c r="N199" s="75"/>
      <c r="O199" s="75"/>
      <c r="P199" s="75"/>
      <c r="Q199" s="96"/>
      <c r="R199" s="75"/>
      <c r="S199" s="75"/>
      <c r="T199" s="75"/>
      <c r="U199" s="75"/>
      <c r="V199" s="75"/>
      <c r="X199" s="166"/>
      <c r="AB199" s="73"/>
      <c r="AD199" s="74" t="str">
        <f t="shared" si="16"/>
        <v/>
      </c>
      <c r="AE199" s="74" t="str">
        <f t="shared" si="17"/>
        <v/>
      </c>
      <c r="AF199" s="74" t="str">
        <f t="shared" ca="1" si="18"/>
        <v/>
      </c>
      <c r="AG199" s="74" t="str">
        <f t="shared" si="19"/>
        <v/>
      </c>
    </row>
    <row r="200" spans="1:33" x14ac:dyDescent="0.2">
      <c r="A200" s="75"/>
      <c r="B200" s="75"/>
      <c r="C200" s="75"/>
      <c r="D200" s="75"/>
      <c r="E200" s="75"/>
      <c r="F200" s="75"/>
      <c r="G200" s="75"/>
      <c r="H200" s="75"/>
      <c r="I200" s="96"/>
      <c r="J200" s="96"/>
      <c r="K200" s="75"/>
      <c r="L200" s="75"/>
      <c r="M200" s="75"/>
      <c r="N200" s="75"/>
      <c r="O200" s="75"/>
      <c r="P200" s="75"/>
      <c r="Q200" s="96"/>
      <c r="R200" s="75"/>
      <c r="S200" s="75"/>
      <c r="T200" s="75"/>
      <c r="U200" s="75"/>
      <c r="V200" s="75"/>
      <c r="X200" s="166"/>
      <c r="AB200" s="73"/>
      <c r="AD200" s="74" t="str">
        <f t="shared" si="16"/>
        <v/>
      </c>
      <c r="AE200" s="74" t="str">
        <f t="shared" si="17"/>
        <v/>
      </c>
      <c r="AF200" s="74" t="str">
        <f t="shared" ca="1" si="18"/>
        <v/>
      </c>
      <c r="AG200" s="74" t="str">
        <f t="shared" si="19"/>
        <v/>
      </c>
    </row>
    <row r="201" spans="1:33" x14ac:dyDescent="0.2">
      <c r="A201" s="75"/>
      <c r="B201" s="75"/>
      <c r="C201" s="75"/>
      <c r="D201" s="75"/>
      <c r="E201" s="75"/>
      <c r="F201" s="75"/>
      <c r="G201" s="75"/>
      <c r="H201" s="75"/>
      <c r="I201" s="96"/>
      <c r="J201" s="96"/>
      <c r="K201" s="75"/>
      <c r="L201" s="75"/>
      <c r="M201" s="75"/>
      <c r="N201" s="75"/>
      <c r="O201" s="75"/>
      <c r="P201" s="75"/>
      <c r="Q201" s="96"/>
      <c r="R201" s="75"/>
      <c r="S201" s="75"/>
      <c r="T201" s="75"/>
      <c r="U201" s="75"/>
      <c r="V201" s="75"/>
      <c r="X201" s="166"/>
      <c r="AB201" s="73"/>
      <c r="AD201" s="74" t="str">
        <f t="shared" si="16"/>
        <v/>
      </c>
      <c r="AE201" s="74" t="str">
        <f t="shared" si="17"/>
        <v/>
      </c>
      <c r="AF201" s="74" t="str">
        <f t="shared" ca="1" si="18"/>
        <v/>
      </c>
      <c r="AG201" s="74" t="str">
        <f t="shared" si="19"/>
        <v/>
      </c>
    </row>
    <row r="202" spans="1:33" x14ac:dyDescent="0.2">
      <c r="A202" s="75"/>
      <c r="B202" s="75"/>
      <c r="C202" s="75"/>
      <c r="D202" s="75"/>
      <c r="E202" s="75"/>
      <c r="F202" s="75"/>
      <c r="G202" s="75"/>
      <c r="H202" s="75"/>
      <c r="I202" s="96"/>
      <c r="J202" s="96"/>
      <c r="K202" s="75"/>
      <c r="L202" s="75"/>
      <c r="M202" s="75"/>
      <c r="N202" s="75"/>
      <c r="O202" s="75"/>
      <c r="P202" s="75"/>
      <c r="Q202" s="96"/>
      <c r="R202" s="75"/>
      <c r="S202" s="75"/>
      <c r="T202" s="75"/>
      <c r="U202" s="75"/>
      <c r="V202" s="75"/>
      <c r="X202" s="166"/>
      <c r="AB202" s="73"/>
      <c r="AD202" s="74" t="str">
        <f t="shared" si="16"/>
        <v/>
      </c>
      <c r="AE202" s="74" t="str">
        <f t="shared" si="17"/>
        <v/>
      </c>
      <c r="AF202" s="74" t="str">
        <f t="shared" ca="1" si="18"/>
        <v/>
      </c>
      <c r="AG202" s="74" t="str">
        <f t="shared" si="19"/>
        <v/>
      </c>
    </row>
    <row r="203" spans="1:33" x14ac:dyDescent="0.2">
      <c r="A203" s="75"/>
      <c r="B203" s="75"/>
      <c r="C203" s="75"/>
      <c r="D203" s="75"/>
      <c r="E203" s="75"/>
      <c r="F203" s="75"/>
      <c r="G203" s="75"/>
      <c r="H203" s="75"/>
      <c r="I203" s="96"/>
      <c r="J203" s="96"/>
      <c r="K203" s="75"/>
      <c r="L203" s="75"/>
      <c r="M203" s="75"/>
      <c r="N203" s="75"/>
      <c r="O203" s="75"/>
      <c r="P203" s="75"/>
      <c r="Q203" s="96"/>
      <c r="R203" s="75"/>
      <c r="S203" s="75"/>
      <c r="T203" s="75"/>
      <c r="U203" s="75"/>
      <c r="V203" s="75"/>
      <c r="X203" s="166"/>
      <c r="AB203" s="73"/>
      <c r="AD203" s="74" t="str">
        <f t="shared" si="16"/>
        <v/>
      </c>
      <c r="AE203" s="74" t="str">
        <f t="shared" si="17"/>
        <v/>
      </c>
      <c r="AF203" s="74" t="str">
        <f t="shared" ca="1" si="18"/>
        <v/>
      </c>
      <c r="AG203" s="74" t="str">
        <f t="shared" si="19"/>
        <v/>
      </c>
    </row>
    <row r="204" spans="1:33" x14ac:dyDescent="0.2">
      <c r="A204" s="75"/>
      <c r="B204" s="75"/>
      <c r="C204" s="75"/>
      <c r="D204" s="75"/>
      <c r="E204" s="75"/>
      <c r="F204" s="75"/>
      <c r="G204" s="75"/>
      <c r="H204" s="75"/>
      <c r="I204" s="96"/>
      <c r="J204" s="96"/>
      <c r="K204" s="75"/>
      <c r="L204" s="75"/>
      <c r="M204" s="75"/>
      <c r="N204" s="75"/>
      <c r="O204" s="75"/>
      <c r="P204" s="75"/>
      <c r="Q204" s="96"/>
      <c r="R204" s="75"/>
      <c r="S204" s="75"/>
      <c r="T204" s="75"/>
      <c r="U204" s="75"/>
      <c r="V204" s="75"/>
      <c r="X204" s="166"/>
      <c r="AB204" s="73"/>
      <c r="AD204" s="74" t="str">
        <f t="shared" si="16"/>
        <v/>
      </c>
      <c r="AE204" s="74" t="str">
        <f t="shared" si="17"/>
        <v/>
      </c>
      <c r="AF204" s="74" t="str">
        <f t="shared" ca="1" si="18"/>
        <v/>
      </c>
      <c r="AG204" s="74" t="str">
        <f t="shared" si="19"/>
        <v/>
      </c>
    </row>
    <row r="205" spans="1:33" x14ac:dyDescent="0.2">
      <c r="A205" s="75"/>
      <c r="B205" s="75"/>
      <c r="C205" s="75"/>
      <c r="D205" s="75"/>
      <c r="E205" s="75"/>
      <c r="F205" s="75"/>
      <c r="G205" s="75"/>
      <c r="H205" s="75"/>
      <c r="I205" s="96"/>
      <c r="J205" s="96"/>
      <c r="K205" s="75"/>
      <c r="L205" s="75"/>
      <c r="M205" s="75"/>
      <c r="N205" s="75"/>
      <c r="O205" s="75"/>
      <c r="P205" s="75"/>
      <c r="Q205" s="75"/>
      <c r="R205" s="75"/>
      <c r="S205" s="75"/>
      <c r="T205" s="75"/>
      <c r="U205" s="75"/>
      <c r="V205" s="75"/>
      <c r="X205" s="166"/>
      <c r="AB205" s="73"/>
      <c r="AD205" s="74" t="str">
        <f t="shared" si="16"/>
        <v/>
      </c>
      <c r="AE205" s="74" t="str">
        <f t="shared" si="17"/>
        <v/>
      </c>
      <c r="AF205" s="74" t="str">
        <f t="shared" ca="1" si="18"/>
        <v/>
      </c>
      <c r="AG205" s="74" t="str">
        <f t="shared" si="19"/>
        <v/>
      </c>
    </row>
    <row r="206" spans="1:33" x14ac:dyDescent="0.2">
      <c r="A206" s="75"/>
      <c r="B206" s="75"/>
      <c r="C206" s="75"/>
      <c r="D206" s="75"/>
      <c r="E206" s="75"/>
      <c r="F206" s="75"/>
      <c r="G206" s="75"/>
      <c r="H206" s="75"/>
      <c r="I206" s="96"/>
      <c r="J206" s="96"/>
      <c r="K206" s="75"/>
      <c r="L206" s="75"/>
      <c r="M206" s="75"/>
      <c r="N206" s="75"/>
      <c r="O206" s="75"/>
      <c r="P206" s="75"/>
      <c r="Q206" s="96"/>
      <c r="R206" s="75"/>
      <c r="S206" s="75"/>
      <c r="T206" s="75"/>
      <c r="U206" s="75"/>
      <c r="V206" s="75"/>
      <c r="X206" s="166"/>
      <c r="AB206" s="73"/>
      <c r="AD206" s="74" t="str">
        <f t="shared" si="16"/>
        <v/>
      </c>
      <c r="AE206" s="74" t="str">
        <f t="shared" si="17"/>
        <v/>
      </c>
      <c r="AF206" s="74" t="str">
        <f t="shared" ca="1" si="18"/>
        <v/>
      </c>
      <c r="AG206" s="74" t="str">
        <f t="shared" si="19"/>
        <v/>
      </c>
    </row>
    <row r="207" spans="1:33" x14ac:dyDescent="0.2">
      <c r="A207" s="75"/>
      <c r="B207" s="75"/>
      <c r="C207" s="75"/>
      <c r="D207" s="75"/>
      <c r="E207" s="75"/>
      <c r="F207" s="75"/>
      <c r="G207" s="75"/>
      <c r="H207" s="75"/>
      <c r="I207" s="96"/>
      <c r="J207" s="96"/>
      <c r="K207" s="75"/>
      <c r="L207" s="75"/>
      <c r="M207" s="75"/>
      <c r="N207" s="75"/>
      <c r="O207" s="75"/>
      <c r="P207" s="75"/>
      <c r="Q207" s="96"/>
      <c r="R207" s="75"/>
      <c r="S207" s="75"/>
      <c r="T207" s="75"/>
      <c r="U207" s="75"/>
      <c r="V207" s="75"/>
      <c r="X207" s="166"/>
      <c r="AB207" s="73"/>
      <c r="AD207" s="74" t="str">
        <f t="shared" si="16"/>
        <v/>
      </c>
      <c r="AE207" s="74" t="str">
        <f t="shared" si="17"/>
        <v/>
      </c>
      <c r="AF207" s="74" t="str">
        <f t="shared" ca="1" si="18"/>
        <v/>
      </c>
      <c r="AG207" s="74" t="str">
        <f t="shared" si="19"/>
        <v/>
      </c>
    </row>
    <row r="208" spans="1:33" x14ac:dyDescent="0.2">
      <c r="A208" s="75"/>
      <c r="B208" s="75"/>
      <c r="C208" s="75"/>
      <c r="D208" s="75"/>
      <c r="E208" s="75"/>
      <c r="F208" s="75"/>
      <c r="G208" s="75"/>
      <c r="H208" s="75"/>
      <c r="I208" s="96"/>
      <c r="J208" s="96"/>
      <c r="K208" s="75"/>
      <c r="L208" s="75"/>
      <c r="M208" s="75"/>
      <c r="N208" s="75"/>
      <c r="O208" s="75"/>
      <c r="P208" s="75"/>
      <c r="Q208" s="96"/>
      <c r="R208" s="75"/>
      <c r="S208" s="75"/>
      <c r="T208" s="75"/>
      <c r="U208" s="75"/>
      <c r="V208" s="75"/>
      <c r="X208" s="166"/>
      <c r="AB208" s="73"/>
      <c r="AD208" s="74" t="str">
        <f t="shared" si="16"/>
        <v/>
      </c>
      <c r="AE208" s="74" t="str">
        <f t="shared" si="17"/>
        <v/>
      </c>
      <c r="AF208" s="74" t="str">
        <f t="shared" ca="1" si="18"/>
        <v/>
      </c>
      <c r="AG208" s="74" t="str">
        <f t="shared" si="19"/>
        <v/>
      </c>
    </row>
    <row r="209" spans="1:33" x14ac:dyDescent="0.2">
      <c r="A209" s="75"/>
      <c r="B209" s="75"/>
      <c r="C209" s="75"/>
      <c r="D209" s="75"/>
      <c r="E209" s="75"/>
      <c r="F209" s="75"/>
      <c r="G209" s="75"/>
      <c r="H209" s="75"/>
      <c r="I209" s="96"/>
      <c r="J209" s="96"/>
      <c r="K209" s="75"/>
      <c r="L209" s="75"/>
      <c r="M209" s="75"/>
      <c r="N209" s="75"/>
      <c r="O209" s="75"/>
      <c r="P209" s="75"/>
      <c r="Q209" s="75"/>
      <c r="R209" s="75"/>
      <c r="S209" s="75"/>
      <c r="T209" s="75"/>
      <c r="U209" s="75"/>
      <c r="V209" s="75"/>
      <c r="X209" s="166"/>
      <c r="AB209" s="73"/>
      <c r="AD209" s="74" t="str">
        <f t="shared" si="16"/>
        <v/>
      </c>
      <c r="AE209" s="74" t="str">
        <f t="shared" si="17"/>
        <v/>
      </c>
      <c r="AF209" s="74" t="str">
        <f t="shared" ca="1" si="18"/>
        <v/>
      </c>
      <c r="AG209" s="74" t="str">
        <f t="shared" si="19"/>
        <v/>
      </c>
    </row>
    <row r="210" spans="1:33" x14ac:dyDescent="0.2">
      <c r="A210" s="75"/>
      <c r="B210" s="75"/>
      <c r="C210" s="75"/>
      <c r="D210" s="75"/>
      <c r="E210" s="75"/>
      <c r="F210" s="75"/>
      <c r="G210" s="75"/>
      <c r="H210" s="75"/>
      <c r="I210" s="96"/>
      <c r="J210" s="96"/>
      <c r="K210" s="75"/>
      <c r="L210" s="75"/>
      <c r="M210" s="75"/>
      <c r="N210" s="75"/>
      <c r="O210" s="75"/>
      <c r="P210" s="75"/>
      <c r="Q210" s="96"/>
      <c r="R210" s="75"/>
      <c r="S210" s="75"/>
      <c r="T210" s="75"/>
      <c r="U210" s="75"/>
      <c r="V210" s="75"/>
      <c r="X210" s="166"/>
      <c r="AB210" s="73"/>
      <c r="AD210" s="74" t="str">
        <f t="shared" si="16"/>
        <v/>
      </c>
      <c r="AE210" s="74" t="str">
        <f t="shared" si="17"/>
        <v/>
      </c>
      <c r="AF210" s="74" t="str">
        <f t="shared" ca="1" si="18"/>
        <v/>
      </c>
      <c r="AG210" s="74" t="str">
        <f t="shared" si="19"/>
        <v/>
      </c>
    </row>
    <row r="211" spans="1:33" x14ac:dyDescent="0.2">
      <c r="A211" s="75"/>
      <c r="B211" s="75"/>
      <c r="C211" s="75"/>
      <c r="D211" s="75"/>
      <c r="E211" s="75"/>
      <c r="F211" s="75"/>
      <c r="G211" s="75"/>
      <c r="H211" s="75"/>
      <c r="I211" s="96"/>
      <c r="J211" s="96"/>
      <c r="K211" s="75"/>
      <c r="L211" s="75"/>
      <c r="M211" s="75"/>
      <c r="N211" s="75"/>
      <c r="O211" s="75"/>
      <c r="P211" s="75"/>
      <c r="Q211" s="96"/>
      <c r="R211" s="75"/>
      <c r="S211" s="75"/>
      <c r="T211" s="75"/>
      <c r="U211" s="75"/>
      <c r="V211" s="75"/>
      <c r="X211" s="166"/>
      <c r="AB211" s="73"/>
      <c r="AD211" s="74" t="str">
        <f t="shared" si="16"/>
        <v/>
      </c>
      <c r="AE211" s="74" t="str">
        <f t="shared" si="17"/>
        <v/>
      </c>
      <c r="AF211" s="74" t="str">
        <f t="shared" ca="1" si="18"/>
        <v/>
      </c>
      <c r="AG211" s="74" t="str">
        <f t="shared" si="19"/>
        <v/>
      </c>
    </row>
    <row r="212" spans="1:33" x14ac:dyDescent="0.2">
      <c r="A212" s="75"/>
      <c r="B212" s="75"/>
      <c r="C212" s="75"/>
      <c r="D212" s="75"/>
      <c r="E212" s="75"/>
      <c r="F212" s="75"/>
      <c r="G212" s="75"/>
      <c r="H212" s="75"/>
      <c r="I212" s="96"/>
      <c r="J212" s="96"/>
      <c r="K212" s="75"/>
      <c r="L212" s="75"/>
      <c r="M212" s="75"/>
      <c r="N212" s="75"/>
      <c r="O212" s="75"/>
      <c r="P212" s="75"/>
      <c r="Q212" s="96"/>
      <c r="R212" s="75"/>
      <c r="S212" s="75"/>
      <c r="T212" s="75"/>
      <c r="U212" s="75"/>
      <c r="V212" s="75"/>
      <c r="X212" s="166"/>
      <c r="AB212" s="73"/>
      <c r="AD212" s="74" t="str">
        <f t="shared" si="16"/>
        <v/>
      </c>
      <c r="AE212" s="74" t="str">
        <f t="shared" si="17"/>
        <v/>
      </c>
      <c r="AF212" s="74" t="str">
        <f t="shared" ca="1" si="18"/>
        <v/>
      </c>
      <c r="AG212" s="74" t="str">
        <f t="shared" si="19"/>
        <v/>
      </c>
    </row>
    <row r="213" spans="1:33" x14ac:dyDescent="0.2">
      <c r="A213" s="75"/>
      <c r="B213" s="75"/>
      <c r="C213" s="75"/>
      <c r="D213" s="75"/>
      <c r="E213" s="75"/>
      <c r="F213" s="75"/>
      <c r="G213" s="75"/>
      <c r="H213" s="75"/>
      <c r="I213" s="96"/>
      <c r="J213" s="96"/>
      <c r="K213" s="75"/>
      <c r="L213" s="75"/>
      <c r="M213" s="75"/>
      <c r="N213" s="75"/>
      <c r="O213" s="75"/>
      <c r="P213" s="75"/>
      <c r="Q213" s="96"/>
      <c r="R213" s="75"/>
      <c r="S213" s="75"/>
      <c r="T213" s="75"/>
      <c r="U213" s="75"/>
      <c r="V213" s="75"/>
      <c r="X213" s="166"/>
      <c r="AB213" s="73"/>
      <c r="AD213" s="74" t="str">
        <f t="shared" si="16"/>
        <v/>
      </c>
      <c r="AE213" s="74" t="str">
        <f t="shared" si="17"/>
        <v/>
      </c>
      <c r="AF213" s="74" t="str">
        <f t="shared" ca="1" si="18"/>
        <v/>
      </c>
      <c r="AG213" s="74" t="str">
        <f t="shared" si="19"/>
        <v/>
      </c>
    </row>
    <row r="214" spans="1:33" x14ac:dyDescent="0.2">
      <c r="A214" s="75"/>
      <c r="B214" s="75"/>
      <c r="C214" s="75"/>
      <c r="D214" s="75"/>
      <c r="E214" s="75"/>
      <c r="F214" s="75"/>
      <c r="G214" s="75"/>
      <c r="H214" s="75"/>
      <c r="I214" s="96"/>
      <c r="J214" s="96"/>
      <c r="K214" s="75"/>
      <c r="L214" s="75"/>
      <c r="M214" s="75"/>
      <c r="N214" s="75"/>
      <c r="O214" s="75"/>
      <c r="P214" s="75"/>
      <c r="Q214" s="96"/>
      <c r="R214" s="75"/>
      <c r="S214" s="75"/>
      <c r="T214" s="75"/>
      <c r="U214" s="75"/>
      <c r="V214" s="75"/>
      <c r="X214" s="166"/>
      <c r="AB214" s="73"/>
      <c r="AD214" s="74" t="str">
        <f t="shared" si="16"/>
        <v/>
      </c>
      <c r="AE214" s="74" t="str">
        <f t="shared" si="17"/>
        <v/>
      </c>
      <c r="AF214" s="74" t="str">
        <f t="shared" ca="1" si="18"/>
        <v/>
      </c>
      <c r="AG214" s="74" t="str">
        <f t="shared" si="19"/>
        <v/>
      </c>
    </row>
    <row r="215" spans="1:33" x14ac:dyDescent="0.2">
      <c r="A215" s="75"/>
      <c r="B215" s="75"/>
      <c r="C215" s="75"/>
      <c r="D215" s="75"/>
      <c r="E215" s="75"/>
      <c r="F215" s="75"/>
      <c r="G215" s="75"/>
      <c r="H215" s="75"/>
      <c r="I215" s="96"/>
      <c r="J215" s="96"/>
      <c r="K215" s="75"/>
      <c r="L215" s="75"/>
      <c r="M215" s="75"/>
      <c r="N215" s="75"/>
      <c r="O215" s="75"/>
      <c r="P215" s="75"/>
      <c r="Q215" s="96"/>
      <c r="R215" s="75"/>
      <c r="S215" s="75"/>
      <c r="T215" s="75"/>
      <c r="U215" s="75"/>
      <c r="V215" s="75"/>
      <c r="X215" s="166"/>
      <c r="AB215" s="73"/>
      <c r="AD215" s="74" t="str">
        <f t="shared" si="16"/>
        <v/>
      </c>
      <c r="AE215" s="74" t="str">
        <f t="shared" si="17"/>
        <v/>
      </c>
      <c r="AF215" s="74" t="str">
        <f t="shared" ca="1" si="18"/>
        <v/>
      </c>
      <c r="AG215" s="74" t="str">
        <f t="shared" si="19"/>
        <v/>
      </c>
    </row>
    <row r="216" spans="1:33" x14ac:dyDescent="0.2">
      <c r="A216" s="75"/>
      <c r="B216" s="75"/>
      <c r="C216" s="75"/>
      <c r="D216" s="75"/>
      <c r="E216" s="75"/>
      <c r="F216" s="75"/>
      <c r="G216" s="75"/>
      <c r="H216" s="75"/>
      <c r="I216" s="96"/>
      <c r="J216" s="96"/>
      <c r="K216" s="75"/>
      <c r="L216" s="75"/>
      <c r="M216" s="75"/>
      <c r="N216" s="75"/>
      <c r="O216" s="75"/>
      <c r="P216" s="75"/>
      <c r="Q216" s="96"/>
      <c r="R216" s="75"/>
      <c r="S216" s="75"/>
      <c r="T216" s="75"/>
      <c r="U216" s="75"/>
      <c r="V216" s="75"/>
      <c r="X216" s="166"/>
      <c r="AB216" s="73"/>
      <c r="AD216" s="74" t="str">
        <f t="shared" si="16"/>
        <v/>
      </c>
      <c r="AE216" s="74" t="str">
        <f t="shared" si="17"/>
        <v/>
      </c>
      <c r="AF216" s="74" t="str">
        <f t="shared" ca="1" si="18"/>
        <v/>
      </c>
      <c r="AG216" s="74" t="str">
        <f t="shared" si="19"/>
        <v/>
      </c>
    </row>
    <row r="217" spans="1:33" x14ac:dyDescent="0.2">
      <c r="A217" s="75"/>
      <c r="B217" s="75"/>
      <c r="C217" s="75"/>
      <c r="D217" s="75"/>
      <c r="E217" s="75"/>
      <c r="F217" s="75"/>
      <c r="G217" s="75"/>
      <c r="H217" s="75"/>
      <c r="I217" s="96"/>
      <c r="J217" s="96"/>
      <c r="K217" s="75"/>
      <c r="L217" s="75"/>
      <c r="M217" s="75"/>
      <c r="N217" s="75"/>
      <c r="O217" s="75"/>
      <c r="P217" s="75"/>
      <c r="Q217" s="96"/>
      <c r="R217" s="75"/>
      <c r="S217" s="75"/>
      <c r="T217" s="75"/>
      <c r="U217" s="75"/>
      <c r="V217" s="75"/>
      <c r="X217" s="166"/>
      <c r="AB217" s="73"/>
      <c r="AD217" s="74" t="str">
        <f t="shared" si="16"/>
        <v/>
      </c>
      <c r="AE217" s="74" t="str">
        <f t="shared" si="17"/>
        <v/>
      </c>
      <c r="AF217" s="74" t="str">
        <f t="shared" ca="1" si="18"/>
        <v/>
      </c>
      <c r="AG217" s="74" t="str">
        <f t="shared" si="19"/>
        <v/>
      </c>
    </row>
    <row r="218" spans="1:33" x14ac:dyDescent="0.2">
      <c r="A218" s="75"/>
      <c r="B218" s="75"/>
      <c r="C218" s="75"/>
      <c r="D218" s="75"/>
      <c r="E218" s="75"/>
      <c r="F218" s="75"/>
      <c r="G218" s="75"/>
      <c r="H218" s="75"/>
      <c r="I218" s="96"/>
      <c r="J218" s="96"/>
      <c r="K218" s="75"/>
      <c r="L218" s="75"/>
      <c r="M218" s="75"/>
      <c r="N218" s="75"/>
      <c r="O218" s="75"/>
      <c r="P218" s="75"/>
      <c r="Q218" s="96"/>
      <c r="R218" s="75"/>
      <c r="S218" s="75"/>
      <c r="T218" s="75"/>
      <c r="U218" s="75"/>
      <c r="V218" s="75"/>
      <c r="X218" s="166"/>
      <c r="AB218" s="73"/>
      <c r="AD218" s="74" t="str">
        <f t="shared" si="16"/>
        <v/>
      </c>
      <c r="AE218" s="74" t="str">
        <f t="shared" si="17"/>
        <v/>
      </c>
      <c r="AF218" s="74" t="str">
        <f t="shared" ca="1" si="18"/>
        <v/>
      </c>
      <c r="AG218" s="74" t="str">
        <f t="shared" si="19"/>
        <v/>
      </c>
    </row>
    <row r="219" spans="1:33" x14ac:dyDescent="0.2">
      <c r="A219" s="75"/>
      <c r="B219" s="75"/>
      <c r="C219" s="75"/>
      <c r="D219" s="75"/>
      <c r="E219" s="75"/>
      <c r="F219" s="75"/>
      <c r="G219" s="75"/>
      <c r="H219" s="75"/>
      <c r="I219" s="96"/>
      <c r="J219" s="96"/>
      <c r="K219" s="75"/>
      <c r="L219" s="75"/>
      <c r="M219" s="75"/>
      <c r="N219" s="75"/>
      <c r="O219" s="75"/>
      <c r="P219" s="75"/>
      <c r="Q219" s="96"/>
      <c r="R219" s="75"/>
      <c r="S219" s="75"/>
      <c r="T219" s="75"/>
      <c r="U219" s="75"/>
      <c r="V219" s="75"/>
      <c r="X219" s="166"/>
      <c r="AB219" s="73"/>
      <c r="AD219" s="74" t="str">
        <f t="shared" si="16"/>
        <v/>
      </c>
      <c r="AE219" s="74" t="str">
        <f t="shared" si="17"/>
        <v/>
      </c>
      <c r="AF219" s="74" t="str">
        <f t="shared" ca="1" si="18"/>
        <v/>
      </c>
      <c r="AG219" s="74" t="str">
        <f t="shared" si="19"/>
        <v/>
      </c>
    </row>
    <row r="220" spans="1:33" x14ac:dyDescent="0.2">
      <c r="A220" s="75"/>
      <c r="B220" s="75"/>
      <c r="C220" s="75"/>
      <c r="D220" s="75"/>
      <c r="E220" s="75"/>
      <c r="F220" s="75"/>
      <c r="G220" s="75"/>
      <c r="H220" s="75"/>
      <c r="I220" s="96"/>
      <c r="J220" s="96"/>
      <c r="K220" s="75"/>
      <c r="L220" s="75"/>
      <c r="M220" s="75"/>
      <c r="N220" s="75"/>
      <c r="O220" s="75"/>
      <c r="P220" s="75"/>
      <c r="Q220" s="96"/>
      <c r="R220" s="75"/>
      <c r="S220" s="75"/>
      <c r="T220" s="75"/>
      <c r="U220" s="75"/>
      <c r="V220" s="75"/>
      <c r="X220" s="166"/>
      <c r="AB220" s="73"/>
      <c r="AD220" s="74" t="str">
        <f t="shared" si="16"/>
        <v/>
      </c>
      <c r="AE220" s="74" t="str">
        <f t="shared" si="17"/>
        <v/>
      </c>
      <c r="AF220" s="74" t="str">
        <f t="shared" ca="1" si="18"/>
        <v/>
      </c>
      <c r="AG220" s="74" t="str">
        <f t="shared" si="19"/>
        <v/>
      </c>
    </row>
    <row r="221" spans="1:33" x14ac:dyDescent="0.2">
      <c r="A221" s="75"/>
      <c r="B221" s="75"/>
      <c r="C221" s="75"/>
      <c r="D221" s="75"/>
      <c r="E221" s="75"/>
      <c r="F221" s="75"/>
      <c r="G221" s="75"/>
      <c r="H221" s="75"/>
      <c r="I221" s="96"/>
      <c r="J221" s="96"/>
      <c r="K221" s="75"/>
      <c r="L221" s="75"/>
      <c r="M221" s="75"/>
      <c r="N221" s="75"/>
      <c r="O221" s="75"/>
      <c r="P221" s="75"/>
      <c r="Q221" s="96"/>
      <c r="R221" s="75"/>
      <c r="S221" s="75"/>
      <c r="T221" s="75"/>
      <c r="U221" s="75"/>
      <c r="V221" s="75"/>
      <c r="X221" s="166"/>
      <c r="AB221" s="73"/>
      <c r="AD221" s="74" t="str">
        <f t="shared" si="16"/>
        <v/>
      </c>
      <c r="AE221" s="74" t="str">
        <f t="shared" si="17"/>
        <v/>
      </c>
      <c r="AF221" s="74" t="str">
        <f t="shared" ca="1" si="18"/>
        <v/>
      </c>
      <c r="AG221" s="74" t="str">
        <f t="shared" si="19"/>
        <v/>
      </c>
    </row>
    <row r="222" spans="1:33" x14ac:dyDescent="0.2">
      <c r="A222" s="75"/>
      <c r="B222" s="75"/>
      <c r="C222" s="75"/>
      <c r="D222" s="75"/>
      <c r="E222" s="75"/>
      <c r="F222" s="75"/>
      <c r="G222" s="75"/>
      <c r="H222" s="75"/>
      <c r="I222" s="96"/>
      <c r="J222" s="96"/>
      <c r="K222" s="75"/>
      <c r="L222" s="75"/>
      <c r="M222" s="75"/>
      <c r="N222" s="75"/>
      <c r="O222" s="75"/>
      <c r="P222" s="75"/>
      <c r="Q222" s="75"/>
      <c r="R222" s="75"/>
      <c r="S222" s="75"/>
      <c r="T222" s="75"/>
      <c r="U222" s="75"/>
      <c r="V222" s="75"/>
      <c r="X222" s="166"/>
      <c r="AB222" s="73"/>
      <c r="AD222" s="74" t="str">
        <f t="shared" si="16"/>
        <v/>
      </c>
      <c r="AE222" s="74" t="str">
        <f t="shared" si="17"/>
        <v/>
      </c>
      <c r="AF222" s="74" t="str">
        <f t="shared" ca="1" si="18"/>
        <v/>
      </c>
      <c r="AG222" s="74" t="str">
        <f t="shared" si="19"/>
        <v/>
      </c>
    </row>
    <row r="223" spans="1:33" x14ac:dyDescent="0.2">
      <c r="A223" s="75"/>
      <c r="B223" s="75"/>
      <c r="C223" s="75"/>
      <c r="D223" s="75"/>
      <c r="E223" s="75"/>
      <c r="F223" s="75"/>
      <c r="G223" s="75"/>
      <c r="H223" s="75"/>
      <c r="I223" s="96"/>
      <c r="J223" s="96"/>
      <c r="K223" s="75"/>
      <c r="L223" s="75"/>
      <c r="M223" s="75"/>
      <c r="N223" s="75"/>
      <c r="O223" s="75"/>
      <c r="P223" s="75"/>
      <c r="Q223" s="96"/>
      <c r="R223" s="75"/>
      <c r="S223" s="75"/>
      <c r="T223" s="75"/>
      <c r="U223" s="75"/>
      <c r="V223" s="75"/>
      <c r="X223" s="166"/>
      <c r="AB223" s="73"/>
      <c r="AD223" s="74" t="str">
        <f t="shared" si="16"/>
        <v/>
      </c>
      <c r="AE223" s="74" t="str">
        <f t="shared" si="17"/>
        <v/>
      </c>
      <c r="AF223" s="74" t="str">
        <f t="shared" ca="1" si="18"/>
        <v/>
      </c>
      <c r="AG223" s="74" t="str">
        <f t="shared" si="19"/>
        <v/>
      </c>
    </row>
    <row r="224" spans="1:33" x14ac:dyDescent="0.2">
      <c r="A224" s="75"/>
      <c r="B224" s="75"/>
      <c r="C224" s="75"/>
      <c r="D224" s="75"/>
      <c r="E224" s="75"/>
      <c r="F224" s="75"/>
      <c r="G224" s="75"/>
      <c r="H224" s="75"/>
      <c r="I224" s="96"/>
      <c r="J224" s="96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X224" s="166"/>
      <c r="AB224" s="73"/>
      <c r="AD224" s="74" t="str">
        <f t="shared" si="16"/>
        <v/>
      </c>
      <c r="AE224" s="74" t="str">
        <f t="shared" si="17"/>
        <v/>
      </c>
      <c r="AF224" s="74" t="str">
        <f t="shared" ca="1" si="18"/>
        <v/>
      </c>
      <c r="AG224" s="74" t="str">
        <f t="shared" si="19"/>
        <v/>
      </c>
    </row>
    <row r="225" spans="1:33" x14ac:dyDescent="0.2">
      <c r="A225" s="75"/>
      <c r="B225" s="75"/>
      <c r="C225" s="75"/>
      <c r="D225" s="75"/>
      <c r="E225" s="75"/>
      <c r="F225" s="75"/>
      <c r="G225" s="75"/>
      <c r="H225" s="75"/>
      <c r="I225" s="96"/>
      <c r="J225" s="96"/>
      <c r="K225" s="75"/>
      <c r="L225" s="75"/>
      <c r="M225" s="75"/>
      <c r="N225" s="75"/>
      <c r="O225" s="75"/>
      <c r="P225" s="75"/>
      <c r="Q225" s="96"/>
      <c r="R225" s="75"/>
      <c r="S225" s="75"/>
      <c r="T225" s="75"/>
      <c r="U225" s="75"/>
      <c r="V225" s="75"/>
      <c r="X225" s="166"/>
      <c r="AB225" s="73"/>
      <c r="AD225" s="74" t="str">
        <f t="shared" si="16"/>
        <v/>
      </c>
      <c r="AE225" s="74" t="str">
        <f t="shared" si="17"/>
        <v/>
      </c>
      <c r="AF225" s="74" t="str">
        <f t="shared" ca="1" si="18"/>
        <v/>
      </c>
      <c r="AG225" s="74" t="str">
        <f t="shared" si="19"/>
        <v/>
      </c>
    </row>
    <row r="226" spans="1:33" x14ac:dyDescent="0.2">
      <c r="A226" s="75"/>
      <c r="B226" s="75"/>
      <c r="C226" s="75"/>
      <c r="D226" s="75"/>
      <c r="E226" s="75"/>
      <c r="F226" s="75"/>
      <c r="G226" s="75"/>
      <c r="H226" s="75"/>
      <c r="I226" s="96"/>
      <c r="J226" s="96"/>
      <c r="K226" s="75"/>
      <c r="L226" s="75"/>
      <c r="M226" s="75"/>
      <c r="N226" s="75"/>
      <c r="O226" s="97"/>
      <c r="P226" s="75"/>
      <c r="Q226" s="96"/>
      <c r="R226" s="75"/>
      <c r="S226" s="75"/>
      <c r="T226" s="75"/>
      <c r="U226" s="75"/>
      <c r="V226" s="75"/>
      <c r="X226" s="166"/>
      <c r="AB226" s="73"/>
      <c r="AD226" s="74" t="str">
        <f t="shared" si="16"/>
        <v/>
      </c>
      <c r="AE226" s="74" t="str">
        <f t="shared" si="17"/>
        <v/>
      </c>
      <c r="AF226" s="74" t="str">
        <f t="shared" ca="1" si="18"/>
        <v/>
      </c>
      <c r="AG226" s="74" t="str">
        <f t="shared" si="19"/>
        <v/>
      </c>
    </row>
    <row r="227" spans="1:33" x14ac:dyDescent="0.2">
      <c r="A227" s="75"/>
      <c r="B227" s="75"/>
      <c r="C227" s="75"/>
      <c r="D227" s="75"/>
      <c r="E227" s="75"/>
      <c r="F227" s="75"/>
      <c r="G227" s="75"/>
      <c r="H227" s="75"/>
      <c r="I227" s="96"/>
      <c r="J227" s="96"/>
      <c r="K227" s="75"/>
      <c r="L227" s="75"/>
      <c r="M227" s="75"/>
      <c r="N227" s="75"/>
      <c r="O227" s="75"/>
      <c r="P227" s="75"/>
      <c r="Q227" s="96"/>
      <c r="R227" s="75"/>
      <c r="S227" s="75"/>
      <c r="T227" s="75"/>
      <c r="U227" s="75"/>
      <c r="V227" s="75"/>
      <c r="X227" s="166"/>
      <c r="AB227" s="73"/>
      <c r="AD227" s="74" t="str">
        <f t="shared" si="16"/>
        <v/>
      </c>
      <c r="AE227" s="74" t="str">
        <f t="shared" si="17"/>
        <v/>
      </c>
      <c r="AF227" s="74" t="str">
        <f t="shared" ca="1" si="18"/>
        <v/>
      </c>
      <c r="AG227" s="74" t="str">
        <f t="shared" si="19"/>
        <v/>
      </c>
    </row>
    <row r="228" spans="1:33" x14ac:dyDescent="0.2">
      <c r="A228" s="75"/>
      <c r="B228" s="75"/>
      <c r="C228" s="75"/>
      <c r="D228" s="75"/>
      <c r="E228" s="75"/>
      <c r="F228" s="75"/>
      <c r="G228" s="75"/>
      <c r="H228" s="75"/>
      <c r="I228" s="96"/>
      <c r="J228" s="96"/>
      <c r="K228" s="75"/>
      <c r="L228" s="75"/>
      <c r="M228" s="75"/>
      <c r="N228" s="75"/>
      <c r="O228" s="75"/>
      <c r="P228" s="75"/>
      <c r="Q228" s="96"/>
      <c r="R228" s="75"/>
      <c r="S228" s="75"/>
      <c r="T228" s="75"/>
      <c r="U228" s="75"/>
      <c r="V228" s="75"/>
      <c r="X228" s="166"/>
      <c r="AB228" s="73"/>
      <c r="AD228" s="74" t="str">
        <f t="shared" si="16"/>
        <v/>
      </c>
      <c r="AE228" s="74" t="str">
        <f t="shared" si="17"/>
        <v/>
      </c>
      <c r="AF228" s="74" t="str">
        <f t="shared" ca="1" si="18"/>
        <v/>
      </c>
      <c r="AG228" s="74" t="str">
        <f t="shared" si="19"/>
        <v/>
      </c>
    </row>
    <row r="229" spans="1:33" x14ac:dyDescent="0.2">
      <c r="A229" s="75"/>
      <c r="B229" s="75"/>
      <c r="C229" s="75"/>
      <c r="D229" s="75"/>
      <c r="E229" s="75"/>
      <c r="F229" s="75"/>
      <c r="G229" s="75"/>
      <c r="H229" s="75"/>
      <c r="I229" s="96"/>
      <c r="J229" s="96"/>
      <c r="K229" s="75"/>
      <c r="L229" s="75"/>
      <c r="M229" s="75"/>
      <c r="N229" s="75"/>
      <c r="O229" s="75"/>
      <c r="P229" s="75"/>
      <c r="Q229" s="96"/>
      <c r="R229" s="75"/>
      <c r="S229" s="75"/>
      <c r="T229" s="75"/>
      <c r="U229" s="75"/>
      <c r="V229" s="75"/>
      <c r="X229" s="166"/>
      <c r="AB229" s="73"/>
      <c r="AD229" s="74" t="str">
        <f t="shared" ref="AD229:AD292" si="20">IF(A:A&lt;&gt;"",(M229&amp;"-"&amp;N229),"")</f>
        <v/>
      </c>
      <c r="AE229" s="74" t="str">
        <f t="shared" ref="AE229:AE292" si="21">IF(F:F&lt;&gt;"",IF(F229="Other","Proactive",IF(F229="Proactive","Proactive","Reactive")),"")</f>
        <v/>
      </c>
      <c r="AF229" s="74" t="str">
        <f t="shared" ref="AF229:AF292" ca="1" si="22">IF(I:I&lt;&gt;"",(IF(E229&lt;&gt;"Closed",DATEDIF(I229,TODAY(),"d"),"")),"")</f>
        <v/>
      </c>
      <c r="AG229" s="74" t="str">
        <f t="shared" ref="AG229:AG292" si="23">IF(R:R&lt;&gt;"",DATEDIF(I229,R229,"d"),"")</f>
        <v/>
      </c>
    </row>
    <row r="230" spans="1:33" x14ac:dyDescent="0.2">
      <c r="A230" s="75"/>
      <c r="B230" s="75"/>
      <c r="C230" s="75"/>
      <c r="D230" s="75"/>
      <c r="E230" s="75"/>
      <c r="F230" s="75"/>
      <c r="G230" s="75"/>
      <c r="H230" s="75"/>
      <c r="I230" s="96"/>
      <c r="J230" s="96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X230" s="166"/>
      <c r="AB230" s="73"/>
      <c r="AD230" s="74" t="str">
        <f t="shared" si="20"/>
        <v/>
      </c>
      <c r="AE230" s="74" t="str">
        <f t="shared" si="21"/>
        <v/>
      </c>
      <c r="AF230" s="74" t="str">
        <f t="shared" ca="1" si="22"/>
        <v/>
      </c>
      <c r="AG230" s="74" t="str">
        <f t="shared" si="23"/>
        <v/>
      </c>
    </row>
    <row r="231" spans="1:33" x14ac:dyDescent="0.2">
      <c r="A231" s="75"/>
      <c r="B231" s="75"/>
      <c r="C231" s="75"/>
      <c r="D231" s="75"/>
      <c r="E231" s="75"/>
      <c r="F231" s="75"/>
      <c r="G231" s="75"/>
      <c r="H231" s="75"/>
      <c r="I231" s="96"/>
      <c r="J231" s="96"/>
      <c r="K231" s="75"/>
      <c r="L231" s="75"/>
      <c r="M231" s="75"/>
      <c r="N231" s="75"/>
      <c r="O231" s="75"/>
      <c r="P231" s="75"/>
      <c r="Q231" s="96"/>
      <c r="R231" s="75"/>
      <c r="S231" s="75"/>
      <c r="T231" s="75"/>
      <c r="U231" s="75"/>
      <c r="V231" s="75"/>
      <c r="X231" s="166"/>
      <c r="AB231" s="73"/>
      <c r="AD231" s="74" t="str">
        <f t="shared" si="20"/>
        <v/>
      </c>
      <c r="AE231" s="74" t="str">
        <f t="shared" si="21"/>
        <v/>
      </c>
      <c r="AF231" s="74" t="str">
        <f t="shared" ca="1" si="22"/>
        <v/>
      </c>
      <c r="AG231" s="74" t="str">
        <f t="shared" si="23"/>
        <v/>
      </c>
    </row>
    <row r="232" spans="1:33" x14ac:dyDescent="0.2">
      <c r="A232" s="75"/>
      <c r="B232" s="75"/>
      <c r="C232" s="75"/>
      <c r="D232" s="75"/>
      <c r="E232" s="75"/>
      <c r="F232" s="75"/>
      <c r="G232" s="75"/>
      <c r="H232" s="75"/>
      <c r="I232" s="96"/>
      <c r="J232" s="96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X232" s="166"/>
      <c r="AB232" s="73"/>
      <c r="AD232" s="74" t="str">
        <f t="shared" si="20"/>
        <v/>
      </c>
      <c r="AE232" s="74" t="str">
        <f t="shared" si="21"/>
        <v/>
      </c>
      <c r="AF232" s="74" t="str">
        <f t="shared" ca="1" si="22"/>
        <v/>
      </c>
      <c r="AG232" s="74" t="str">
        <f t="shared" si="23"/>
        <v/>
      </c>
    </row>
    <row r="233" spans="1:33" x14ac:dyDescent="0.2">
      <c r="A233" s="75"/>
      <c r="B233" s="75"/>
      <c r="C233" s="75"/>
      <c r="D233" s="75"/>
      <c r="E233" s="75"/>
      <c r="F233" s="75"/>
      <c r="G233" s="75"/>
      <c r="H233" s="75"/>
      <c r="I233" s="96"/>
      <c r="J233" s="96"/>
      <c r="K233" s="75"/>
      <c r="L233" s="75"/>
      <c r="M233" s="75"/>
      <c r="N233" s="75"/>
      <c r="O233" s="75"/>
      <c r="P233" s="75"/>
      <c r="Q233" s="96"/>
      <c r="R233" s="75"/>
      <c r="S233" s="75"/>
      <c r="T233" s="75"/>
      <c r="U233" s="75"/>
      <c r="V233" s="75"/>
      <c r="X233" s="166"/>
      <c r="AB233" s="73"/>
      <c r="AD233" s="74" t="str">
        <f t="shared" si="20"/>
        <v/>
      </c>
      <c r="AE233" s="74" t="str">
        <f t="shared" si="21"/>
        <v/>
      </c>
      <c r="AF233" s="74" t="str">
        <f t="shared" ca="1" si="22"/>
        <v/>
      </c>
      <c r="AG233" s="74" t="str">
        <f t="shared" si="23"/>
        <v/>
      </c>
    </row>
    <row r="234" spans="1:33" x14ac:dyDescent="0.2">
      <c r="A234" s="75"/>
      <c r="B234" s="75"/>
      <c r="C234" s="75"/>
      <c r="D234" s="75"/>
      <c r="E234" s="75"/>
      <c r="F234" s="75"/>
      <c r="G234" s="75"/>
      <c r="H234" s="75"/>
      <c r="I234" s="96"/>
      <c r="J234" s="96"/>
      <c r="K234" s="75"/>
      <c r="L234" s="75"/>
      <c r="M234" s="75"/>
      <c r="N234" s="75"/>
      <c r="O234" s="75"/>
      <c r="P234" s="75"/>
      <c r="Q234" s="96"/>
      <c r="R234" s="75"/>
      <c r="S234" s="75"/>
      <c r="T234" s="75"/>
      <c r="U234" s="75"/>
      <c r="V234" s="75"/>
      <c r="X234" s="166"/>
      <c r="AB234" s="73"/>
      <c r="AD234" s="74" t="str">
        <f t="shared" si="20"/>
        <v/>
      </c>
      <c r="AE234" s="74" t="str">
        <f t="shared" si="21"/>
        <v/>
      </c>
      <c r="AF234" s="74" t="str">
        <f t="shared" ca="1" si="22"/>
        <v/>
      </c>
      <c r="AG234" s="74" t="str">
        <f t="shared" si="23"/>
        <v/>
      </c>
    </row>
    <row r="235" spans="1:33" x14ac:dyDescent="0.2">
      <c r="A235" s="75"/>
      <c r="B235" s="75"/>
      <c r="C235" s="75"/>
      <c r="D235" s="75"/>
      <c r="E235" s="75"/>
      <c r="F235" s="75"/>
      <c r="G235" s="75"/>
      <c r="H235" s="75"/>
      <c r="I235" s="96"/>
      <c r="J235" s="96"/>
      <c r="K235" s="75"/>
      <c r="L235" s="75"/>
      <c r="M235" s="75"/>
      <c r="N235" s="75"/>
      <c r="O235" s="75"/>
      <c r="P235" s="75"/>
      <c r="Q235" s="96"/>
      <c r="R235" s="75"/>
      <c r="S235" s="75"/>
      <c r="T235" s="75"/>
      <c r="U235" s="75"/>
      <c r="V235" s="75"/>
      <c r="X235" s="166"/>
      <c r="AB235" s="73"/>
      <c r="AD235" s="74" t="str">
        <f t="shared" si="20"/>
        <v/>
      </c>
      <c r="AE235" s="74" t="str">
        <f t="shared" si="21"/>
        <v/>
      </c>
      <c r="AF235" s="74" t="str">
        <f t="shared" ca="1" si="22"/>
        <v/>
      </c>
      <c r="AG235" s="74" t="str">
        <f t="shared" si="23"/>
        <v/>
      </c>
    </row>
    <row r="236" spans="1:33" x14ac:dyDescent="0.2">
      <c r="A236" s="75"/>
      <c r="B236" s="75"/>
      <c r="C236" s="75"/>
      <c r="D236" s="75"/>
      <c r="E236" s="75"/>
      <c r="F236" s="75"/>
      <c r="G236" s="75"/>
      <c r="H236" s="75"/>
      <c r="I236" s="96"/>
      <c r="J236" s="96"/>
      <c r="K236" s="75"/>
      <c r="L236" s="75"/>
      <c r="M236" s="75"/>
      <c r="N236" s="75"/>
      <c r="O236" s="75"/>
      <c r="P236" s="75"/>
      <c r="Q236" s="96"/>
      <c r="R236" s="75"/>
      <c r="S236" s="75"/>
      <c r="T236" s="75"/>
      <c r="U236" s="75"/>
      <c r="V236" s="75"/>
      <c r="X236" s="166"/>
      <c r="AB236" s="73"/>
      <c r="AD236" s="74" t="str">
        <f t="shared" si="20"/>
        <v/>
      </c>
      <c r="AE236" s="74" t="str">
        <f t="shared" si="21"/>
        <v/>
      </c>
      <c r="AF236" s="74" t="str">
        <f t="shared" ca="1" si="22"/>
        <v/>
      </c>
      <c r="AG236" s="74" t="str">
        <f t="shared" si="23"/>
        <v/>
      </c>
    </row>
    <row r="237" spans="1:33" x14ac:dyDescent="0.2">
      <c r="A237" s="75"/>
      <c r="B237" s="75"/>
      <c r="C237" s="75"/>
      <c r="D237" s="75"/>
      <c r="E237" s="75"/>
      <c r="F237" s="75"/>
      <c r="G237" s="75"/>
      <c r="H237" s="75"/>
      <c r="I237" s="96"/>
      <c r="J237" s="96"/>
      <c r="K237" s="75"/>
      <c r="L237" s="75"/>
      <c r="M237" s="75"/>
      <c r="N237" s="75"/>
      <c r="O237" s="75"/>
      <c r="P237" s="75"/>
      <c r="Q237" s="96"/>
      <c r="R237" s="75"/>
      <c r="S237" s="75"/>
      <c r="T237" s="75"/>
      <c r="U237" s="75"/>
      <c r="V237" s="75"/>
      <c r="X237" s="166"/>
      <c r="AB237" s="73"/>
      <c r="AD237" s="74" t="str">
        <f t="shared" si="20"/>
        <v/>
      </c>
      <c r="AE237" s="74" t="str">
        <f t="shared" si="21"/>
        <v/>
      </c>
      <c r="AF237" s="74" t="str">
        <f t="shared" ca="1" si="22"/>
        <v/>
      </c>
      <c r="AG237" s="74" t="str">
        <f t="shared" si="23"/>
        <v/>
      </c>
    </row>
    <row r="238" spans="1:33" x14ac:dyDescent="0.2">
      <c r="A238" s="75"/>
      <c r="B238" s="75"/>
      <c r="C238" s="75"/>
      <c r="D238" s="75"/>
      <c r="E238" s="75"/>
      <c r="F238" s="75"/>
      <c r="G238" s="75"/>
      <c r="H238" s="75"/>
      <c r="I238" s="96"/>
      <c r="J238" s="96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X238" s="166"/>
      <c r="AB238" s="73"/>
      <c r="AD238" s="74" t="str">
        <f t="shared" si="20"/>
        <v/>
      </c>
      <c r="AE238" s="74" t="str">
        <f t="shared" si="21"/>
        <v/>
      </c>
      <c r="AF238" s="74" t="str">
        <f t="shared" ca="1" si="22"/>
        <v/>
      </c>
      <c r="AG238" s="74" t="str">
        <f t="shared" si="23"/>
        <v/>
      </c>
    </row>
    <row r="239" spans="1:33" x14ac:dyDescent="0.2">
      <c r="A239" s="75"/>
      <c r="B239" s="75"/>
      <c r="C239" s="75"/>
      <c r="D239" s="75"/>
      <c r="E239" s="75"/>
      <c r="F239" s="75"/>
      <c r="G239" s="75"/>
      <c r="H239" s="75"/>
      <c r="I239" s="96"/>
      <c r="J239" s="96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X239" s="166"/>
      <c r="AB239" s="73"/>
      <c r="AD239" s="74" t="str">
        <f t="shared" si="20"/>
        <v/>
      </c>
      <c r="AE239" s="74" t="str">
        <f t="shared" si="21"/>
        <v/>
      </c>
      <c r="AF239" s="74" t="str">
        <f t="shared" ca="1" si="22"/>
        <v/>
      </c>
      <c r="AG239" s="74" t="str">
        <f t="shared" si="23"/>
        <v/>
      </c>
    </row>
    <row r="240" spans="1:33" x14ac:dyDescent="0.2">
      <c r="A240" s="75"/>
      <c r="B240" s="75"/>
      <c r="C240" s="75"/>
      <c r="D240" s="75"/>
      <c r="E240" s="75"/>
      <c r="F240" s="75"/>
      <c r="G240" s="75"/>
      <c r="H240" s="75"/>
      <c r="I240" s="96"/>
      <c r="J240" s="96"/>
      <c r="K240" s="75"/>
      <c r="L240" s="75"/>
      <c r="M240" s="75"/>
      <c r="N240" s="75"/>
      <c r="O240" s="75"/>
      <c r="P240" s="75"/>
      <c r="Q240" s="96"/>
      <c r="R240" s="75"/>
      <c r="S240" s="75"/>
      <c r="T240" s="75"/>
      <c r="U240" s="75"/>
      <c r="V240" s="75"/>
      <c r="X240" s="166"/>
      <c r="AB240" s="73"/>
      <c r="AD240" s="74" t="str">
        <f t="shared" si="20"/>
        <v/>
      </c>
      <c r="AE240" s="74" t="str">
        <f t="shared" si="21"/>
        <v/>
      </c>
      <c r="AF240" s="74" t="str">
        <f t="shared" ca="1" si="22"/>
        <v/>
      </c>
      <c r="AG240" s="74" t="str">
        <f t="shared" si="23"/>
        <v/>
      </c>
    </row>
    <row r="241" spans="1:33" x14ac:dyDescent="0.2">
      <c r="A241" s="75"/>
      <c r="B241" s="75"/>
      <c r="C241" s="75"/>
      <c r="D241" s="75"/>
      <c r="E241" s="75"/>
      <c r="F241" s="75"/>
      <c r="G241" s="75"/>
      <c r="H241" s="75"/>
      <c r="I241" s="96"/>
      <c r="J241" s="96"/>
      <c r="K241" s="75"/>
      <c r="L241" s="75"/>
      <c r="M241" s="75"/>
      <c r="N241" s="75"/>
      <c r="O241" s="75"/>
      <c r="P241" s="75"/>
      <c r="Q241" s="96"/>
      <c r="R241" s="75"/>
      <c r="S241" s="75"/>
      <c r="T241" s="75"/>
      <c r="U241" s="75"/>
      <c r="V241" s="75"/>
      <c r="X241" s="166"/>
      <c r="AB241" s="73"/>
      <c r="AD241" s="74" t="str">
        <f t="shared" si="20"/>
        <v/>
      </c>
      <c r="AE241" s="74" t="str">
        <f t="shared" si="21"/>
        <v/>
      </c>
      <c r="AF241" s="74" t="str">
        <f t="shared" ca="1" si="22"/>
        <v/>
      </c>
      <c r="AG241" s="74" t="str">
        <f t="shared" si="23"/>
        <v/>
      </c>
    </row>
    <row r="242" spans="1:33" x14ac:dyDescent="0.2">
      <c r="A242" s="75"/>
      <c r="B242" s="75"/>
      <c r="C242" s="75"/>
      <c r="D242" s="75"/>
      <c r="E242" s="75"/>
      <c r="F242" s="75"/>
      <c r="G242" s="75"/>
      <c r="H242" s="75"/>
      <c r="I242" s="96"/>
      <c r="J242" s="96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X242" s="166"/>
      <c r="AB242" s="73"/>
      <c r="AD242" s="74" t="str">
        <f t="shared" si="20"/>
        <v/>
      </c>
      <c r="AE242" s="74" t="str">
        <f t="shared" si="21"/>
        <v/>
      </c>
      <c r="AF242" s="74" t="str">
        <f t="shared" ca="1" si="22"/>
        <v/>
      </c>
      <c r="AG242" s="74" t="str">
        <f t="shared" si="23"/>
        <v/>
      </c>
    </row>
    <row r="243" spans="1:33" x14ac:dyDescent="0.2">
      <c r="A243" s="75"/>
      <c r="B243" s="75"/>
      <c r="C243" s="75"/>
      <c r="D243" s="75"/>
      <c r="E243" s="75"/>
      <c r="F243" s="75"/>
      <c r="G243" s="75"/>
      <c r="H243" s="75"/>
      <c r="I243" s="96"/>
      <c r="J243" s="96"/>
      <c r="K243" s="75"/>
      <c r="L243" s="75"/>
      <c r="M243" s="75"/>
      <c r="N243" s="75"/>
      <c r="O243" s="75"/>
      <c r="P243" s="75"/>
      <c r="Q243" s="96"/>
      <c r="R243" s="75"/>
      <c r="S243" s="75"/>
      <c r="T243" s="75"/>
      <c r="U243" s="75"/>
      <c r="V243" s="75"/>
      <c r="X243" s="166"/>
      <c r="AB243" s="73"/>
      <c r="AD243" s="74" t="str">
        <f t="shared" si="20"/>
        <v/>
      </c>
      <c r="AE243" s="74" t="str">
        <f t="shared" si="21"/>
        <v/>
      </c>
      <c r="AF243" s="74" t="str">
        <f t="shared" ca="1" si="22"/>
        <v/>
      </c>
      <c r="AG243" s="74" t="str">
        <f t="shared" si="23"/>
        <v/>
      </c>
    </row>
    <row r="244" spans="1:33" x14ac:dyDescent="0.2">
      <c r="A244" s="75"/>
      <c r="B244" s="75"/>
      <c r="C244" s="75"/>
      <c r="D244" s="75"/>
      <c r="E244" s="75"/>
      <c r="F244" s="75"/>
      <c r="G244" s="75"/>
      <c r="H244" s="75"/>
      <c r="I244" s="96"/>
      <c r="J244" s="96"/>
      <c r="K244" s="75"/>
      <c r="L244" s="75"/>
      <c r="M244" s="75"/>
      <c r="N244" s="75"/>
      <c r="O244" s="75"/>
      <c r="P244" s="75"/>
      <c r="Q244" s="96"/>
      <c r="R244" s="75"/>
      <c r="S244" s="75"/>
      <c r="T244" s="75"/>
      <c r="U244" s="75"/>
      <c r="V244" s="75"/>
      <c r="X244" s="166"/>
      <c r="AB244" s="73"/>
      <c r="AD244" s="74" t="str">
        <f t="shared" si="20"/>
        <v/>
      </c>
      <c r="AE244" s="74" t="str">
        <f t="shared" si="21"/>
        <v/>
      </c>
      <c r="AF244" s="74" t="str">
        <f t="shared" ca="1" si="22"/>
        <v/>
      </c>
      <c r="AG244" s="74" t="str">
        <f t="shared" si="23"/>
        <v/>
      </c>
    </row>
    <row r="245" spans="1:33" x14ac:dyDescent="0.2">
      <c r="A245" s="75"/>
      <c r="B245" s="75"/>
      <c r="C245" s="75"/>
      <c r="D245" s="75"/>
      <c r="E245" s="75"/>
      <c r="F245" s="75"/>
      <c r="G245" s="75"/>
      <c r="H245" s="75"/>
      <c r="I245" s="96"/>
      <c r="J245" s="96"/>
      <c r="K245" s="75"/>
      <c r="L245" s="75"/>
      <c r="M245" s="75"/>
      <c r="N245" s="75"/>
      <c r="O245" s="75"/>
      <c r="P245" s="75"/>
      <c r="Q245" s="96"/>
      <c r="R245" s="75"/>
      <c r="S245" s="75"/>
      <c r="T245" s="75"/>
      <c r="U245" s="75"/>
      <c r="V245" s="75"/>
      <c r="X245" s="166"/>
      <c r="AB245" s="73"/>
      <c r="AD245" s="74" t="str">
        <f t="shared" si="20"/>
        <v/>
      </c>
      <c r="AE245" s="74" t="str">
        <f t="shared" si="21"/>
        <v/>
      </c>
      <c r="AF245" s="74" t="str">
        <f t="shared" ca="1" si="22"/>
        <v/>
      </c>
      <c r="AG245" s="74" t="str">
        <f t="shared" si="23"/>
        <v/>
      </c>
    </row>
    <row r="246" spans="1:33" x14ac:dyDescent="0.2">
      <c r="A246" s="75"/>
      <c r="B246" s="75"/>
      <c r="C246" s="75"/>
      <c r="D246" s="75"/>
      <c r="E246" s="75"/>
      <c r="F246" s="75"/>
      <c r="G246" s="75"/>
      <c r="H246" s="75"/>
      <c r="I246" s="96"/>
      <c r="J246" s="96"/>
      <c r="K246" s="75"/>
      <c r="L246" s="75"/>
      <c r="M246" s="75"/>
      <c r="N246" s="75"/>
      <c r="O246" s="75"/>
      <c r="P246" s="75"/>
      <c r="Q246" s="96"/>
      <c r="R246" s="75"/>
      <c r="S246" s="75"/>
      <c r="T246" s="75"/>
      <c r="U246" s="75"/>
      <c r="V246" s="75"/>
      <c r="X246" s="166"/>
      <c r="AB246" s="73"/>
      <c r="AD246" s="74" t="str">
        <f t="shared" si="20"/>
        <v/>
      </c>
      <c r="AE246" s="74" t="str">
        <f t="shared" si="21"/>
        <v/>
      </c>
      <c r="AF246" s="74" t="str">
        <f t="shared" ca="1" si="22"/>
        <v/>
      </c>
      <c r="AG246" s="74" t="str">
        <f t="shared" si="23"/>
        <v/>
      </c>
    </row>
    <row r="247" spans="1:33" x14ac:dyDescent="0.2">
      <c r="A247" s="75"/>
      <c r="B247" s="75"/>
      <c r="C247" s="75"/>
      <c r="D247" s="75"/>
      <c r="E247" s="75"/>
      <c r="F247" s="75"/>
      <c r="G247" s="75"/>
      <c r="H247" s="75"/>
      <c r="I247" s="96"/>
      <c r="J247" s="96"/>
      <c r="K247" s="75"/>
      <c r="L247" s="75"/>
      <c r="M247" s="75"/>
      <c r="N247" s="75"/>
      <c r="O247" s="75"/>
      <c r="P247" s="75"/>
      <c r="Q247" s="96"/>
      <c r="R247" s="75"/>
      <c r="S247" s="75"/>
      <c r="T247" s="75"/>
      <c r="U247" s="75"/>
      <c r="V247" s="75"/>
      <c r="X247" s="166"/>
      <c r="AB247" s="73"/>
      <c r="AD247" s="74" t="str">
        <f t="shared" si="20"/>
        <v/>
      </c>
      <c r="AE247" s="74" t="str">
        <f t="shared" si="21"/>
        <v/>
      </c>
      <c r="AF247" s="74" t="str">
        <f t="shared" ca="1" si="22"/>
        <v/>
      </c>
      <c r="AG247" s="74" t="str">
        <f t="shared" si="23"/>
        <v/>
      </c>
    </row>
    <row r="248" spans="1:33" x14ac:dyDescent="0.2">
      <c r="A248" s="75"/>
      <c r="B248" s="75"/>
      <c r="C248" s="75"/>
      <c r="D248" s="75"/>
      <c r="E248" s="75"/>
      <c r="F248" s="75"/>
      <c r="G248" s="75"/>
      <c r="H248" s="75"/>
      <c r="I248" s="96"/>
      <c r="J248" s="96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X248" s="166"/>
      <c r="AB248" s="73"/>
      <c r="AD248" s="74" t="str">
        <f t="shared" si="20"/>
        <v/>
      </c>
      <c r="AE248" s="74" t="str">
        <f t="shared" si="21"/>
        <v/>
      </c>
      <c r="AF248" s="74" t="str">
        <f t="shared" ca="1" si="22"/>
        <v/>
      </c>
      <c r="AG248" s="74" t="str">
        <f t="shared" si="23"/>
        <v/>
      </c>
    </row>
    <row r="249" spans="1:33" x14ac:dyDescent="0.2">
      <c r="A249" s="75"/>
      <c r="B249" s="75"/>
      <c r="C249" s="75"/>
      <c r="D249" s="75"/>
      <c r="E249" s="75"/>
      <c r="F249" s="75"/>
      <c r="G249" s="75"/>
      <c r="H249" s="75"/>
      <c r="I249" s="96"/>
      <c r="J249" s="96"/>
      <c r="K249" s="75"/>
      <c r="L249" s="75"/>
      <c r="M249" s="75"/>
      <c r="N249" s="75"/>
      <c r="O249" s="75"/>
      <c r="P249" s="75"/>
      <c r="Q249" s="96"/>
      <c r="R249" s="75"/>
      <c r="S249" s="75"/>
      <c r="T249" s="75"/>
      <c r="U249" s="75"/>
      <c r="V249" s="75"/>
      <c r="X249" s="166"/>
      <c r="AB249" s="73"/>
      <c r="AD249" s="74" t="str">
        <f t="shared" si="20"/>
        <v/>
      </c>
      <c r="AE249" s="74" t="str">
        <f t="shared" si="21"/>
        <v/>
      </c>
      <c r="AF249" s="74" t="str">
        <f t="shared" ca="1" si="22"/>
        <v/>
      </c>
      <c r="AG249" s="74" t="str">
        <f t="shared" si="23"/>
        <v/>
      </c>
    </row>
    <row r="250" spans="1:33" x14ac:dyDescent="0.2">
      <c r="A250" s="75"/>
      <c r="B250" s="75"/>
      <c r="C250" s="75"/>
      <c r="D250" s="75"/>
      <c r="E250" s="75"/>
      <c r="F250" s="75"/>
      <c r="G250" s="75"/>
      <c r="H250" s="75"/>
      <c r="I250" s="96"/>
      <c r="J250" s="96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X250" s="166"/>
      <c r="AB250" s="73"/>
      <c r="AD250" s="74" t="str">
        <f t="shared" si="20"/>
        <v/>
      </c>
      <c r="AE250" s="74" t="str">
        <f t="shared" si="21"/>
        <v/>
      </c>
      <c r="AF250" s="74" t="str">
        <f t="shared" ca="1" si="22"/>
        <v/>
      </c>
      <c r="AG250" s="74" t="str">
        <f t="shared" si="23"/>
        <v/>
      </c>
    </row>
    <row r="251" spans="1:33" x14ac:dyDescent="0.2">
      <c r="A251" s="75"/>
      <c r="B251" s="75"/>
      <c r="C251" s="75"/>
      <c r="D251" s="75"/>
      <c r="E251" s="75"/>
      <c r="F251" s="75"/>
      <c r="G251" s="75"/>
      <c r="H251" s="75"/>
      <c r="I251" s="96"/>
      <c r="J251" s="96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X251" s="166"/>
      <c r="AB251" s="73"/>
      <c r="AD251" s="74" t="str">
        <f t="shared" si="20"/>
        <v/>
      </c>
      <c r="AE251" s="74" t="str">
        <f t="shared" si="21"/>
        <v/>
      </c>
      <c r="AF251" s="74" t="str">
        <f t="shared" ca="1" si="22"/>
        <v/>
      </c>
      <c r="AG251" s="74" t="str">
        <f t="shared" si="23"/>
        <v/>
      </c>
    </row>
    <row r="252" spans="1:33" x14ac:dyDescent="0.2">
      <c r="A252" s="75"/>
      <c r="B252" s="75"/>
      <c r="C252" s="75"/>
      <c r="D252" s="75"/>
      <c r="E252" s="75"/>
      <c r="F252" s="75"/>
      <c r="G252" s="75"/>
      <c r="H252" s="75"/>
      <c r="I252" s="96"/>
      <c r="J252" s="96"/>
      <c r="K252" s="75"/>
      <c r="L252" s="75"/>
      <c r="M252" s="75"/>
      <c r="N252" s="75"/>
      <c r="O252" s="75"/>
      <c r="P252" s="75"/>
      <c r="Q252" s="96"/>
      <c r="R252" s="75"/>
      <c r="S252" s="75"/>
      <c r="T252" s="75"/>
      <c r="U252" s="75"/>
      <c r="V252" s="75"/>
      <c r="X252" s="166"/>
      <c r="AB252" s="73"/>
      <c r="AD252" s="74" t="str">
        <f t="shared" si="20"/>
        <v/>
      </c>
      <c r="AE252" s="74" t="str">
        <f t="shared" si="21"/>
        <v/>
      </c>
      <c r="AF252" s="74" t="str">
        <f t="shared" ca="1" si="22"/>
        <v/>
      </c>
      <c r="AG252" s="74" t="str">
        <f t="shared" si="23"/>
        <v/>
      </c>
    </row>
    <row r="253" spans="1:33" x14ac:dyDescent="0.2">
      <c r="A253" s="75"/>
      <c r="B253" s="75"/>
      <c r="C253" s="75"/>
      <c r="D253" s="75"/>
      <c r="E253" s="75"/>
      <c r="F253" s="75"/>
      <c r="G253" s="75"/>
      <c r="H253" s="75"/>
      <c r="I253" s="96"/>
      <c r="J253" s="96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X253" s="166"/>
      <c r="AB253" s="73"/>
      <c r="AD253" s="74" t="str">
        <f t="shared" si="20"/>
        <v/>
      </c>
      <c r="AE253" s="74" t="str">
        <f t="shared" si="21"/>
        <v/>
      </c>
      <c r="AF253" s="74" t="str">
        <f t="shared" ca="1" si="22"/>
        <v/>
      </c>
      <c r="AG253" s="74" t="str">
        <f t="shared" si="23"/>
        <v/>
      </c>
    </row>
    <row r="254" spans="1:33" x14ac:dyDescent="0.2">
      <c r="A254" s="75"/>
      <c r="B254" s="75"/>
      <c r="C254" s="75"/>
      <c r="D254" s="75"/>
      <c r="E254" s="75"/>
      <c r="F254" s="75"/>
      <c r="G254" s="75"/>
      <c r="H254" s="75"/>
      <c r="I254" s="96"/>
      <c r="J254" s="96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X254" s="166"/>
      <c r="AB254" s="73"/>
      <c r="AD254" s="74" t="str">
        <f t="shared" si="20"/>
        <v/>
      </c>
      <c r="AE254" s="74" t="str">
        <f t="shared" si="21"/>
        <v/>
      </c>
      <c r="AF254" s="74" t="str">
        <f t="shared" ca="1" si="22"/>
        <v/>
      </c>
      <c r="AG254" s="74" t="str">
        <f t="shared" si="23"/>
        <v/>
      </c>
    </row>
    <row r="255" spans="1:33" x14ac:dyDescent="0.2">
      <c r="A255" s="75"/>
      <c r="B255" s="75"/>
      <c r="C255" s="75"/>
      <c r="D255" s="75"/>
      <c r="E255" s="75"/>
      <c r="F255" s="75"/>
      <c r="G255" s="75"/>
      <c r="H255" s="75"/>
      <c r="I255" s="96"/>
      <c r="J255" s="96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X255" s="166"/>
      <c r="AB255" s="73"/>
      <c r="AD255" s="74" t="str">
        <f t="shared" si="20"/>
        <v/>
      </c>
      <c r="AE255" s="74" t="str">
        <f t="shared" si="21"/>
        <v/>
      </c>
      <c r="AF255" s="74" t="str">
        <f t="shared" ca="1" si="22"/>
        <v/>
      </c>
      <c r="AG255" s="74" t="str">
        <f t="shared" si="23"/>
        <v/>
      </c>
    </row>
    <row r="256" spans="1:33" x14ac:dyDescent="0.2">
      <c r="A256" s="75"/>
      <c r="B256" s="75"/>
      <c r="C256" s="75"/>
      <c r="D256" s="75"/>
      <c r="E256" s="75"/>
      <c r="F256" s="75"/>
      <c r="G256" s="75"/>
      <c r="H256" s="75"/>
      <c r="I256" s="96"/>
      <c r="J256" s="96"/>
      <c r="K256" s="75"/>
      <c r="L256" s="75"/>
      <c r="M256" s="75"/>
      <c r="N256" s="75"/>
      <c r="O256" s="75"/>
      <c r="P256" s="75"/>
      <c r="Q256" s="96"/>
      <c r="R256" s="75"/>
      <c r="S256" s="75"/>
      <c r="T256" s="75"/>
      <c r="U256" s="75"/>
      <c r="V256" s="75"/>
      <c r="X256" s="166"/>
      <c r="AB256" s="73"/>
      <c r="AD256" s="74" t="str">
        <f t="shared" si="20"/>
        <v/>
      </c>
      <c r="AE256" s="74" t="str">
        <f t="shared" si="21"/>
        <v/>
      </c>
      <c r="AF256" s="74" t="str">
        <f t="shared" ca="1" si="22"/>
        <v/>
      </c>
      <c r="AG256" s="74" t="str">
        <f t="shared" si="23"/>
        <v/>
      </c>
    </row>
    <row r="257" spans="1:33" x14ac:dyDescent="0.2">
      <c r="A257" s="75"/>
      <c r="B257" s="75"/>
      <c r="C257" s="75"/>
      <c r="D257" s="75"/>
      <c r="E257" s="75"/>
      <c r="F257" s="75"/>
      <c r="G257" s="75"/>
      <c r="H257" s="75"/>
      <c r="I257" s="96"/>
      <c r="J257" s="96"/>
      <c r="K257" s="75"/>
      <c r="L257" s="75"/>
      <c r="M257" s="75"/>
      <c r="N257" s="75"/>
      <c r="O257" s="75"/>
      <c r="P257" s="75"/>
      <c r="Q257" s="96"/>
      <c r="R257" s="75"/>
      <c r="S257" s="75"/>
      <c r="T257" s="75"/>
      <c r="U257" s="75"/>
      <c r="V257" s="75"/>
      <c r="X257" s="166"/>
      <c r="AB257" s="73"/>
      <c r="AD257" s="74" t="str">
        <f t="shared" si="20"/>
        <v/>
      </c>
      <c r="AE257" s="74" t="str">
        <f t="shared" si="21"/>
        <v/>
      </c>
      <c r="AF257" s="74" t="str">
        <f t="shared" ca="1" si="22"/>
        <v/>
      </c>
      <c r="AG257" s="74" t="str">
        <f t="shared" si="23"/>
        <v/>
      </c>
    </row>
    <row r="258" spans="1:33" x14ac:dyDescent="0.2">
      <c r="A258" s="75"/>
      <c r="B258" s="75"/>
      <c r="C258" s="75"/>
      <c r="D258" s="75"/>
      <c r="E258" s="75"/>
      <c r="F258" s="75"/>
      <c r="G258" s="75"/>
      <c r="H258" s="75"/>
      <c r="I258" s="96"/>
      <c r="J258" s="96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X258" s="166"/>
      <c r="AB258" s="73"/>
      <c r="AD258" s="74" t="str">
        <f t="shared" si="20"/>
        <v/>
      </c>
      <c r="AE258" s="74" t="str">
        <f t="shared" si="21"/>
        <v/>
      </c>
      <c r="AF258" s="74" t="str">
        <f t="shared" ca="1" si="22"/>
        <v/>
      </c>
      <c r="AG258" s="74" t="str">
        <f t="shared" si="23"/>
        <v/>
      </c>
    </row>
    <row r="259" spans="1:33" x14ac:dyDescent="0.2">
      <c r="A259" s="75"/>
      <c r="B259" s="75"/>
      <c r="C259" s="75"/>
      <c r="D259" s="75"/>
      <c r="E259" s="75"/>
      <c r="F259" s="75"/>
      <c r="G259" s="75"/>
      <c r="H259" s="75"/>
      <c r="I259" s="96"/>
      <c r="J259" s="96"/>
      <c r="K259" s="75"/>
      <c r="L259" s="75"/>
      <c r="M259" s="75"/>
      <c r="N259" s="75"/>
      <c r="O259" s="97"/>
      <c r="P259" s="75"/>
      <c r="Q259" s="75"/>
      <c r="R259" s="75"/>
      <c r="S259" s="75"/>
      <c r="T259" s="75"/>
      <c r="U259" s="75"/>
      <c r="V259" s="75"/>
      <c r="X259" s="166"/>
      <c r="AB259" s="73"/>
      <c r="AD259" s="74" t="str">
        <f t="shared" si="20"/>
        <v/>
      </c>
      <c r="AE259" s="74" t="str">
        <f t="shared" si="21"/>
        <v/>
      </c>
      <c r="AF259" s="74" t="str">
        <f t="shared" ca="1" si="22"/>
        <v/>
      </c>
      <c r="AG259" s="74" t="str">
        <f t="shared" si="23"/>
        <v/>
      </c>
    </row>
    <row r="260" spans="1:33" x14ac:dyDescent="0.2">
      <c r="A260" s="75"/>
      <c r="B260" s="75"/>
      <c r="C260" s="75"/>
      <c r="D260" s="75"/>
      <c r="E260" s="75"/>
      <c r="F260" s="75"/>
      <c r="G260" s="75"/>
      <c r="H260" s="75"/>
      <c r="I260" s="96"/>
      <c r="J260" s="96"/>
      <c r="K260" s="75"/>
      <c r="L260" s="75"/>
      <c r="M260" s="75"/>
      <c r="N260" s="75"/>
      <c r="O260" s="75"/>
      <c r="P260" s="75"/>
      <c r="Q260" s="96"/>
      <c r="R260" s="75"/>
      <c r="S260" s="75"/>
      <c r="T260" s="75"/>
      <c r="U260" s="75"/>
      <c r="V260" s="75"/>
      <c r="X260" s="166"/>
      <c r="AB260" s="73"/>
      <c r="AD260" s="74" t="str">
        <f t="shared" si="20"/>
        <v/>
      </c>
      <c r="AE260" s="74" t="str">
        <f t="shared" si="21"/>
        <v/>
      </c>
      <c r="AF260" s="74" t="str">
        <f t="shared" ca="1" si="22"/>
        <v/>
      </c>
      <c r="AG260" s="74" t="str">
        <f t="shared" si="23"/>
        <v/>
      </c>
    </row>
    <row r="261" spans="1:33" x14ac:dyDescent="0.2">
      <c r="A261" s="75"/>
      <c r="B261" s="75"/>
      <c r="C261" s="75"/>
      <c r="D261" s="75"/>
      <c r="E261" s="75"/>
      <c r="F261" s="75"/>
      <c r="G261" s="75"/>
      <c r="H261" s="75"/>
      <c r="I261" s="96"/>
      <c r="J261" s="96"/>
      <c r="K261" s="75"/>
      <c r="L261" s="75"/>
      <c r="M261" s="75"/>
      <c r="N261" s="75"/>
      <c r="O261" s="75"/>
      <c r="P261" s="75"/>
      <c r="Q261" s="96"/>
      <c r="R261" s="75"/>
      <c r="S261" s="75"/>
      <c r="T261" s="75"/>
      <c r="U261" s="75"/>
      <c r="V261" s="75"/>
      <c r="X261" s="166"/>
      <c r="AB261" s="73"/>
      <c r="AD261" s="74" t="str">
        <f t="shared" si="20"/>
        <v/>
      </c>
      <c r="AE261" s="74" t="str">
        <f t="shared" si="21"/>
        <v/>
      </c>
      <c r="AF261" s="74" t="str">
        <f t="shared" ca="1" si="22"/>
        <v/>
      </c>
      <c r="AG261" s="74" t="str">
        <f t="shared" si="23"/>
        <v/>
      </c>
    </row>
    <row r="262" spans="1:33" x14ac:dyDescent="0.2">
      <c r="A262" s="75"/>
      <c r="B262" s="75"/>
      <c r="C262" s="75"/>
      <c r="D262" s="75"/>
      <c r="E262" s="75"/>
      <c r="F262" s="75"/>
      <c r="G262" s="75"/>
      <c r="H262" s="75"/>
      <c r="I262" s="96"/>
      <c r="J262" s="96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X262" s="166"/>
      <c r="AB262" s="73"/>
      <c r="AD262" s="74" t="str">
        <f t="shared" si="20"/>
        <v/>
      </c>
      <c r="AE262" s="74" t="str">
        <f t="shared" si="21"/>
        <v/>
      </c>
      <c r="AF262" s="74" t="str">
        <f t="shared" ca="1" si="22"/>
        <v/>
      </c>
      <c r="AG262" s="74" t="str">
        <f t="shared" si="23"/>
        <v/>
      </c>
    </row>
    <row r="263" spans="1:33" x14ac:dyDescent="0.2">
      <c r="A263" s="75"/>
      <c r="B263" s="75"/>
      <c r="C263" s="75"/>
      <c r="D263" s="75"/>
      <c r="E263" s="75"/>
      <c r="F263" s="75"/>
      <c r="G263" s="75"/>
      <c r="H263" s="75"/>
      <c r="I263" s="96"/>
      <c r="J263" s="96"/>
      <c r="K263" s="75"/>
      <c r="L263" s="75"/>
      <c r="M263" s="75"/>
      <c r="N263" s="75"/>
      <c r="O263" s="75"/>
      <c r="P263" s="75"/>
      <c r="Q263" s="96"/>
      <c r="R263" s="75"/>
      <c r="S263" s="75"/>
      <c r="T263" s="75"/>
      <c r="U263" s="75"/>
      <c r="V263" s="75"/>
      <c r="X263" s="166"/>
      <c r="AB263" s="73"/>
      <c r="AD263" s="74" t="str">
        <f t="shared" si="20"/>
        <v/>
      </c>
      <c r="AE263" s="74" t="str">
        <f t="shared" si="21"/>
        <v/>
      </c>
      <c r="AF263" s="74" t="str">
        <f t="shared" ca="1" si="22"/>
        <v/>
      </c>
      <c r="AG263" s="74" t="str">
        <f t="shared" si="23"/>
        <v/>
      </c>
    </row>
    <row r="264" spans="1:33" x14ac:dyDescent="0.2">
      <c r="A264" s="75"/>
      <c r="B264" s="75"/>
      <c r="C264" s="75"/>
      <c r="D264" s="75"/>
      <c r="E264" s="75"/>
      <c r="F264" s="75"/>
      <c r="G264" s="75"/>
      <c r="H264" s="75"/>
      <c r="I264" s="96"/>
      <c r="J264" s="96"/>
      <c r="K264" s="75"/>
      <c r="L264" s="75"/>
      <c r="M264" s="75"/>
      <c r="N264" s="75"/>
      <c r="O264" s="75"/>
      <c r="P264" s="75"/>
      <c r="Q264" s="96"/>
      <c r="R264" s="75"/>
      <c r="S264" s="75"/>
      <c r="T264" s="75"/>
      <c r="U264" s="75"/>
      <c r="V264" s="75"/>
      <c r="X264" s="166"/>
      <c r="AB264" s="73"/>
      <c r="AD264" s="74" t="str">
        <f t="shared" si="20"/>
        <v/>
      </c>
      <c r="AE264" s="74" t="str">
        <f t="shared" si="21"/>
        <v/>
      </c>
      <c r="AF264" s="74" t="str">
        <f t="shared" ca="1" si="22"/>
        <v/>
      </c>
      <c r="AG264" s="74" t="str">
        <f t="shared" si="23"/>
        <v/>
      </c>
    </row>
    <row r="265" spans="1:33" x14ac:dyDescent="0.2">
      <c r="A265" s="75"/>
      <c r="B265" s="75"/>
      <c r="C265" s="75"/>
      <c r="D265" s="75"/>
      <c r="E265" s="75"/>
      <c r="F265" s="75"/>
      <c r="G265" s="75"/>
      <c r="H265" s="75"/>
      <c r="I265" s="96"/>
      <c r="J265" s="96"/>
      <c r="K265" s="75"/>
      <c r="L265" s="75"/>
      <c r="M265" s="75"/>
      <c r="N265" s="75"/>
      <c r="O265" s="75"/>
      <c r="P265" s="75"/>
      <c r="Q265" s="96"/>
      <c r="R265" s="75"/>
      <c r="S265" s="75"/>
      <c r="T265" s="75"/>
      <c r="U265" s="75"/>
      <c r="V265" s="75"/>
      <c r="X265" s="166"/>
      <c r="AB265" s="73"/>
      <c r="AD265" s="74" t="str">
        <f t="shared" si="20"/>
        <v/>
      </c>
      <c r="AE265" s="74" t="str">
        <f t="shared" si="21"/>
        <v/>
      </c>
      <c r="AF265" s="74" t="str">
        <f t="shared" ca="1" si="22"/>
        <v/>
      </c>
      <c r="AG265" s="74" t="str">
        <f t="shared" si="23"/>
        <v/>
      </c>
    </row>
    <row r="266" spans="1:33" x14ac:dyDescent="0.2">
      <c r="A266" s="75"/>
      <c r="B266" s="75"/>
      <c r="C266" s="75"/>
      <c r="D266" s="75"/>
      <c r="E266" s="75"/>
      <c r="F266" s="75"/>
      <c r="G266" s="75"/>
      <c r="H266" s="75"/>
      <c r="I266" s="96"/>
      <c r="J266" s="96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X266" s="166"/>
      <c r="AB266" s="73"/>
      <c r="AD266" s="74" t="str">
        <f t="shared" si="20"/>
        <v/>
      </c>
      <c r="AE266" s="74" t="str">
        <f t="shared" si="21"/>
        <v/>
      </c>
      <c r="AF266" s="74" t="str">
        <f t="shared" ca="1" si="22"/>
        <v/>
      </c>
      <c r="AG266" s="74" t="str">
        <f t="shared" si="23"/>
        <v/>
      </c>
    </row>
    <row r="267" spans="1:33" x14ac:dyDescent="0.2">
      <c r="A267" s="75"/>
      <c r="B267" s="75"/>
      <c r="C267" s="75"/>
      <c r="D267" s="75"/>
      <c r="E267" s="75"/>
      <c r="F267" s="75"/>
      <c r="G267" s="75"/>
      <c r="H267" s="75"/>
      <c r="I267" s="96"/>
      <c r="J267" s="96"/>
      <c r="K267" s="75"/>
      <c r="L267" s="75"/>
      <c r="M267" s="75"/>
      <c r="N267" s="75"/>
      <c r="O267" s="75"/>
      <c r="P267" s="75"/>
      <c r="Q267" s="96"/>
      <c r="R267" s="75"/>
      <c r="S267" s="75"/>
      <c r="T267" s="75"/>
      <c r="U267" s="75"/>
      <c r="V267" s="75"/>
      <c r="X267" s="166"/>
      <c r="AB267" s="73"/>
      <c r="AD267" s="74" t="str">
        <f t="shared" si="20"/>
        <v/>
      </c>
      <c r="AE267" s="74" t="str">
        <f t="shared" si="21"/>
        <v/>
      </c>
      <c r="AF267" s="74" t="str">
        <f t="shared" ca="1" si="22"/>
        <v/>
      </c>
      <c r="AG267" s="74" t="str">
        <f t="shared" si="23"/>
        <v/>
      </c>
    </row>
    <row r="268" spans="1:33" x14ac:dyDescent="0.2">
      <c r="A268" s="75"/>
      <c r="B268" s="75"/>
      <c r="C268" s="75"/>
      <c r="D268" s="75"/>
      <c r="E268" s="75"/>
      <c r="F268" s="75"/>
      <c r="G268" s="75"/>
      <c r="H268" s="75"/>
      <c r="I268" s="96"/>
      <c r="J268" s="96"/>
      <c r="K268" s="75"/>
      <c r="L268" s="75"/>
      <c r="M268" s="75"/>
      <c r="N268" s="75"/>
      <c r="O268" s="75"/>
      <c r="P268" s="75"/>
      <c r="Q268" s="96"/>
      <c r="R268" s="75"/>
      <c r="S268" s="75"/>
      <c r="T268" s="75"/>
      <c r="U268" s="75"/>
      <c r="V268" s="75"/>
      <c r="X268" s="166"/>
      <c r="AB268" s="73"/>
      <c r="AD268" s="74" t="str">
        <f t="shared" si="20"/>
        <v/>
      </c>
      <c r="AE268" s="74" t="str">
        <f t="shared" si="21"/>
        <v/>
      </c>
      <c r="AF268" s="74" t="str">
        <f t="shared" ca="1" si="22"/>
        <v/>
      </c>
      <c r="AG268" s="74" t="str">
        <f t="shared" si="23"/>
        <v/>
      </c>
    </row>
    <row r="269" spans="1:33" x14ac:dyDescent="0.2">
      <c r="A269" s="75"/>
      <c r="B269" s="75"/>
      <c r="C269" s="75"/>
      <c r="D269" s="75"/>
      <c r="E269" s="75"/>
      <c r="F269" s="75"/>
      <c r="G269" s="75"/>
      <c r="H269" s="75"/>
      <c r="I269" s="96"/>
      <c r="J269" s="96"/>
      <c r="K269" s="75"/>
      <c r="L269" s="75"/>
      <c r="M269" s="75"/>
      <c r="N269" s="75"/>
      <c r="O269" s="75"/>
      <c r="P269" s="75"/>
      <c r="Q269" s="96"/>
      <c r="R269" s="75"/>
      <c r="S269" s="75"/>
      <c r="T269" s="75"/>
      <c r="U269" s="75"/>
      <c r="V269" s="75"/>
      <c r="X269" s="166"/>
      <c r="AB269" s="73"/>
      <c r="AD269" s="74" t="str">
        <f t="shared" si="20"/>
        <v/>
      </c>
      <c r="AE269" s="74" t="str">
        <f t="shared" si="21"/>
        <v/>
      </c>
      <c r="AF269" s="74" t="str">
        <f t="shared" ca="1" si="22"/>
        <v/>
      </c>
      <c r="AG269" s="74" t="str">
        <f t="shared" si="23"/>
        <v/>
      </c>
    </row>
    <row r="270" spans="1:33" x14ac:dyDescent="0.2">
      <c r="A270" s="75"/>
      <c r="B270" s="75"/>
      <c r="C270" s="75"/>
      <c r="D270" s="75"/>
      <c r="E270" s="75"/>
      <c r="F270" s="75"/>
      <c r="G270" s="75"/>
      <c r="H270" s="75"/>
      <c r="I270" s="96"/>
      <c r="J270" s="96"/>
      <c r="K270" s="75"/>
      <c r="L270" s="75"/>
      <c r="M270" s="75"/>
      <c r="N270" s="75"/>
      <c r="O270" s="75"/>
      <c r="P270" s="75"/>
      <c r="Q270" s="96"/>
      <c r="R270" s="75"/>
      <c r="S270" s="75"/>
      <c r="T270" s="75"/>
      <c r="U270" s="75"/>
      <c r="V270" s="75"/>
      <c r="X270" s="166"/>
      <c r="AB270" s="73"/>
      <c r="AD270" s="74" t="str">
        <f t="shared" si="20"/>
        <v/>
      </c>
      <c r="AE270" s="74" t="str">
        <f t="shared" si="21"/>
        <v/>
      </c>
      <c r="AF270" s="74" t="str">
        <f t="shared" ca="1" si="22"/>
        <v/>
      </c>
      <c r="AG270" s="74" t="str">
        <f t="shared" si="23"/>
        <v/>
      </c>
    </row>
    <row r="271" spans="1:33" x14ac:dyDescent="0.2">
      <c r="A271" s="75"/>
      <c r="B271" s="75"/>
      <c r="C271" s="75"/>
      <c r="D271" s="75"/>
      <c r="E271" s="75"/>
      <c r="F271" s="75"/>
      <c r="G271" s="75"/>
      <c r="H271" s="75"/>
      <c r="I271" s="96"/>
      <c r="J271" s="96"/>
      <c r="K271" s="75"/>
      <c r="L271" s="75"/>
      <c r="M271" s="75"/>
      <c r="N271" s="75"/>
      <c r="O271" s="75"/>
      <c r="P271" s="75"/>
      <c r="Q271" s="96"/>
      <c r="R271" s="75"/>
      <c r="S271" s="75"/>
      <c r="T271" s="75"/>
      <c r="U271" s="75"/>
      <c r="V271" s="75"/>
      <c r="X271" s="166"/>
      <c r="AB271" s="73"/>
      <c r="AD271" s="74" t="str">
        <f t="shared" si="20"/>
        <v/>
      </c>
      <c r="AE271" s="74" t="str">
        <f t="shared" si="21"/>
        <v/>
      </c>
      <c r="AF271" s="74" t="str">
        <f t="shared" ca="1" si="22"/>
        <v/>
      </c>
      <c r="AG271" s="74" t="str">
        <f t="shared" si="23"/>
        <v/>
      </c>
    </row>
    <row r="272" spans="1:33" x14ac:dyDescent="0.2">
      <c r="A272" s="75"/>
      <c r="B272" s="75"/>
      <c r="C272" s="75"/>
      <c r="D272" s="75"/>
      <c r="E272" s="75"/>
      <c r="F272" s="75"/>
      <c r="G272" s="75"/>
      <c r="H272" s="75"/>
      <c r="I272" s="96"/>
      <c r="J272" s="96"/>
      <c r="K272" s="75"/>
      <c r="L272" s="75"/>
      <c r="M272" s="75"/>
      <c r="N272" s="75"/>
      <c r="O272" s="75"/>
      <c r="P272" s="75"/>
      <c r="Q272" s="96"/>
      <c r="R272" s="75"/>
      <c r="S272" s="75"/>
      <c r="T272" s="75"/>
      <c r="U272" s="75"/>
      <c r="V272" s="75"/>
      <c r="X272" s="166"/>
      <c r="AB272" s="73"/>
      <c r="AD272" s="74" t="str">
        <f t="shared" si="20"/>
        <v/>
      </c>
      <c r="AE272" s="74" t="str">
        <f t="shared" si="21"/>
        <v/>
      </c>
      <c r="AF272" s="74" t="str">
        <f t="shared" ca="1" si="22"/>
        <v/>
      </c>
      <c r="AG272" s="74" t="str">
        <f t="shared" si="23"/>
        <v/>
      </c>
    </row>
    <row r="273" spans="1:33" x14ac:dyDescent="0.2">
      <c r="A273" s="75"/>
      <c r="B273" s="75"/>
      <c r="C273" s="75"/>
      <c r="D273" s="75"/>
      <c r="E273" s="75"/>
      <c r="F273" s="75"/>
      <c r="G273" s="75"/>
      <c r="H273" s="75"/>
      <c r="I273" s="96"/>
      <c r="J273" s="96"/>
      <c r="K273" s="75"/>
      <c r="L273" s="75"/>
      <c r="M273" s="75"/>
      <c r="N273" s="75"/>
      <c r="O273" s="75"/>
      <c r="P273" s="75"/>
      <c r="Q273" s="96"/>
      <c r="R273" s="75"/>
      <c r="S273" s="75"/>
      <c r="T273" s="75"/>
      <c r="U273" s="75"/>
      <c r="V273" s="75"/>
      <c r="X273" s="166"/>
      <c r="AB273" s="73"/>
      <c r="AD273" s="74" t="str">
        <f t="shared" si="20"/>
        <v/>
      </c>
      <c r="AE273" s="74" t="str">
        <f t="shared" si="21"/>
        <v/>
      </c>
      <c r="AF273" s="74" t="str">
        <f t="shared" ca="1" si="22"/>
        <v/>
      </c>
      <c r="AG273" s="74" t="str">
        <f t="shared" si="23"/>
        <v/>
      </c>
    </row>
    <row r="274" spans="1:33" x14ac:dyDescent="0.2">
      <c r="A274" s="75"/>
      <c r="B274" s="75"/>
      <c r="C274" s="75"/>
      <c r="D274" s="75"/>
      <c r="E274" s="75"/>
      <c r="F274" s="75"/>
      <c r="G274" s="75"/>
      <c r="H274" s="75"/>
      <c r="I274" s="96"/>
      <c r="J274" s="96"/>
      <c r="K274" s="75"/>
      <c r="L274" s="75"/>
      <c r="M274" s="75"/>
      <c r="N274" s="75"/>
      <c r="O274" s="75"/>
      <c r="P274" s="75"/>
      <c r="Q274" s="96"/>
      <c r="R274" s="75"/>
      <c r="S274" s="75"/>
      <c r="T274" s="75"/>
      <c r="U274" s="75"/>
      <c r="V274" s="75"/>
      <c r="X274" s="166"/>
      <c r="AB274" s="73"/>
      <c r="AD274" s="74" t="str">
        <f t="shared" si="20"/>
        <v/>
      </c>
      <c r="AE274" s="74" t="str">
        <f t="shared" si="21"/>
        <v/>
      </c>
      <c r="AF274" s="74" t="str">
        <f t="shared" ca="1" si="22"/>
        <v/>
      </c>
      <c r="AG274" s="74" t="str">
        <f t="shared" si="23"/>
        <v/>
      </c>
    </row>
    <row r="275" spans="1:33" x14ac:dyDescent="0.2">
      <c r="A275" s="75"/>
      <c r="B275" s="75"/>
      <c r="C275" s="75"/>
      <c r="D275" s="75"/>
      <c r="E275" s="75"/>
      <c r="F275" s="75"/>
      <c r="G275" s="75"/>
      <c r="H275" s="75"/>
      <c r="I275" s="96"/>
      <c r="J275" s="96"/>
      <c r="K275" s="75"/>
      <c r="L275" s="75"/>
      <c r="M275" s="75"/>
      <c r="N275" s="75"/>
      <c r="O275" s="75"/>
      <c r="P275" s="75"/>
      <c r="Q275" s="96"/>
      <c r="R275" s="75"/>
      <c r="S275" s="75"/>
      <c r="T275" s="75"/>
      <c r="U275" s="75"/>
      <c r="V275" s="75"/>
      <c r="X275" s="166"/>
      <c r="AB275" s="73"/>
      <c r="AD275" s="74" t="str">
        <f t="shared" si="20"/>
        <v/>
      </c>
      <c r="AE275" s="74" t="str">
        <f t="shared" si="21"/>
        <v/>
      </c>
      <c r="AF275" s="74" t="str">
        <f t="shared" ca="1" si="22"/>
        <v/>
      </c>
      <c r="AG275" s="74" t="str">
        <f t="shared" si="23"/>
        <v/>
      </c>
    </row>
    <row r="276" spans="1:33" x14ac:dyDescent="0.2">
      <c r="A276" s="75"/>
      <c r="B276" s="75"/>
      <c r="C276" s="75"/>
      <c r="D276" s="75"/>
      <c r="E276" s="75"/>
      <c r="F276" s="75"/>
      <c r="G276" s="75"/>
      <c r="H276" s="75"/>
      <c r="I276" s="96"/>
      <c r="J276" s="96"/>
      <c r="K276" s="75"/>
      <c r="L276" s="75"/>
      <c r="M276" s="75"/>
      <c r="N276" s="75"/>
      <c r="O276" s="75"/>
      <c r="P276" s="75"/>
      <c r="Q276" s="96"/>
      <c r="R276" s="75"/>
      <c r="S276" s="75"/>
      <c r="T276" s="75"/>
      <c r="U276" s="75"/>
      <c r="V276" s="75"/>
      <c r="X276" s="166"/>
      <c r="AB276" s="73"/>
      <c r="AD276" s="74" t="str">
        <f t="shared" si="20"/>
        <v/>
      </c>
      <c r="AE276" s="74" t="str">
        <f t="shared" si="21"/>
        <v/>
      </c>
      <c r="AF276" s="74" t="str">
        <f t="shared" ca="1" si="22"/>
        <v/>
      </c>
      <c r="AG276" s="74" t="str">
        <f t="shared" si="23"/>
        <v/>
      </c>
    </row>
    <row r="277" spans="1:33" x14ac:dyDescent="0.2">
      <c r="A277" s="75"/>
      <c r="B277" s="75"/>
      <c r="C277" s="75"/>
      <c r="D277" s="75"/>
      <c r="E277" s="75"/>
      <c r="F277" s="75"/>
      <c r="G277" s="75"/>
      <c r="H277" s="75"/>
      <c r="I277" s="96"/>
      <c r="J277" s="96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X277" s="166"/>
      <c r="AB277" s="73"/>
      <c r="AD277" s="74" t="str">
        <f t="shared" si="20"/>
        <v/>
      </c>
      <c r="AE277" s="74" t="str">
        <f t="shared" si="21"/>
        <v/>
      </c>
      <c r="AF277" s="74" t="str">
        <f t="shared" ca="1" si="22"/>
        <v/>
      </c>
      <c r="AG277" s="74" t="str">
        <f t="shared" si="23"/>
        <v/>
      </c>
    </row>
    <row r="278" spans="1:33" x14ac:dyDescent="0.2">
      <c r="A278" s="75"/>
      <c r="B278" s="75"/>
      <c r="C278" s="75"/>
      <c r="D278" s="75"/>
      <c r="E278" s="75"/>
      <c r="F278" s="75"/>
      <c r="G278" s="75"/>
      <c r="H278" s="75"/>
      <c r="I278" s="96"/>
      <c r="J278" s="96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X278" s="166"/>
      <c r="AB278" s="73"/>
      <c r="AD278" s="74" t="str">
        <f t="shared" si="20"/>
        <v/>
      </c>
      <c r="AE278" s="74" t="str">
        <f t="shared" si="21"/>
        <v/>
      </c>
      <c r="AF278" s="74" t="str">
        <f t="shared" ca="1" si="22"/>
        <v/>
      </c>
      <c r="AG278" s="74" t="str">
        <f t="shared" si="23"/>
        <v/>
      </c>
    </row>
    <row r="279" spans="1:33" x14ac:dyDescent="0.2">
      <c r="A279" s="75"/>
      <c r="B279" s="75"/>
      <c r="C279" s="75"/>
      <c r="D279" s="75"/>
      <c r="E279" s="75"/>
      <c r="F279" s="75"/>
      <c r="G279" s="75"/>
      <c r="H279" s="75"/>
      <c r="I279" s="96"/>
      <c r="J279" s="96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X279" s="166"/>
      <c r="AB279" s="73"/>
      <c r="AD279" s="74" t="str">
        <f t="shared" si="20"/>
        <v/>
      </c>
      <c r="AE279" s="74" t="str">
        <f t="shared" si="21"/>
        <v/>
      </c>
      <c r="AF279" s="74" t="str">
        <f t="shared" ca="1" si="22"/>
        <v/>
      </c>
      <c r="AG279" s="74" t="str">
        <f t="shared" si="23"/>
        <v/>
      </c>
    </row>
    <row r="280" spans="1:33" x14ac:dyDescent="0.2">
      <c r="A280" s="75"/>
      <c r="B280" s="75"/>
      <c r="C280" s="75"/>
      <c r="D280" s="75"/>
      <c r="E280" s="75"/>
      <c r="F280" s="75"/>
      <c r="G280" s="75"/>
      <c r="H280" s="75"/>
      <c r="I280" s="96"/>
      <c r="J280" s="96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X280" s="166"/>
      <c r="AB280" s="73"/>
      <c r="AD280" s="74" t="str">
        <f t="shared" si="20"/>
        <v/>
      </c>
      <c r="AE280" s="74" t="str">
        <f t="shared" si="21"/>
        <v/>
      </c>
      <c r="AF280" s="74" t="str">
        <f t="shared" ca="1" si="22"/>
        <v/>
      </c>
      <c r="AG280" s="74" t="str">
        <f t="shared" si="23"/>
        <v/>
      </c>
    </row>
    <row r="281" spans="1:33" x14ac:dyDescent="0.2">
      <c r="A281" s="75"/>
      <c r="B281" s="75"/>
      <c r="C281" s="75"/>
      <c r="D281" s="75"/>
      <c r="E281" s="75"/>
      <c r="F281" s="75"/>
      <c r="G281" s="75"/>
      <c r="H281" s="75"/>
      <c r="I281" s="96"/>
      <c r="J281" s="96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X281" s="166"/>
      <c r="AB281" s="73"/>
      <c r="AD281" s="74" t="str">
        <f t="shared" si="20"/>
        <v/>
      </c>
      <c r="AE281" s="74" t="str">
        <f t="shared" si="21"/>
        <v/>
      </c>
      <c r="AF281" s="74" t="str">
        <f t="shared" ca="1" si="22"/>
        <v/>
      </c>
      <c r="AG281" s="74" t="str">
        <f t="shared" si="23"/>
        <v/>
      </c>
    </row>
    <row r="282" spans="1:33" x14ac:dyDescent="0.2">
      <c r="A282" s="75"/>
      <c r="B282" s="75"/>
      <c r="C282" s="75"/>
      <c r="D282" s="75"/>
      <c r="E282" s="75"/>
      <c r="F282" s="75"/>
      <c r="G282" s="75"/>
      <c r="H282" s="75"/>
      <c r="I282" s="96"/>
      <c r="J282" s="96"/>
      <c r="K282" s="75"/>
      <c r="L282" s="75"/>
      <c r="M282" s="75"/>
      <c r="N282" s="75"/>
      <c r="O282" s="75"/>
      <c r="P282" s="75"/>
      <c r="Q282" s="96"/>
      <c r="R282" s="75"/>
      <c r="S282" s="75"/>
      <c r="T282" s="75"/>
      <c r="U282" s="75"/>
      <c r="V282" s="75"/>
      <c r="X282" s="166"/>
      <c r="AB282" s="73"/>
      <c r="AD282" s="74" t="str">
        <f t="shared" si="20"/>
        <v/>
      </c>
      <c r="AE282" s="74" t="str">
        <f t="shared" si="21"/>
        <v/>
      </c>
      <c r="AF282" s="74" t="str">
        <f t="shared" ca="1" si="22"/>
        <v/>
      </c>
      <c r="AG282" s="74" t="str">
        <f t="shared" si="23"/>
        <v/>
      </c>
    </row>
    <row r="283" spans="1:33" x14ac:dyDescent="0.2">
      <c r="A283" s="75"/>
      <c r="B283" s="75"/>
      <c r="C283" s="75"/>
      <c r="D283" s="75"/>
      <c r="E283" s="75"/>
      <c r="F283" s="75"/>
      <c r="G283" s="75"/>
      <c r="H283" s="75"/>
      <c r="I283" s="96"/>
      <c r="J283" s="96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X283" s="166"/>
      <c r="AB283" s="73"/>
      <c r="AD283" s="74" t="str">
        <f t="shared" si="20"/>
        <v/>
      </c>
      <c r="AE283" s="74" t="str">
        <f t="shared" si="21"/>
        <v/>
      </c>
      <c r="AF283" s="74" t="str">
        <f t="shared" ca="1" si="22"/>
        <v/>
      </c>
      <c r="AG283" s="74" t="str">
        <f t="shared" si="23"/>
        <v/>
      </c>
    </row>
    <row r="284" spans="1:33" x14ac:dyDescent="0.2">
      <c r="A284" s="75"/>
      <c r="B284" s="75"/>
      <c r="C284" s="75"/>
      <c r="D284" s="75"/>
      <c r="E284" s="75"/>
      <c r="F284" s="75"/>
      <c r="G284" s="75"/>
      <c r="H284" s="75"/>
      <c r="I284" s="96"/>
      <c r="J284" s="96"/>
      <c r="K284" s="75"/>
      <c r="L284" s="75"/>
      <c r="M284" s="75"/>
      <c r="N284" s="75"/>
      <c r="O284" s="75"/>
      <c r="P284" s="75"/>
      <c r="Q284" s="96"/>
      <c r="R284" s="75"/>
      <c r="S284" s="75"/>
      <c r="T284" s="75"/>
      <c r="U284" s="75"/>
      <c r="V284" s="75"/>
      <c r="X284" s="166"/>
      <c r="AB284" s="73"/>
      <c r="AD284" s="74" t="str">
        <f t="shared" si="20"/>
        <v/>
      </c>
      <c r="AE284" s="74" t="str">
        <f t="shared" si="21"/>
        <v/>
      </c>
      <c r="AF284" s="74" t="str">
        <f t="shared" ca="1" si="22"/>
        <v/>
      </c>
      <c r="AG284" s="74" t="str">
        <f t="shared" si="23"/>
        <v/>
      </c>
    </row>
    <row r="285" spans="1:33" x14ac:dyDescent="0.2">
      <c r="A285" s="75"/>
      <c r="B285" s="75"/>
      <c r="C285" s="75"/>
      <c r="D285" s="75"/>
      <c r="E285" s="75"/>
      <c r="F285" s="75"/>
      <c r="G285" s="75"/>
      <c r="H285" s="75"/>
      <c r="I285" s="96"/>
      <c r="J285" s="96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X285" s="166"/>
      <c r="AB285" s="73"/>
      <c r="AD285" s="74" t="str">
        <f t="shared" si="20"/>
        <v/>
      </c>
      <c r="AE285" s="74" t="str">
        <f t="shared" si="21"/>
        <v/>
      </c>
      <c r="AF285" s="74" t="str">
        <f t="shared" ca="1" si="22"/>
        <v/>
      </c>
      <c r="AG285" s="74" t="str">
        <f t="shared" si="23"/>
        <v/>
      </c>
    </row>
    <row r="286" spans="1:33" x14ac:dyDescent="0.2">
      <c r="A286" s="75"/>
      <c r="B286" s="75"/>
      <c r="C286" s="75"/>
      <c r="D286" s="75"/>
      <c r="E286" s="75"/>
      <c r="F286" s="75"/>
      <c r="G286" s="75"/>
      <c r="H286" s="75"/>
      <c r="I286" s="96"/>
      <c r="J286" s="96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X286" s="166"/>
      <c r="AB286" s="73"/>
      <c r="AD286" s="74" t="str">
        <f t="shared" si="20"/>
        <v/>
      </c>
      <c r="AE286" s="74" t="str">
        <f t="shared" si="21"/>
        <v/>
      </c>
      <c r="AF286" s="74" t="str">
        <f t="shared" ca="1" si="22"/>
        <v/>
      </c>
      <c r="AG286" s="74" t="str">
        <f t="shared" si="23"/>
        <v/>
      </c>
    </row>
    <row r="287" spans="1:33" x14ac:dyDescent="0.2">
      <c r="A287" s="75"/>
      <c r="B287" s="75"/>
      <c r="C287" s="75"/>
      <c r="D287" s="75"/>
      <c r="E287" s="75"/>
      <c r="F287" s="75"/>
      <c r="G287" s="75"/>
      <c r="H287" s="75"/>
      <c r="I287" s="96"/>
      <c r="J287" s="96"/>
      <c r="K287" s="75"/>
      <c r="L287" s="75"/>
      <c r="M287" s="75"/>
      <c r="N287" s="75"/>
      <c r="O287" s="75"/>
      <c r="P287" s="75"/>
      <c r="Q287" s="96"/>
      <c r="R287" s="75"/>
      <c r="S287" s="75"/>
      <c r="T287" s="75"/>
      <c r="U287" s="75"/>
      <c r="V287" s="75"/>
      <c r="X287" s="166"/>
      <c r="AB287" s="73"/>
      <c r="AD287" s="74" t="str">
        <f t="shared" si="20"/>
        <v/>
      </c>
      <c r="AE287" s="74" t="str">
        <f t="shared" si="21"/>
        <v/>
      </c>
      <c r="AF287" s="74" t="str">
        <f t="shared" ca="1" si="22"/>
        <v/>
      </c>
      <c r="AG287" s="74" t="str">
        <f t="shared" si="23"/>
        <v/>
      </c>
    </row>
    <row r="288" spans="1:33" x14ac:dyDescent="0.2">
      <c r="A288" s="75"/>
      <c r="B288" s="75"/>
      <c r="C288" s="75"/>
      <c r="D288" s="75"/>
      <c r="E288" s="75"/>
      <c r="F288" s="75"/>
      <c r="G288" s="75"/>
      <c r="H288" s="75"/>
      <c r="I288" s="96"/>
      <c r="J288" s="96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X288" s="166"/>
      <c r="AB288" s="73"/>
      <c r="AD288" s="74" t="str">
        <f t="shared" si="20"/>
        <v/>
      </c>
      <c r="AE288" s="74" t="str">
        <f t="shared" si="21"/>
        <v/>
      </c>
      <c r="AF288" s="74" t="str">
        <f t="shared" ca="1" si="22"/>
        <v/>
      </c>
      <c r="AG288" s="74" t="str">
        <f t="shared" si="23"/>
        <v/>
      </c>
    </row>
    <row r="289" spans="1:33" x14ac:dyDescent="0.2">
      <c r="A289" s="75"/>
      <c r="B289" s="75"/>
      <c r="C289" s="75"/>
      <c r="D289" s="75"/>
      <c r="E289" s="75"/>
      <c r="F289" s="75"/>
      <c r="G289" s="75"/>
      <c r="H289" s="75"/>
      <c r="I289" s="96"/>
      <c r="J289" s="96"/>
      <c r="K289" s="75"/>
      <c r="L289" s="75"/>
      <c r="M289" s="75"/>
      <c r="N289" s="75"/>
      <c r="O289" s="75"/>
      <c r="P289" s="75"/>
      <c r="Q289" s="96"/>
      <c r="R289" s="75"/>
      <c r="S289" s="75"/>
      <c r="T289" s="75"/>
      <c r="U289" s="75"/>
      <c r="V289" s="75"/>
      <c r="X289" s="166"/>
      <c r="AB289" s="73"/>
      <c r="AD289" s="74" t="str">
        <f t="shared" si="20"/>
        <v/>
      </c>
      <c r="AE289" s="74" t="str">
        <f t="shared" si="21"/>
        <v/>
      </c>
      <c r="AF289" s="74" t="str">
        <f t="shared" ca="1" si="22"/>
        <v/>
      </c>
      <c r="AG289" s="74" t="str">
        <f t="shared" si="23"/>
        <v/>
      </c>
    </row>
    <row r="290" spans="1:33" x14ac:dyDescent="0.2">
      <c r="A290" s="75"/>
      <c r="B290" s="75"/>
      <c r="C290" s="75"/>
      <c r="D290" s="75"/>
      <c r="E290" s="75"/>
      <c r="F290" s="75"/>
      <c r="G290" s="75"/>
      <c r="H290" s="75"/>
      <c r="I290" s="96"/>
      <c r="J290" s="96"/>
      <c r="K290" s="75"/>
      <c r="L290" s="75"/>
      <c r="M290" s="75"/>
      <c r="N290" s="75"/>
      <c r="O290" s="75"/>
      <c r="P290" s="75"/>
      <c r="Q290" s="96"/>
      <c r="R290" s="75"/>
      <c r="S290" s="75"/>
      <c r="T290" s="75"/>
      <c r="U290" s="75"/>
      <c r="V290" s="75"/>
      <c r="X290" s="166"/>
      <c r="AB290" s="73"/>
      <c r="AD290" s="74" t="str">
        <f t="shared" si="20"/>
        <v/>
      </c>
      <c r="AE290" s="74" t="str">
        <f t="shared" si="21"/>
        <v/>
      </c>
      <c r="AF290" s="74" t="str">
        <f t="shared" ca="1" si="22"/>
        <v/>
      </c>
      <c r="AG290" s="74" t="str">
        <f t="shared" si="23"/>
        <v/>
      </c>
    </row>
    <row r="291" spans="1:33" x14ac:dyDescent="0.2">
      <c r="A291" s="75"/>
      <c r="B291" s="75"/>
      <c r="C291" s="75"/>
      <c r="D291" s="75"/>
      <c r="E291" s="75"/>
      <c r="F291" s="75"/>
      <c r="G291" s="75"/>
      <c r="H291" s="75"/>
      <c r="I291" s="96"/>
      <c r="J291" s="96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X291" s="166"/>
      <c r="AB291" s="73"/>
      <c r="AD291" s="74" t="str">
        <f t="shared" si="20"/>
        <v/>
      </c>
      <c r="AE291" s="74" t="str">
        <f t="shared" si="21"/>
        <v/>
      </c>
      <c r="AF291" s="74" t="str">
        <f t="shared" ca="1" si="22"/>
        <v/>
      </c>
      <c r="AG291" s="74" t="str">
        <f t="shared" si="23"/>
        <v/>
      </c>
    </row>
    <row r="292" spans="1:33" x14ac:dyDescent="0.2">
      <c r="A292" s="75"/>
      <c r="B292" s="75"/>
      <c r="C292" s="75"/>
      <c r="D292" s="75"/>
      <c r="E292" s="75"/>
      <c r="F292" s="75"/>
      <c r="G292" s="75"/>
      <c r="H292" s="75"/>
      <c r="I292" s="96"/>
      <c r="J292" s="96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X292" s="166"/>
      <c r="AB292" s="73"/>
      <c r="AD292" s="74" t="str">
        <f t="shared" si="20"/>
        <v/>
      </c>
      <c r="AE292" s="74" t="str">
        <f t="shared" si="21"/>
        <v/>
      </c>
      <c r="AF292" s="74" t="str">
        <f t="shared" ca="1" si="22"/>
        <v/>
      </c>
      <c r="AG292" s="74" t="str">
        <f t="shared" si="23"/>
        <v/>
      </c>
    </row>
    <row r="293" spans="1:33" x14ac:dyDescent="0.2">
      <c r="A293" s="75"/>
      <c r="B293" s="75"/>
      <c r="C293" s="75"/>
      <c r="D293" s="75"/>
      <c r="E293" s="75"/>
      <c r="F293" s="75"/>
      <c r="G293" s="75"/>
      <c r="H293" s="75"/>
      <c r="I293" s="96"/>
      <c r="J293" s="96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X293" s="166"/>
      <c r="AB293" s="73"/>
      <c r="AD293" s="74" t="str">
        <f t="shared" ref="AD293:AD356" si="24">IF(A:A&lt;&gt;"",(M293&amp;"-"&amp;N293),"")</f>
        <v/>
      </c>
      <c r="AE293" s="74" t="str">
        <f t="shared" ref="AE293:AE356" si="25">IF(F:F&lt;&gt;"",IF(F293="Other","Proactive",IF(F293="Proactive","Proactive","Reactive")),"")</f>
        <v/>
      </c>
      <c r="AF293" s="74" t="str">
        <f t="shared" ref="AF293:AF356" ca="1" si="26">IF(I:I&lt;&gt;"",(IF(E293&lt;&gt;"Closed",DATEDIF(I293,TODAY(),"d"),"")),"")</f>
        <v/>
      </c>
      <c r="AG293" s="74" t="str">
        <f t="shared" ref="AG293:AG356" si="27">IF(R:R&lt;&gt;"",DATEDIF(I293,R293,"d"),"")</f>
        <v/>
      </c>
    </row>
    <row r="294" spans="1:33" x14ac:dyDescent="0.2">
      <c r="A294" s="75"/>
      <c r="B294" s="75"/>
      <c r="C294" s="75"/>
      <c r="D294" s="75"/>
      <c r="E294" s="75"/>
      <c r="F294" s="75"/>
      <c r="G294" s="75"/>
      <c r="H294" s="75"/>
      <c r="I294" s="96"/>
      <c r="J294" s="96"/>
      <c r="K294" s="75"/>
      <c r="L294" s="75"/>
      <c r="M294" s="75"/>
      <c r="N294" s="75"/>
      <c r="O294" s="75"/>
      <c r="P294" s="75"/>
      <c r="Q294" s="96"/>
      <c r="R294" s="75"/>
      <c r="S294" s="75"/>
      <c r="T294" s="75"/>
      <c r="U294" s="75"/>
      <c r="V294" s="75"/>
      <c r="X294" s="166"/>
      <c r="AB294" s="73"/>
      <c r="AD294" s="74" t="str">
        <f t="shared" si="24"/>
        <v/>
      </c>
      <c r="AE294" s="74" t="str">
        <f t="shared" si="25"/>
        <v/>
      </c>
      <c r="AF294" s="74" t="str">
        <f t="shared" ca="1" si="26"/>
        <v/>
      </c>
      <c r="AG294" s="74" t="str">
        <f t="shared" si="27"/>
        <v/>
      </c>
    </row>
    <row r="295" spans="1:33" x14ac:dyDescent="0.2">
      <c r="A295" s="75"/>
      <c r="B295" s="75"/>
      <c r="C295" s="75"/>
      <c r="D295" s="75"/>
      <c r="E295" s="75"/>
      <c r="F295" s="75"/>
      <c r="G295" s="75"/>
      <c r="H295" s="75"/>
      <c r="I295" s="96"/>
      <c r="J295" s="96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X295" s="166"/>
      <c r="AB295" s="73"/>
      <c r="AD295" s="74" t="str">
        <f t="shared" si="24"/>
        <v/>
      </c>
      <c r="AE295" s="74" t="str">
        <f t="shared" si="25"/>
        <v/>
      </c>
      <c r="AF295" s="74" t="str">
        <f t="shared" ca="1" si="26"/>
        <v/>
      </c>
      <c r="AG295" s="74" t="str">
        <f t="shared" si="27"/>
        <v/>
      </c>
    </row>
    <row r="296" spans="1:33" x14ac:dyDescent="0.2">
      <c r="A296" s="75"/>
      <c r="B296" s="75"/>
      <c r="C296" s="75"/>
      <c r="D296" s="75"/>
      <c r="E296" s="75"/>
      <c r="F296" s="75"/>
      <c r="G296" s="75"/>
      <c r="H296" s="75"/>
      <c r="I296" s="96"/>
      <c r="J296" s="96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X296" s="166"/>
      <c r="AB296" s="73"/>
      <c r="AD296" s="74" t="str">
        <f t="shared" si="24"/>
        <v/>
      </c>
      <c r="AE296" s="74" t="str">
        <f t="shared" si="25"/>
        <v/>
      </c>
      <c r="AF296" s="74" t="str">
        <f t="shared" ca="1" si="26"/>
        <v/>
      </c>
      <c r="AG296" s="74" t="str">
        <f t="shared" si="27"/>
        <v/>
      </c>
    </row>
    <row r="297" spans="1:33" x14ac:dyDescent="0.2">
      <c r="A297" s="75"/>
      <c r="B297" s="75"/>
      <c r="C297" s="75"/>
      <c r="D297" s="75"/>
      <c r="E297" s="75"/>
      <c r="F297" s="75"/>
      <c r="G297" s="75"/>
      <c r="H297" s="75"/>
      <c r="I297" s="96"/>
      <c r="J297" s="96"/>
      <c r="K297" s="75"/>
      <c r="L297" s="75"/>
      <c r="M297" s="75"/>
      <c r="N297" s="75"/>
      <c r="O297" s="75"/>
      <c r="P297" s="75"/>
      <c r="Q297" s="96"/>
      <c r="R297" s="75"/>
      <c r="S297" s="75"/>
      <c r="T297" s="75"/>
      <c r="U297" s="75"/>
      <c r="V297" s="75"/>
      <c r="X297" s="166"/>
      <c r="AB297" s="73"/>
      <c r="AD297" s="74" t="str">
        <f t="shared" si="24"/>
        <v/>
      </c>
      <c r="AE297" s="74" t="str">
        <f t="shared" si="25"/>
        <v/>
      </c>
      <c r="AF297" s="74" t="str">
        <f t="shared" ca="1" si="26"/>
        <v/>
      </c>
      <c r="AG297" s="74" t="str">
        <f t="shared" si="27"/>
        <v/>
      </c>
    </row>
    <row r="298" spans="1:33" x14ac:dyDescent="0.2">
      <c r="A298" s="75"/>
      <c r="B298" s="75"/>
      <c r="C298" s="75"/>
      <c r="D298" s="75"/>
      <c r="E298" s="75"/>
      <c r="F298" s="75"/>
      <c r="G298" s="75"/>
      <c r="H298" s="75"/>
      <c r="I298" s="96"/>
      <c r="J298" s="96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X298" s="166"/>
      <c r="AB298" s="73"/>
      <c r="AD298" s="74" t="str">
        <f t="shared" si="24"/>
        <v/>
      </c>
      <c r="AE298" s="74" t="str">
        <f t="shared" si="25"/>
        <v/>
      </c>
      <c r="AF298" s="74" t="str">
        <f t="shared" ca="1" si="26"/>
        <v/>
      </c>
      <c r="AG298" s="74" t="str">
        <f t="shared" si="27"/>
        <v/>
      </c>
    </row>
    <row r="299" spans="1:33" x14ac:dyDescent="0.2">
      <c r="A299" s="75"/>
      <c r="B299" s="75"/>
      <c r="C299" s="75"/>
      <c r="D299" s="75"/>
      <c r="E299" s="75"/>
      <c r="F299" s="75"/>
      <c r="G299" s="75"/>
      <c r="H299" s="75"/>
      <c r="I299" s="96"/>
      <c r="J299" s="96"/>
      <c r="K299" s="75"/>
      <c r="L299" s="75"/>
      <c r="M299" s="75"/>
      <c r="N299" s="75"/>
      <c r="O299" s="75"/>
      <c r="P299" s="75"/>
      <c r="Q299" s="96"/>
      <c r="R299" s="75"/>
      <c r="S299" s="75"/>
      <c r="T299" s="75"/>
      <c r="U299" s="75"/>
      <c r="V299" s="75"/>
      <c r="X299" s="166"/>
      <c r="AB299" s="73"/>
      <c r="AD299" s="74" t="str">
        <f t="shared" si="24"/>
        <v/>
      </c>
      <c r="AE299" s="74" t="str">
        <f t="shared" si="25"/>
        <v/>
      </c>
      <c r="AF299" s="74" t="str">
        <f t="shared" ca="1" si="26"/>
        <v/>
      </c>
      <c r="AG299" s="74" t="str">
        <f t="shared" si="27"/>
        <v/>
      </c>
    </row>
    <row r="300" spans="1:33" x14ac:dyDescent="0.2">
      <c r="A300" s="75"/>
      <c r="B300" s="75"/>
      <c r="C300" s="75"/>
      <c r="D300" s="75"/>
      <c r="E300" s="75"/>
      <c r="F300" s="75"/>
      <c r="G300" s="75"/>
      <c r="H300" s="75"/>
      <c r="I300" s="96"/>
      <c r="J300" s="96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X300" s="166"/>
      <c r="AB300" s="73"/>
      <c r="AD300" s="74" t="str">
        <f t="shared" si="24"/>
        <v/>
      </c>
      <c r="AE300" s="74" t="str">
        <f t="shared" si="25"/>
        <v/>
      </c>
      <c r="AF300" s="74" t="str">
        <f t="shared" ca="1" si="26"/>
        <v/>
      </c>
      <c r="AG300" s="74" t="str">
        <f t="shared" si="27"/>
        <v/>
      </c>
    </row>
    <row r="301" spans="1:33" x14ac:dyDescent="0.2">
      <c r="A301" s="75"/>
      <c r="B301" s="75"/>
      <c r="C301" s="75"/>
      <c r="D301" s="75"/>
      <c r="E301" s="75"/>
      <c r="F301" s="75"/>
      <c r="G301" s="75"/>
      <c r="H301" s="75"/>
      <c r="I301" s="96"/>
      <c r="J301" s="96"/>
      <c r="K301" s="75"/>
      <c r="L301" s="75"/>
      <c r="M301" s="75"/>
      <c r="N301" s="75"/>
      <c r="O301" s="75"/>
      <c r="P301" s="75"/>
      <c r="Q301" s="96"/>
      <c r="R301" s="75"/>
      <c r="S301" s="75"/>
      <c r="T301" s="75"/>
      <c r="U301" s="75"/>
      <c r="V301" s="75"/>
      <c r="X301" s="166"/>
      <c r="AB301" s="73"/>
      <c r="AD301" s="74" t="str">
        <f t="shared" si="24"/>
        <v/>
      </c>
      <c r="AE301" s="74" t="str">
        <f t="shared" si="25"/>
        <v/>
      </c>
      <c r="AF301" s="74" t="str">
        <f t="shared" ca="1" si="26"/>
        <v/>
      </c>
      <c r="AG301" s="74" t="str">
        <f t="shared" si="27"/>
        <v/>
      </c>
    </row>
    <row r="302" spans="1:33" x14ac:dyDescent="0.2">
      <c r="A302" s="75"/>
      <c r="B302" s="75"/>
      <c r="C302" s="75"/>
      <c r="D302" s="75"/>
      <c r="E302" s="75"/>
      <c r="F302" s="75"/>
      <c r="G302" s="75"/>
      <c r="H302" s="75"/>
      <c r="I302" s="96"/>
      <c r="J302" s="96"/>
      <c r="K302" s="75"/>
      <c r="L302" s="75"/>
      <c r="M302" s="75"/>
      <c r="N302" s="75"/>
      <c r="O302" s="75"/>
      <c r="P302" s="75"/>
      <c r="Q302" s="96"/>
      <c r="R302" s="75"/>
      <c r="S302" s="75"/>
      <c r="T302" s="75"/>
      <c r="U302" s="75"/>
      <c r="V302" s="75"/>
      <c r="X302" s="166"/>
      <c r="AB302" s="73"/>
      <c r="AD302" s="74" t="str">
        <f t="shared" si="24"/>
        <v/>
      </c>
      <c r="AE302" s="74" t="str">
        <f t="shared" si="25"/>
        <v/>
      </c>
      <c r="AF302" s="74" t="str">
        <f t="shared" ca="1" si="26"/>
        <v/>
      </c>
      <c r="AG302" s="74" t="str">
        <f t="shared" si="27"/>
        <v/>
      </c>
    </row>
    <row r="303" spans="1:33" x14ac:dyDescent="0.2">
      <c r="A303" s="75"/>
      <c r="B303" s="75"/>
      <c r="C303" s="75"/>
      <c r="D303" s="75"/>
      <c r="E303" s="75"/>
      <c r="F303" s="75"/>
      <c r="G303" s="75"/>
      <c r="H303" s="75"/>
      <c r="I303" s="96"/>
      <c r="J303" s="96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X303" s="166"/>
      <c r="AB303" s="73"/>
      <c r="AD303" s="74" t="str">
        <f t="shared" si="24"/>
        <v/>
      </c>
      <c r="AE303" s="74" t="str">
        <f t="shared" si="25"/>
        <v/>
      </c>
      <c r="AF303" s="74" t="str">
        <f t="shared" ca="1" si="26"/>
        <v/>
      </c>
      <c r="AG303" s="74" t="str">
        <f t="shared" si="27"/>
        <v/>
      </c>
    </row>
    <row r="304" spans="1:33" x14ac:dyDescent="0.2">
      <c r="A304" s="75"/>
      <c r="B304" s="75"/>
      <c r="C304" s="75"/>
      <c r="D304" s="75"/>
      <c r="E304" s="75"/>
      <c r="F304" s="75"/>
      <c r="G304" s="75"/>
      <c r="H304" s="75"/>
      <c r="I304" s="96"/>
      <c r="J304" s="96"/>
      <c r="K304" s="75"/>
      <c r="L304" s="75"/>
      <c r="M304" s="75"/>
      <c r="N304" s="75"/>
      <c r="O304" s="75"/>
      <c r="P304" s="75"/>
      <c r="Q304" s="96"/>
      <c r="R304" s="75"/>
      <c r="S304" s="75"/>
      <c r="T304" s="75"/>
      <c r="U304" s="75"/>
      <c r="V304" s="75"/>
      <c r="X304" s="166"/>
      <c r="AB304" s="73"/>
      <c r="AD304" s="74" t="str">
        <f t="shared" si="24"/>
        <v/>
      </c>
      <c r="AE304" s="74" t="str">
        <f t="shared" si="25"/>
        <v/>
      </c>
      <c r="AF304" s="74" t="str">
        <f t="shared" ca="1" si="26"/>
        <v/>
      </c>
      <c r="AG304" s="74" t="str">
        <f t="shared" si="27"/>
        <v/>
      </c>
    </row>
    <row r="305" spans="1:33" x14ac:dyDescent="0.2">
      <c r="A305" s="75"/>
      <c r="B305" s="75"/>
      <c r="C305" s="75"/>
      <c r="D305" s="75"/>
      <c r="E305" s="75"/>
      <c r="F305" s="75"/>
      <c r="G305" s="75"/>
      <c r="H305" s="75"/>
      <c r="I305" s="96"/>
      <c r="J305" s="96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X305" s="166"/>
      <c r="AB305" s="73"/>
      <c r="AD305" s="74" t="str">
        <f t="shared" si="24"/>
        <v/>
      </c>
      <c r="AE305" s="74" t="str">
        <f t="shared" si="25"/>
        <v/>
      </c>
      <c r="AF305" s="74" t="str">
        <f t="shared" ca="1" si="26"/>
        <v/>
      </c>
      <c r="AG305" s="74" t="str">
        <f t="shared" si="27"/>
        <v/>
      </c>
    </row>
    <row r="306" spans="1:33" x14ac:dyDescent="0.2">
      <c r="A306" s="75"/>
      <c r="B306" s="75"/>
      <c r="C306" s="75"/>
      <c r="D306" s="75"/>
      <c r="E306" s="75"/>
      <c r="F306" s="75"/>
      <c r="G306" s="75"/>
      <c r="H306" s="75"/>
      <c r="I306" s="96"/>
      <c r="J306" s="96"/>
      <c r="K306" s="75"/>
      <c r="L306" s="75"/>
      <c r="M306" s="75"/>
      <c r="N306" s="75"/>
      <c r="O306" s="75"/>
      <c r="P306" s="75"/>
      <c r="Q306" s="96"/>
      <c r="R306" s="75"/>
      <c r="S306" s="75"/>
      <c r="T306" s="75"/>
      <c r="U306" s="75"/>
      <c r="V306" s="75"/>
      <c r="X306" s="166"/>
      <c r="AB306" s="73"/>
      <c r="AD306" s="74" t="str">
        <f t="shared" si="24"/>
        <v/>
      </c>
      <c r="AE306" s="74" t="str">
        <f t="shared" si="25"/>
        <v/>
      </c>
      <c r="AF306" s="74" t="str">
        <f t="shared" ca="1" si="26"/>
        <v/>
      </c>
      <c r="AG306" s="74" t="str">
        <f t="shared" si="27"/>
        <v/>
      </c>
    </row>
    <row r="307" spans="1:33" x14ac:dyDescent="0.2">
      <c r="A307" s="75"/>
      <c r="B307" s="75"/>
      <c r="C307" s="75"/>
      <c r="D307" s="75"/>
      <c r="E307" s="75"/>
      <c r="F307" s="75"/>
      <c r="G307" s="75"/>
      <c r="H307" s="75"/>
      <c r="I307" s="96"/>
      <c r="J307" s="96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X307" s="166"/>
      <c r="AB307" s="73"/>
      <c r="AD307" s="74" t="str">
        <f t="shared" si="24"/>
        <v/>
      </c>
      <c r="AE307" s="74" t="str">
        <f t="shared" si="25"/>
        <v/>
      </c>
      <c r="AF307" s="74" t="str">
        <f t="shared" ca="1" si="26"/>
        <v/>
      </c>
      <c r="AG307" s="74" t="str">
        <f t="shared" si="27"/>
        <v/>
      </c>
    </row>
    <row r="308" spans="1:33" x14ac:dyDescent="0.2">
      <c r="A308" s="75"/>
      <c r="B308" s="75"/>
      <c r="C308" s="75"/>
      <c r="D308" s="75"/>
      <c r="E308" s="75"/>
      <c r="F308" s="75"/>
      <c r="G308" s="75"/>
      <c r="H308" s="75"/>
      <c r="I308" s="96"/>
      <c r="J308" s="96"/>
      <c r="K308" s="75"/>
      <c r="L308" s="75"/>
      <c r="M308" s="75"/>
      <c r="N308" s="75"/>
      <c r="O308" s="75"/>
      <c r="P308" s="75"/>
      <c r="Q308" s="96"/>
      <c r="R308" s="75"/>
      <c r="S308" s="75"/>
      <c r="T308" s="75"/>
      <c r="U308" s="75"/>
      <c r="V308" s="75"/>
      <c r="X308" s="166"/>
      <c r="AB308" s="73"/>
      <c r="AD308" s="74" t="str">
        <f t="shared" si="24"/>
        <v/>
      </c>
      <c r="AE308" s="74" t="str">
        <f t="shared" si="25"/>
        <v/>
      </c>
      <c r="AF308" s="74" t="str">
        <f t="shared" ca="1" si="26"/>
        <v/>
      </c>
      <c r="AG308" s="74" t="str">
        <f t="shared" si="27"/>
        <v/>
      </c>
    </row>
    <row r="309" spans="1:33" x14ac:dyDescent="0.2">
      <c r="A309" s="75"/>
      <c r="B309" s="75"/>
      <c r="C309" s="75"/>
      <c r="D309" s="75"/>
      <c r="E309" s="75"/>
      <c r="F309" s="75"/>
      <c r="G309" s="75"/>
      <c r="H309" s="75"/>
      <c r="I309" s="96"/>
      <c r="J309" s="96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X309" s="166"/>
      <c r="AB309" s="73"/>
      <c r="AD309" s="74" t="str">
        <f t="shared" si="24"/>
        <v/>
      </c>
      <c r="AE309" s="74" t="str">
        <f t="shared" si="25"/>
        <v/>
      </c>
      <c r="AF309" s="74" t="str">
        <f t="shared" ca="1" si="26"/>
        <v/>
      </c>
      <c r="AG309" s="74" t="str">
        <f t="shared" si="27"/>
        <v/>
      </c>
    </row>
    <row r="310" spans="1:33" x14ac:dyDescent="0.2">
      <c r="A310" s="75"/>
      <c r="B310" s="75"/>
      <c r="C310" s="75"/>
      <c r="D310" s="75"/>
      <c r="E310" s="75"/>
      <c r="F310" s="75"/>
      <c r="G310" s="75"/>
      <c r="H310" s="75"/>
      <c r="I310" s="96"/>
      <c r="J310" s="96"/>
      <c r="K310" s="75"/>
      <c r="L310" s="75"/>
      <c r="M310" s="75"/>
      <c r="N310" s="75"/>
      <c r="O310" s="75"/>
      <c r="P310" s="75"/>
      <c r="Q310" s="96"/>
      <c r="R310" s="75"/>
      <c r="S310" s="75"/>
      <c r="T310" s="75"/>
      <c r="U310" s="75"/>
      <c r="V310" s="75"/>
      <c r="X310" s="166"/>
      <c r="AB310" s="73"/>
      <c r="AD310" s="74" t="str">
        <f t="shared" si="24"/>
        <v/>
      </c>
      <c r="AE310" s="74" t="str">
        <f t="shared" si="25"/>
        <v/>
      </c>
      <c r="AF310" s="74" t="str">
        <f t="shared" ca="1" si="26"/>
        <v/>
      </c>
      <c r="AG310" s="74" t="str">
        <f t="shared" si="27"/>
        <v/>
      </c>
    </row>
    <row r="311" spans="1:33" x14ac:dyDescent="0.2">
      <c r="A311" s="75"/>
      <c r="B311" s="75"/>
      <c r="C311" s="75"/>
      <c r="D311" s="75"/>
      <c r="E311" s="75"/>
      <c r="F311" s="75"/>
      <c r="G311" s="75"/>
      <c r="H311" s="75"/>
      <c r="I311" s="96"/>
      <c r="J311" s="96"/>
      <c r="K311" s="75"/>
      <c r="L311" s="75"/>
      <c r="M311" s="75"/>
      <c r="N311" s="75"/>
      <c r="O311" s="75"/>
      <c r="P311" s="75"/>
      <c r="Q311" s="96"/>
      <c r="R311" s="75"/>
      <c r="S311" s="75"/>
      <c r="T311" s="75"/>
      <c r="U311" s="75"/>
      <c r="V311" s="75"/>
      <c r="X311" s="166"/>
      <c r="AB311" s="73"/>
      <c r="AD311" s="74" t="str">
        <f t="shared" si="24"/>
        <v/>
      </c>
      <c r="AE311" s="74" t="str">
        <f t="shared" si="25"/>
        <v/>
      </c>
      <c r="AF311" s="74" t="str">
        <f t="shared" ca="1" si="26"/>
        <v/>
      </c>
      <c r="AG311" s="74" t="str">
        <f t="shared" si="27"/>
        <v/>
      </c>
    </row>
    <row r="312" spans="1:33" x14ac:dyDescent="0.2">
      <c r="A312" s="75"/>
      <c r="B312" s="75"/>
      <c r="C312" s="75"/>
      <c r="D312" s="75"/>
      <c r="E312" s="75"/>
      <c r="F312" s="75"/>
      <c r="G312" s="75"/>
      <c r="H312" s="75"/>
      <c r="I312" s="96"/>
      <c r="J312" s="96"/>
      <c r="K312" s="75"/>
      <c r="L312" s="75"/>
      <c r="M312" s="75"/>
      <c r="N312" s="75"/>
      <c r="O312" s="75"/>
      <c r="P312" s="75"/>
      <c r="Q312" s="96"/>
      <c r="R312" s="75"/>
      <c r="S312" s="75"/>
      <c r="T312" s="75"/>
      <c r="U312" s="75"/>
      <c r="V312" s="75"/>
      <c r="X312" s="166"/>
      <c r="AB312" s="73"/>
      <c r="AD312" s="74" t="str">
        <f t="shared" si="24"/>
        <v/>
      </c>
      <c r="AE312" s="74" t="str">
        <f t="shared" si="25"/>
        <v/>
      </c>
      <c r="AF312" s="74" t="str">
        <f t="shared" ca="1" si="26"/>
        <v/>
      </c>
      <c r="AG312" s="74" t="str">
        <f t="shared" si="27"/>
        <v/>
      </c>
    </row>
    <row r="313" spans="1:33" x14ac:dyDescent="0.2">
      <c r="A313" s="75"/>
      <c r="B313" s="75"/>
      <c r="C313" s="75"/>
      <c r="D313" s="75"/>
      <c r="E313" s="75"/>
      <c r="F313" s="75"/>
      <c r="G313" s="75"/>
      <c r="H313" s="75"/>
      <c r="I313" s="96"/>
      <c r="J313" s="96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X313" s="166"/>
      <c r="AB313" s="73"/>
      <c r="AD313" s="74" t="str">
        <f t="shared" si="24"/>
        <v/>
      </c>
      <c r="AE313" s="74" t="str">
        <f t="shared" si="25"/>
        <v/>
      </c>
      <c r="AF313" s="74" t="str">
        <f t="shared" ca="1" si="26"/>
        <v/>
      </c>
      <c r="AG313" s="74" t="str">
        <f t="shared" si="27"/>
        <v/>
      </c>
    </row>
    <row r="314" spans="1:33" x14ac:dyDescent="0.2">
      <c r="A314" s="75"/>
      <c r="B314" s="75"/>
      <c r="C314" s="75"/>
      <c r="D314" s="75"/>
      <c r="E314" s="75"/>
      <c r="F314" s="75"/>
      <c r="G314" s="75"/>
      <c r="H314" s="75"/>
      <c r="I314" s="96"/>
      <c r="J314" s="96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X314" s="166"/>
      <c r="AB314" s="73"/>
      <c r="AD314" s="74" t="str">
        <f t="shared" si="24"/>
        <v/>
      </c>
      <c r="AE314" s="74" t="str">
        <f t="shared" si="25"/>
        <v/>
      </c>
      <c r="AF314" s="74" t="str">
        <f t="shared" ca="1" si="26"/>
        <v/>
      </c>
      <c r="AG314" s="74" t="str">
        <f t="shared" si="27"/>
        <v/>
      </c>
    </row>
    <row r="315" spans="1:33" x14ac:dyDescent="0.2">
      <c r="A315" s="75"/>
      <c r="B315" s="75"/>
      <c r="C315" s="75"/>
      <c r="D315" s="75"/>
      <c r="E315" s="75"/>
      <c r="F315" s="75"/>
      <c r="G315" s="75"/>
      <c r="H315" s="75"/>
      <c r="I315" s="96"/>
      <c r="J315" s="96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X315" s="166"/>
      <c r="AB315" s="73"/>
      <c r="AD315" s="74" t="str">
        <f t="shared" si="24"/>
        <v/>
      </c>
      <c r="AE315" s="74" t="str">
        <f t="shared" si="25"/>
        <v/>
      </c>
      <c r="AF315" s="74" t="str">
        <f t="shared" ca="1" si="26"/>
        <v/>
      </c>
      <c r="AG315" s="74" t="str">
        <f t="shared" si="27"/>
        <v/>
      </c>
    </row>
    <row r="316" spans="1:33" x14ac:dyDescent="0.2">
      <c r="A316" s="75"/>
      <c r="B316" s="75"/>
      <c r="C316" s="75"/>
      <c r="D316" s="75"/>
      <c r="E316" s="75"/>
      <c r="F316" s="75"/>
      <c r="G316" s="75"/>
      <c r="H316" s="75"/>
      <c r="I316" s="96"/>
      <c r="J316" s="96"/>
      <c r="K316" s="75"/>
      <c r="L316" s="75"/>
      <c r="M316" s="75"/>
      <c r="N316" s="75"/>
      <c r="O316" s="75"/>
      <c r="P316" s="75"/>
      <c r="Q316" s="96"/>
      <c r="R316" s="75"/>
      <c r="S316" s="75"/>
      <c r="T316" s="75"/>
      <c r="U316" s="75"/>
      <c r="V316" s="75"/>
      <c r="X316" s="166"/>
      <c r="AB316" s="73"/>
      <c r="AD316" s="74" t="str">
        <f t="shared" si="24"/>
        <v/>
      </c>
      <c r="AE316" s="74" t="str">
        <f t="shared" si="25"/>
        <v/>
      </c>
      <c r="AF316" s="74" t="str">
        <f t="shared" ca="1" si="26"/>
        <v/>
      </c>
      <c r="AG316" s="74" t="str">
        <f t="shared" si="27"/>
        <v/>
      </c>
    </row>
    <row r="317" spans="1:33" x14ac:dyDescent="0.2">
      <c r="A317" s="75"/>
      <c r="B317" s="75"/>
      <c r="C317" s="75"/>
      <c r="D317" s="75"/>
      <c r="E317" s="75"/>
      <c r="F317" s="75"/>
      <c r="G317" s="75"/>
      <c r="H317" s="75"/>
      <c r="I317" s="96"/>
      <c r="J317" s="96"/>
      <c r="K317" s="75"/>
      <c r="L317" s="75"/>
      <c r="M317" s="75"/>
      <c r="N317" s="75"/>
      <c r="O317" s="75"/>
      <c r="P317" s="75"/>
      <c r="Q317" s="96"/>
      <c r="R317" s="75"/>
      <c r="S317" s="75"/>
      <c r="T317" s="75"/>
      <c r="U317" s="75"/>
      <c r="V317" s="75"/>
      <c r="X317" s="166"/>
      <c r="AB317" s="73"/>
      <c r="AD317" s="74" t="str">
        <f t="shared" si="24"/>
        <v/>
      </c>
      <c r="AE317" s="74" t="str">
        <f t="shared" si="25"/>
        <v/>
      </c>
      <c r="AF317" s="74" t="str">
        <f t="shared" ca="1" si="26"/>
        <v/>
      </c>
      <c r="AG317" s="74" t="str">
        <f t="shared" si="27"/>
        <v/>
      </c>
    </row>
    <row r="318" spans="1:33" x14ac:dyDescent="0.2">
      <c r="A318" s="75"/>
      <c r="B318" s="75"/>
      <c r="C318" s="75"/>
      <c r="D318" s="75"/>
      <c r="E318" s="75"/>
      <c r="F318" s="75"/>
      <c r="G318" s="75"/>
      <c r="H318" s="75"/>
      <c r="I318" s="96"/>
      <c r="J318" s="96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X318" s="166"/>
      <c r="AB318" s="73"/>
      <c r="AD318" s="74" t="str">
        <f t="shared" si="24"/>
        <v/>
      </c>
      <c r="AE318" s="74" t="str">
        <f t="shared" si="25"/>
        <v/>
      </c>
      <c r="AF318" s="74" t="str">
        <f t="shared" ca="1" si="26"/>
        <v/>
      </c>
      <c r="AG318" s="74" t="str">
        <f t="shared" si="27"/>
        <v/>
      </c>
    </row>
    <row r="319" spans="1:33" x14ac:dyDescent="0.2">
      <c r="A319" s="75"/>
      <c r="B319" s="75"/>
      <c r="C319" s="75"/>
      <c r="D319" s="75"/>
      <c r="E319" s="75"/>
      <c r="F319" s="75"/>
      <c r="G319" s="75"/>
      <c r="H319" s="75"/>
      <c r="I319" s="96"/>
      <c r="J319" s="96"/>
      <c r="K319" s="75"/>
      <c r="L319" s="75"/>
      <c r="M319" s="75"/>
      <c r="N319" s="75"/>
      <c r="O319" s="75"/>
      <c r="P319" s="75"/>
      <c r="Q319" s="96"/>
      <c r="R319" s="75"/>
      <c r="S319" s="75"/>
      <c r="T319" s="75"/>
      <c r="U319" s="75"/>
      <c r="V319" s="75"/>
      <c r="X319" s="166"/>
      <c r="AB319" s="73"/>
      <c r="AD319" s="74" t="str">
        <f t="shared" si="24"/>
        <v/>
      </c>
      <c r="AE319" s="74" t="str">
        <f t="shared" si="25"/>
        <v/>
      </c>
      <c r="AF319" s="74" t="str">
        <f t="shared" ca="1" si="26"/>
        <v/>
      </c>
      <c r="AG319" s="74" t="str">
        <f t="shared" si="27"/>
        <v/>
      </c>
    </row>
    <row r="320" spans="1:33" x14ac:dyDescent="0.2">
      <c r="A320" s="75"/>
      <c r="B320" s="75"/>
      <c r="C320" s="75"/>
      <c r="D320" s="75"/>
      <c r="E320" s="75"/>
      <c r="F320" s="75"/>
      <c r="G320" s="75"/>
      <c r="H320" s="75"/>
      <c r="I320" s="96"/>
      <c r="J320" s="96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X320" s="166"/>
      <c r="AB320" s="73"/>
      <c r="AD320" s="74" t="str">
        <f t="shared" si="24"/>
        <v/>
      </c>
      <c r="AE320" s="74" t="str">
        <f t="shared" si="25"/>
        <v/>
      </c>
      <c r="AF320" s="74" t="str">
        <f t="shared" ca="1" si="26"/>
        <v/>
      </c>
      <c r="AG320" s="74" t="str">
        <f t="shared" si="27"/>
        <v/>
      </c>
    </row>
    <row r="321" spans="1:33" x14ac:dyDescent="0.2">
      <c r="A321" s="75"/>
      <c r="B321" s="75"/>
      <c r="C321" s="75"/>
      <c r="D321" s="75"/>
      <c r="E321" s="75"/>
      <c r="F321" s="75"/>
      <c r="G321" s="75"/>
      <c r="H321" s="75"/>
      <c r="I321" s="96"/>
      <c r="J321" s="96"/>
      <c r="K321" s="75"/>
      <c r="L321" s="75"/>
      <c r="M321" s="75"/>
      <c r="N321" s="75"/>
      <c r="O321" s="75"/>
      <c r="P321" s="75"/>
      <c r="Q321" s="96"/>
      <c r="R321" s="75"/>
      <c r="S321" s="75"/>
      <c r="T321" s="75"/>
      <c r="U321" s="75"/>
      <c r="V321" s="75"/>
      <c r="X321" s="166"/>
      <c r="AB321" s="73"/>
      <c r="AD321" s="74" t="str">
        <f t="shared" si="24"/>
        <v/>
      </c>
      <c r="AE321" s="74" t="str">
        <f t="shared" si="25"/>
        <v/>
      </c>
      <c r="AF321" s="74" t="str">
        <f t="shared" ca="1" si="26"/>
        <v/>
      </c>
      <c r="AG321" s="74" t="str">
        <f t="shared" si="27"/>
        <v/>
      </c>
    </row>
    <row r="322" spans="1:33" x14ac:dyDescent="0.2">
      <c r="A322" s="75"/>
      <c r="B322" s="75"/>
      <c r="C322" s="75"/>
      <c r="D322" s="75"/>
      <c r="E322" s="75"/>
      <c r="F322" s="75"/>
      <c r="G322" s="75"/>
      <c r="H322" s="75"/>
      <c r="I322" s="96"/>
      <c r="J322" s="96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X322" s="166"/>
      <c r="AB322" s="73"/>
      <c r="AD322" s="74" t="str">
        <f t="shared" si="24"/>
        <v/>
      </c>
      <c r="AE322" s="74" t="str">
        <f t="shared" si="25"/>
        <v/>
      </c>
      <c r="AF322" s="74" t="str">
        <f t="shared" ca="1" si="26"/>
        <v/>
      </c>
      <c r="AG322" s="74" t="str">
        <f t="shared" si="27"/>
        <v/>
      </c>
    </row>
    <row r="323" spans="1:33" x14ac:dyDescent="0.2">
      <c r="A323" s="75"/>
      <c r="B323" s="75"/>
      <c r="C323" s="75"/>
      <c r="D323" s="75"/>
      <c r="E323" s="75"/>
      <c r="F323" s="75"/>
      <c r="G323" s="75"/>
      <c r="H323" s="75"/>
      <c r="I323" s="96"/>
      <c r="J323" s="96"/>
      <c r="K323" s="75"/>
      <c r="L323" s="75"/>
      <c r="M323" s="75"/>
      <c r="N323" s="75"/>
      <c r="O323" s="75"/>
      <c r="P323" s="75"/>
      <c r="Q323" s="96"/>
      <c r="R323" s="75"/>
      <c r="S323" s="75"/>
      <c r="T323" s="75"/>
      <c r="U323" s="75"/>
      <c r="V323" s="75"/>
      <c r="X323" s="166"/>
      <c r="AB323" s="73"/>
      <c r="AD323" s="74" t="str">
        <f t="shared" si="24"/>
        <v/>
      </c>
      <c r="AE323" s="74" t="str">
        <f t="shared" si="25"/>
        <v/>
      </c>
      <c r="AF323" s="74" t="str">
        <f t="shared" ca="1" si="26"/>
        <v/>
      </c>
      <c r="AG323" s="74" t="str">
        <f t="shared" si="27"/>
        <v/>
      </c>
    </row>
    <row r="324" spans="1:33" x14ac:dyDescent="0.2">
      <c r="A324" s="75"/>
      <c r="B324" s="75"/>
      <c r="C324" s="75"/>
      <c r="D324" s="75"/>
      <c r="E324" s="75"/>
      <c r="F324" s="75"/>
      <c r="G324" s="75"/>
      <c r="H324" s="75"/>
      <c r="I324" s="96"/>
      <c r="J324" s="96"/>
      <c r="K324" s="75"/>
      <c r="L324" s="75"/>
      <c r="M324" s="75"/>
      <c r="N324" s="75"/>
      <c r="O324" s="75"/>
      <c r="P324" s="75"/>
      <c r="Q324" s="96"/>
      <c r="R324" s="75"/>
      <c r="S324" s="75"/>
      <c r="T324" s="75"/>
      <c r="U324" s="75"/>
      <c r="V324" s="75"/>
      <c r="X324" s="166"/>
      <c r="AB324" s="73"/>
      <c r="AD324" s="74" t="str">
        <f t="shared" si="24"/>
        <v/>
      </c>
      <c r="AE324" s="74" t="str">
        <f t="shared" si="25"/>
        <v/>
      </c>
      <c r="AF324" s="74" t="str">
        <f t="shared" ca="1" si="26"/>
        <v/>
      </c>
      <c r="AG324" s="74" t="str">
        <f t="shared" si="27"/>
        <v/>
      </c>
    </row>
    <row r="325" spans="1:33" x14ac:dyDescent="0.2">
      <c r="A325" s="75"/>
      <c r="B325" s="75"/>
      <c r="C325" s="75"/>
      <c r="D325" s="75"/>
      <c r="E325" s="75"/>
      <c r="F325" s="75"/>
      <c r="G325" s="75"/>
      <c r="H325" s="75"/>
      <c r="I325" s="96"/>
      <c r="J325" s="96"/>
      <c r="K325" s="75"/>
      <c r="L325" s="75"/>
      <c r="M325" s="75"/>
      <c r="N325" s="75"/>
      <c r="O325" s="75"/>
      <c r="P325" s="75"/>
      <c r="Q325" s="96"/>
      <c r="R325" s="75"/>
      <c r="S325" s="75"/>
      <c r="T325" s="75"/>
      <c r="U325" s="75"/>
      <c r="V325" s="75"/>
      <c r="X325" s="166"/>
      <c r="AB325" s="73"/>
      <c r="AD325" s="74" t="str">
        <f t="shared" si="24"/>
        <v/>
      </c>
      <c r="AE325" s="74" t="str">
        <f t="shared" si="25"/>
        <v/>
      </c>
      <c r="AF325" s="74" t="str">
        <f t="shared" ca="1" si="26"/>
        <v/>
      </c>
      <c r="AG325" s="74" t="str">
        <f t="shared" si="27"/>
        <v/>
      </c>
    </row>
    <row r="326" spans="1:33" x14ac:dyDescent="0.2">
      <c r="A326" s="75"/>
      <c r="B326" s="75"/>
      <c r="C326" s="75"/>
      <c r="D326" s="75"/>
      <c r="E326" s="75"/>
      <c r="F326" s="75"/>
      <c r="G326" s="75"/>
      <c r="H326" s="75"/>
      <c r="I326" s="96"/>
      <c r="J326" s="96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X326" s="166"/>
      <c r="AB326" s="73"/>
      <c r="AD326" s="74" t="str">
        <f t="shared" si="24"/>
        <v/>
      </c>
      <c r="AE326" s="74" t="str">
        <f t="shared" si="25"/>
        <v/>
      </c>
      <c r="AF326" s="74" t="str">
        <f t="shared" ca="1" si="26"/>
        <v/>
      </c>
      <c r="AG326" s="74" t="str">
        <f t="shared" si="27"/>
        <v/>
      </c>
    </row>
    <row r="327" spans="1:33" x14ac:dyDescent="0.2">
      <c r="A327" s="75"/>
      <c r="B327" s="75"/>
      <c r="C327" s="75"/>
      <c r="D327" s="75"/>
      <c r="E327" s="75"/>
      <c r="F327" s="75"/>
      <c r="G327" s="75"/>
      <c r="H327" s="75"/>
      <c r="I327" s="96"/>
      <c r="J327" s="96"/>
      <c r="K327" s="75"/>
      <c r="L327" s="75"/>
      <c r="M327" s="75"/>
      <c r="N327" s="75"/>
      <c r="O327" s="75"/>
      <c r="P327" s="75"/>
      <c r="Q327" s="96"/>
      <c r="R327" s="75"/>
      <c r="S327" s="75"/>
      <c r="T327" s="75"/>
      <c r="U327" s="75"/>
      <c r="V327" s="75"/>
      <c r="X327" s="166"/>
      <c r="AB327" s="73"/>
      <c r="AD327" s="74" t="str">
        <f t="shared" si="24"/>
        <v/>
      </c>
      <c r="AE327" s="74" t="str">
        <f t="shared" si="25"/>
        <v/>
      </c>
      <c r="AF327" s="74" t="str">
        <f t="shared" ca="1" si="26"/>
        <v/>
      </c>
      <c r="AG327" s="74" t="str">
        <f t="shared" si="27"/>
        <v/>
      </c>
    </row>
    <row r="328" spans="1:33" x14ac:dyDescent="0.2">
      <c r="A328" s="75"/>
      <c r="B328" s="75"/>
      <c r="C328" s="75"/>
      <c r="D328" s="75"/>
      <c r="E328" s="75"/>
      <c r="F328" s="75"/>
      <c r="G328" s="75"/>
      <c r="H328" s="75"/>
      <c r="I328" s="96"/>
      <c r="J328" s="96"/>
      <c r="K328" s="75"/>
      <c r="L328" s="75"/>
      <c r="M328" s="75"/>
      <c r="N328" s="75"/>
      <c r="O328" s="75"/>
      <c r="P328" s="75"/>
      <c r="Q328" s="96"/>
      <c r="R328" s="75"/>
      <c r="S328" s="75"/>
      <c r="T328" s="75"/>
      <c r="U328" s="75"/>
      <c r="V328" s="75"/>
      <c r="X328" s="166"/>
      <c r="AB328" s="73"/>
      <c r="AD328" s="74" t="str">
        <f t="shared" si="24"/>
        <v/>
      </c>
      <c r="AE328" s="74" t="str">
        <f t="shared" si="25"/>
        <v/>
      </c>
      <c r="AF328" s="74" t="str">
        <f t="shared" ca="1" si="26"/>
        <v/>
      </c>
      <c r="AG328" s="74" t="str">
        <f t="shared" si="27"/>
        <v/>
      </c>
    </row>
    <row r="329" spans="1:33" x14ac:dyDescent="0.2">
      <c r="A329" s="75"/>
      <c r="B329" s="75"/>
      <c r="C329" s="75"/>
      <c r="D329" s="75"/>
      <c r="E329" s="75"/>
      <c r="F329" s="75"/>
      <c r="G329" s="75"/>
      <c r="H329" s="75"/>
      <c r="I329" s="96"/>
      <c r="J329" s="96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X329" s="166"/>
      <c r="AB329" s="73"/>
      <c r="AD329" s="74" t="str">
        <f t="shared" si="24"/>
        <v/>
      </c>
      <c r="AE329" s="74" t="str">
        <f t="shared" si="25"/>
        <v/>
      </c>
      <c r="AF329" s="74" t="str">
        <f t="shared" ca="1" si="26"/>
        <v/>
      </c>
      <c r="AG329" s="74" t="str">
        <f t="shared" si="27"/>
        <v/>
      </c>
    </row>
    <row r="330" spans="1:33" x14ac:dyDescent="0.2">
      <c r="A330" s="75"/>
      <c r="B330" s="75"/>
      <c r="C330" s="75"/>
      <c r="D330" s="75"/>
      <c r="E330" s="75"/>
      <c r="F330" s="75"/>
      <c r="G330" s="75"/>
      <c r="H330" s="75"/>
      <c r="I330" s="96"/>
      <c r="J330" s="96"/>
      <c r="K330" s="75"/>
      <c r="L330" s="75"/>
      <c r="M330" s="75"/>
      <c r="N330" s="75"/>
      <c r="O330" s="75"/>
      <c r="P330" s="75"/>
      <c r="Q330" s="96"/>
      <c r="R330" s="75"/>
      <c r="S330" s="75"/>
      <c r="T330" s="75"/>
      <c r="U330" s="75"/>
      <c r="V330" s="75"/>
      <c r="X330" s="166"/>
      <c r="AB330" s="73"/>
      <c r="AD330" s="74" t="str">
        <f t="shared" si="24"/>
        <v/>
      </c>
      <c r="AE330" s="74" t="str">
        <f t="shared" si="25"/>
        <v/>
      </c>
      <c r="AF330" s="74" t="str">
        <f t="shared" ca="1" si="26"/>
        <v/>
      </c>
      <c r="AG330" s="74" t="str">
        <f t="shared" si="27"/>
        <v/>
      </c>
    </row>
    <row r="331" spans="1:33" x14ac:dyDescent="0.2">
      <c r="A331" s="75"/>
      <c r="B331" s="75"/>
      <c r="C331" s="75"/>
      <c r="D331" s="75"/>
      <c r="E331" s="75"/>
      <c r="F331" s="75"/>
      <c r="G331" s="75"/>
      <c r="H331" s="75"/>
      <c r="I331" s="96"/>
      <c r="J331" s="96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X331" s="166"/>
      <c r="AB331" s="73"/>
      <c r="AD331" s="74" t="str">
        <f t="shared" si="24"/>
        <v/>
      </c>
      <c r="AE331" s="74" t="str">
        <f t="shared" si="25"/>
        <v/>
      </c>
      <c r="AF331" s="74" t="str">
        <f t="shared" ca="1" si="26"/>
        <v/>
      </c>
      <c r="AG331" s="74" t="str">
        <f t="shared" si="27"/>
        <v/>
      </c>
    </row>
    <row r="332" spans="1:33" x14ac:dyDescent="0.2">
      <c r="A332" s="75"/>
      <c r="B332" s="75"/>
      <c r="C332" s="75"/>
      <c r="D332" s="75"/>
      <c r="E332" s="75"/>
      <c r="F332" s="75"/>
      <c r="G332" s="75"/>
      <c r="H332" s="75"/>
      <c r="I332" s="96"/>
      <c r="J332" s="96"/>
      <c r="K332" s="75"/>
      <c r="L332" s="75"/>
      <c r="M332" s="75"/>
      <c r="N332" s="75"/>
      <c r="O332" s="75"/>
      <c r="P332" s="75"/>
      <c r="Q332" s="96"/>
      <c r="R332" s="75"/>
      <c r="S332" s="75"/>
      <c r="T332" s="75"/>
      <c r="U332" s="75"/>
      <c r="V332" s="75"/>
      <c r="X332" s="166"/>
      <c r="AB332" s="73"/>
      <c r="AD332" s="74" t="str">
        <f t="shared" si="24"/>
        <v/>
      </c>
      <c r="AE332" s="74" t="str">
        <f t="shared" si="25"/>
        <v/>
      </c>
      <c r="AF332" s="74" t="str">
        <f t="shared" ca="1" si="26"/>
        <v/>
      </c>
      <c r="AG332" s="74" t="str">
        <f t="shared" si="27"/>
        <v/>
      </c>
    </row>
    <row r="333" spans="1:33" x14ac:dyDescent="0.2">
      <c r="A333" s="75"/>
      <c r="B333" s="75"/>
      <c r="C333" s="75"/>
      <c r="D333" s="75"/>
      <c r="E333" s="75"/>
      <c r="F333" s="75"/>
      <c r="G333" s="75"/>
      <c r="H333" s="75"/>
      <c r="I333" s="96"/>
      <c r="J333" s="96"/>
      <c r="K333" s="75"/>
      <c r="L333" s="75"/>
      <c r="M333" s="75"/>
      <c r="N333" s="75"/>
      <c r="O333" s="75"/>
      <c r="P333" s="75"/>
      <c r="Q333" s="96"/>
      <c r="R333" s="75"/>
      <c r="S333" s="75"/>
      <c r="T333" s="75"/>
      <c r="U333" s="75"/>
      <c r="V333" s="75"/>
      <c r="X333" s="166"/>
      <c r="AB333" s="73"/>
      <c r="AD333" s="74" t="str">
        <f t="shared" si="24"/>
        <v/>
      </c>
      <c r="AE333" s="74" t="str">
        <f t="shared" si="25"/>
        <v/>
      </c>
      <c r="AF333" s="74" t="str">
        <f t="shared" ca="1" si="26"/>
        <v/>
      </c>
      <c r="AG333" s="74" t="str">
        <f t="shared" si="27"/>
        <v/>
      </c>
    </row>
    <row r="334" spans="1:33" x14ac:dyDescent="0.2">
      <c r="A334" s="75"/>
      <c r="B334" s="75"/>
      <c r="C334" s="75"/>
      <c r="D334" s="75"/>
      <c r="E334" s="75"/>
      <c r="F334" s="75"/>
      <c r="G334" s="75"/>
      <c r="H334" s="75"/>
      <c r="I334" s="96"/>
      <c r="J334" s="96"/>
      <c r="K334" s="75"/>
      <c r="L334" s="75"/>
      <c r="M334" s="75"/>
      <c r="N334" s="75"/>
      <c r="O334" s="75"/>
      <c r="P334" s="75"/>
      <c r="Q334" s="96"/>
      <c r="R334" s="75"/>
      <c r="S334" s="75"/>
      <c r="T334" s="75"/>
      <c r="U334" s="75"/>
      <c r="V334" s="75"/>
      <c r="X334" s="166"/>
      <c r="AB334" s="73"/>
      <c r="AD334" s="74" t="str">
        <f t="shared" si="24"/>
        <v/>
      </c>
      <c r="AE334" s="74" t="str">
        <f t="shared" si="25"/>
        <v/>
      </c>
      <c r="AF334" s="74" t="str">
        <f t="shared" ca="1" si="26"/>
        <v/>
      </c>
      <c r="AG334" s="74" t="str">
        <f t="shared" si="27"/>
        <v/>
      </c>
    </row>
    <row r="335" spans="1:33" x14ac:dyDescent="0.2">
      <c r="A335" s="75"/>
      <c r="B335" s="75"/>
      <c r="C335" s="75"/>
      <c r="D335" s="75"/>
      <c r="E335" s="75"/>
      <c r="F335" s="75"/>
      <c r="G335" s="75"/>
      <c r="H335" s="75"/>
      <c r="I335" s="96"/>
      <c r="J335" s="96"/>
      <c r="K335" s="75"/>
      <c r="L335" s="75"/>
      <c r="M335" s="75"/>
      <c r="N335" s="75"/>
      <c r="O335" s="75"/>
      <c r="P335" s="75"/>
      <c r="Q335" s="96"/>
      <c r="R335" s="75"/>
      <c r="S335" s="75"/>
      <c r="T335" s="75"/>
      <c r="U335" s="75"/>
      <c r="V335" s="75"/>
      <c r="X335" s="166"/>
      <c r="AB335" s="73"/>
      <c r="AD335" s="74" t="str">
        <f t="shared" si="24"/>
        <v/>
      </c>
      <c r="AE335" s="74" t="str">
        <f t="shared" si="25"/>
        <v/>
      </c>
      <c r="AF335" s="74" t="str">
        <f t="shared" ca="1" si="26"/>
        <v/>
      </c>
      <c r="AG335" s="74" t="str">
        <f t="shared" si="27"/>
        <v/>
      </c>
    </row>
    <row r="336" spans="1:33" x14ac:dyDescent="0.2">
      <c r="A336" s="75"/>
      <c r="B336" s="75"/>
      <c r="C336" s="75"/>
      <c r="D336" s="75"/>
      <c r="E336" s="75"/>
      <c r="F336" s="75"/>
      <c r="G336" s="75"/>
      <c r="H336" s="75"/>
      <c r="I336" s="96"/>
      <c r="J336" s="96"/>
      <c r="K336" s="75"/>
      <c r="L336" s="75"/>
      <c r="M336" s="75"/>
      <c r="N336" s="75"/>
      <c r="O336" s="75"/>
      <c r="P336" s="75"/>
      <c r="Q336" s="96"/>
      <c r="R336" s="75"/>
      <c r="S336" s="75"/>
      <c r="T336" s="75"/>
      <c r="U336" s="75"/>
      <c r="V336" s="75"/>
      <c r="X336" s="166"/>
      <c r="AB336" s="73"/>
      <c r="AD336" s="74" t="str">
        <f t="shared" si="24"/>
        <v/>
      </c>
      <c r="AE336" s="74" t="str">
        <f t="shared" si="25"/>
        <v/>
      </c>
      <c r="AF336" s="74" t="str">
        <f t="shared" ca="1" si="26"/>
        <v/>
      </c>
      <c r="AG336" s="74" t="str">
        <f t="shared" si="27"/>
        <v/>
      </c>
    </row>
    <row r="337" spans="1:33" x14ac:dyDescent="0.2">
      <c r="A337" s="75"/>
      <c r="B337" s="75"/>
      <c r="C337" s="75"/>
      <c r="D337" s="75"/>
      <c r="E337" s="75"/>
      <c r="F337" s="75"/>
      <c r="G337" s="75"/>
      <c r="H337" s="75"/>
      <c r="I337" s="96"/>
      <c r="J337" s="96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X337" s="166"/>
      <c r="AB337" s="73"/>
      <c r="AD337" s="74" t="str">
        <f t="shared" si="24"/>
        <v/>
      </c>
      <c r="AE337" s="74" t="str">
        <f t="shared" si="25"/>
        <v/>
      </c>
      <c r="AF337" s="74" t="str">
        <f t="shared" ca="1" si="26"/>
        <v/>
      </c>
      <c r="AG337" s="74" t="str">
        <f t="shared" si="27"/>
        <v/>
      </c>
    </row>
    <row r="338" spans="1:33" x14ac:dyDescent="0.2">
      <c r="A338" s="75"/>
      <c r="B338" s="75"/>
      <c r="C338" s="75"/>
      <c r="D338" s="75"/>
      <c r="E338" s="75"/>
      <c r="F338" s="75"/>
      <c r="G338" s="75"/>
      <c r="H338" s="75"/>
      <c r="I338" s="96"/>
      <c r="J338" s="96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X338" s="166"/>
      <c r="AB338" s="73"/>
      <c r="AD338" s="74" t="str">
        <f t="shared" si="24"/>
        <v/>
      </c>
      <c r="AE338" s="74" t="str">
        <f t="shared" si="25"/>
        <v/>
      </c>
      <c r="AF338" s="74" t="str">
        <f t="shared" ca="1" si="26"/>
        <v/>
      </c>
      <c r="AG338" s="74" t="str">
        <f t="shared" si="27"/>
        <v/>
      </c>
    </row>
    <row r="339" spans="1:33" x14ac:dyDescent="0.2">
      <c r="A339" s="75"/>
      <c r="B339" s="75"/>
      <c r="C339" s="75"/>
      <c r="D339" s="75"/>
      <c r="E339" s="75"/>
      <c r="F339" s="75"/>
      <c r="G339" s="75"/>
      <c r="H339" s="75"/>
      <c r="I339" s="96"/>
      <c r="J339" s="96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X339" s="166"/>
      <c r="AB339" s="73"/>
      <c r="AD339" s="74" t="str">
        <f t="shared" si="24"/>
        <v/>
      </c>
      <c r="AE339" s="74" t="str">
        <f t="shared" si="25"/>
        <v/>
      </c>
      <c r="AF339" s="74" t="str">
        <f t="shared" ca="1" si="26"/>
        <v/>
      </c>
      <c r="AG339" s="74" t="str">
        <f t="shared" si="27"/>
        <v/>
      </c>
    </row>
    <row r="340" spans="1:33" x14ac:dyDescent="0.2">
      <c r="A340" s="75"/>
      <c r="B340" s="75"/>
      <c r="C340" s="75"/>
      <c r="D340" s="75"/>
      <c r="E340" s="75"/>
      <c r="F340" s="75"/>
      <c r="G340" s="75"/>
      <c r="H340" s="75"/>
      <c r="I340" s="96"/>
      <c r="J340" s="96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X340" s="166"/>
      <c r="AB340" s="73"/>
      <c r="AD340" s="74" t="str">
        <f t="shared" si="24"/>
        <v/>
      </c>
      <c r="AE340" s="74" t="str">
        <f t="shared" si="25"/>
        <v/>
      </c>
      <c r="AF340" s="74" t="str">
        <f t="shared" ca="1" si="26"/>
        <v/>
      </c>
      <c r="AG340" s="74" t="str">
        <f t="shared" si="27"/>
        <v/>
      </c>
    </row>
    <row r="341" spans="1:33" x14ac:dyDescent="0.2">
      <c r="A341" s="75"/>
      <c r="B341" s="75"/>
      <c r="C341" s="75"/>
      <c r="D341" s="75"/>
      <c r="E341" s="75"/>
      <c r="F341" s="75"/>
      <c r="G341" s="75"/>
      <c r="H341" s="75"/>
      <c r="I341" s="96"/>
      <c r="J341" s="96"/>
      <c r="K341" s="75"/>
      <c r="L341" s="75"/>
      <c r="M341" s="75"/>
      <c r="N341" s="75"/>
      <c r="O341" s="75"/>
      <c r="P341" s="75"/>
      <c r="Q341" s="96"/>
      <c r="R341" s="75"/>
      <c r="S341" s="75"/>
      <c r="T341" s="75"/>
      <c r="U341" s="75"/>
      <c r="V341" s="75"/>
      <c r="X341" s="166"/>
      <c r="AB341" s="73"/>
      <c r="AD341" s="74" t="str">
        <f t="shared" si="24"/>
        <v/>
      </c>
      <c r="AE341" s="74" t="str">
        <f t="shared" si="25"/>
        <v/>
      </c>
      <c r="AF341" s="74" t="str">
        <f t="shared" ca="1" si="26"/>
        <v/>
      </c>
      <c r="AG341" s="74" t="str">
        <f t="shared" si="27"/>
        <v/>
      </c>
    </row>
    <row r="342" spans="1:33" x14ac:dyDescent="0.2">
      <c r="A342" s="75"/>
      <c r="B342" s="75"/>
      <c r="C342" s="75"/>
      <c r="D342" s="75"/>
      <c r="E342" s="75"/>
      <c r="F342" s="75"/>
      <c r="G342" s="75"/>
      <c r="H342" s="75"/>
      <c r="I342" s="96"/>
      <c r="J342" s="96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X342" s="166"/>
      <c r="AB342" s="73"/>
      <c r="AD342" s="74" t="str">
        <f t="shared" si="24"/>
        <v/>
      </c>
      <c r="AE342" s="74" t="str">
        <f t="shared" si="25"/>
        <v/>
      </c>
      <c r="AF342" s="74" t="str">
        <f t="shared" ca="1" si="26"/>
        <v/>
      </c>
      <c r="AG342" s="74" t="str">
        <f t="shared" si="27"/>
        <v/>
      </c>
    </row>
    <row r="343" spans="1:33" x14ac:dyDescent="0.2">
      <c r="A343" s="75"/>
      <c r="B343" s="75"/>
      <c r="C343" s="75"/>
      <c r="D343" s="75"/>
      <c r="E343" s="75"/>
      <c r="F343" s="75"/>
      <c r="G343" s="75"/>
      <c r="H343" s="75"/>
      <c r="I343" s="96"/>
      <c r="J343" s="96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X343" s="166"/>
      <c r="AB343" s="73"/>
      <c r="AD343" s="74" t="str">
        <f t="shared" si="24"/>
        <v/>
      </c>
      <c r="AE343" s="74" t="str">
        <f t="shared" si="25"/>
        <v/>
      </c>
      <c r="AF343" s="74" t="str">
        <f t="shared" ca="1" si="26"/>
        <v/>
      </c>
      <c r="AG343" s="74" t="str">
        <f t="shared" si="27"/>
        <v/>
      </c>
    </row>
    <row r="344" spans="1:33" x14ac:dyDescent="0.2">
      <c r="A344" s="75"/>
      <c r="B344" s="75"/>
      <c r="C344" s="75"/>
      <c r="D344" s="75"/>
      <c r="E344" s="75"/>
      <c r="F344" s="75"/>
      <c r="G344" s="75"/>
      <c r="H344" s="75"/>
      <c r="I344" s="96"/>
      <c r="J344" s="96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X344" s="166"/>
      <c r="AB344" s="73"/>
      <c r="AD344" s="74" t="str">
        <f t="shared" si="24"/>
        <v/>
      </c>
      <c r="AE344" s="74" t="str">
        <f t="shared" si="25"/>
        <v/>
      </c>
      <c r="AF344" s="74" t="str">
        <f t="shared" ca="1" si="26"/>
        <v/>
      </c>
      <c r="AG344" s="74" t="str">
        <f t="shared" si="27"/>
        <v/>
      </c>
    </row>
    <row r="345" spans="1:33" x14ac:dyDescent="0.2">
      <c r="A345" s="75"/>
      <c r="B345" s="75"/>
      <c r="C345" s="75"/>
      <c r="D345" s="75"/>
      <c r="E345" s="75"/>
      <c r="F345" s="75"/>
      <c r="G345" s="75"/>
      <c r="H345" s="75"/>
      <c r="I345" s="96"/>
      <c r="J345" s="96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X345" s="166"/>
      <c r="AB345" s="73"/>
      <c r="AD345" s="74" t="str">
        <f t="shared" si="24"/>
        <v/>
      </c>
      <c r="AE345" s="74" t="str">
        <f t="shared" si="25"/>
        <v/>
      </c>
      <c r="AF345" s="74" t="str">
        <f t="shared" ca="1" si="26"/>
        <v/>
      </c>
      <c r="AG345" s="74" t="str">
        <f t="shared" si="27"/>
        <v/>
      </c>
    </row>
    <row r="346" spans="1:33" x14ac:dyDescent="0.2">
      <c r="A346" s="75"/>
      <c r="B346" s="75"/>
      <c r="C346" s="75"/>
      <c r="D346" s="75"/>
      <c r="E346" s="75"/>
      <c r="F346" s="75"/>
      <c r="G346" s="75"/>
      <c r="H346" s="75"/>
      <c r="I346" s="96"/>
      <c r="J346" s="96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X346" s="166"/>
      <c r="AB346" s="73"/>
      <c r="AD346" s="74" t="str">
        <f t="shared" si="24"/>
        <v/>
      </c>
      <c r="AE346" s="74" t="str">
        <f t="shared" si="25"/>
        <v/>
      </c>
      <c r="AF346" s="74" t="str">
        <f t="shared" ca="1" si="26"/>
        <v/>
      </c>
      <c r="AG346" s="74" t="str">
        <f t="shared" si="27"/>
        <v/>
      </c>
    </row>
    <row r="347" spans="1:33" x14ac:dyDescent="0.2">
      <c r="A347" s="75"/>
      <c r="B347" s="75"/>
      <c r="C347" s="75"/>
      <c r="D347" s="75"/>
      <c r="E347" s="75"/>
      <c r="F347" s="75"/>
      <c r="G347" s="75"/>
      <c r="H347" s="75"/>
      <c r="I347" s="96"/>
      <c r="J347" s="96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X347" s="166"/>
      <c r="AB347" s="73"/>
      <c r="AD347" s="74" t="str">
        <f t="shared" si="24"/>
        <v/>
      </c>
      <c r="AE347" s="74" t="str">
        <f t="shared" si="25"/>
        <v/>
      </c>
      <c r="AF347" s="74" t="str">
        <f t="shared" ca="1" si="26"/>
        <v/>
      </c>
      <c r="AG347" s="74" t="str">
        <f t="shared" si="27"/>
        <v/>
      </c>
    </row>
    <row r="348" spans="1:33" x14ac:dyDescent="0.2">
      <c r="A348" s="75"/>
      <c r="B348" s="75"/>
      <c r="C348" s="75"/>
      <c r="D348" s="75"/>
      <c r="E348" s="75"/>
      <c r="F348" s="75"/>
      <c r="G348" s="75"/>
      <c r="H348" s="75"/>
      <c r="I348" s="96"/>
      <c r="J348" s="96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X348" s="166"/>
      <c r="AB348" s="73"/>
      <c r="AD348" s="74" t="str">
        <f t="shared" si="24"/>
        <v/>
      </c>
      <c r="AE348" s="74" t="str">
        <f t="shared" si="25"/>
        <v/>
      </c>
      <c r="AF348" s="74" t="str">
        <f t="shared" ca="1" si="26"/>
        <v/>
      </c>
      <c r="AG348" s="74" t="str">
        <f t="shared" si="27"/>
        <v/>
      </c>
    </row>
    <row r="349" spans="1:33" x14ac:dyDescent="0.2">
      <c r="A349" s="75"/>
      <c r="B349" s="75"/>
      <c r="C349" s="75"/>
      <c r="D349" s="75"/>
      <c r="E349" s="75"/>
      <c r="F349" s="75"/>
      <c r="G349" s="75"/>
      <c r="H349" s="75"/>
      <c r="I349" s="96"/>
      <c r="J349" s="96"/>
      <c r="K349" s="75"/>
      <c r="L349" s="75"/>
      <c r="M349" s="75"/>
      <c r="N349" s="75"/>
      <c r="O349" s="75"/>
      <c r="P349" s="75"/>
      <c r="Q349" s="96"/>
      <c r="R349" s="75"/>
      <c r="S349" s="75"/>
      <c r="T349" s="75"/>
      <c r="U349" s="75"/>
      <c r="V349" s="75"/>
      <c r="X349" s="166"/>
      <c r="AB349" s="73"/>
      <c r="AD349" s="74" t="str">
        <f t="shared" si="24"/>
        <v/>
      </c>
      <c r="AE349" s="74" t="str">
        <f t="shared" si="25"/>
        <v/>
      </c>
      <c r="AF349" s="74" t="str">
        <f t="shared" ca="1" si="26"/>
        <v/>
      </c>
      <c r="AG349" s="74" t="str">
        <f t="shared" si="27"/>
        <v/>
      </c>
    </row>
    <row r="350" spans="1:33" x14ac:dyDescent="0.2">
      <c r="A350" s="75"/>
      <c r="B350" s="75"/>
      <c r="C350" s="75"/>
      <c r="D350" s="75"/>
      <c r="E350" s="75"/>
      <c r="F350" s="75"/>
      <c r="G350" s="75"/>
      <c r="H350" s="75"/>
      <c r="I350" s="96"/>
      <c r="J350" s="96"/>
      <c r="K350" s="75"/>
      <c r="L350" s="75"/>
      <c r="M350" s="75"/>
      <c r="N350" s="75"/>
      <c r="O350" s="75"/>
      <c r="P350" s="75"/>
      <c r="Q350" s="96"/>
      <c r="R350" s="75"/>
      <c r="S350" s="75"/>
      <c r="T350" s="75"/>
      <c r="U350" s="75"/>
      <c r="V350" s="75"/>
      <c r="X350" s="166"/>
      <c r="AB350" s="73"/>
      <c r="AD350" s="74" t="str">
        <f t="shared" si="24"/>
        <v/>
      </c>
      <c r="AE350" s="74" t="str">
        <f t="shared" si="25"/>
        <v/>
      </c>
      <c r="AF350" s="74" t="str">
        <f t="shared" ca="1" si="26"/>
        <v/>
      </c>
      <c r="AG350" s="74" t="str">
        <f t="shared" si="27"/>
        <v/>
      </c>
    </row>
    <row r="351" spans="1:33" x14ac:dyDescent="0.2">
      <c r="A351" s="75"/>
      <c r="B351" s="75"/>
      <c r="C351" s="75"/>
      <c r="D351" s="75"/>
      <c r="E351" s="75"/>
      <c r="F351" s="75"/>
      <c r="G351" s="75"/>
      <c r="H351" s="75"/>
      <c r="I351" s="96"/>
      <c r="J351" s="96"/>
      <c r="K351" s="75"/>
      <c r="L351" s="75"/>
      <c r="M351" s="75"/>
      <c r="N351" s="75"/>
      <c r="O351" s="75"/>
      <c r="P351" s="75"/>
      <c r="Q351" s="96"/>
      <c r="R351" s="75"/>
      <c r="S351" s="75"/>
      <c r="T351" s="75"/>
      <c r="U351" s="75"/>
      <c r="V351" s="75"/>
      <c r="X351" s="166"/>
      <c r="AB351" s="73"/>
      <c r="AD351" s="74" t="str">
        <f t="shared" si="24"/>
        <v/>
      </c>
      <c r="AE351" s="74" t="str">
        <f t="shared" si="25"/>
        <v/>
      </c>
      <c r="AF351" s="74" t="str">
        <f t="shared" ca="1" si="26"/>
        <v/>
      </c>
      <c r="AG351" s="74" t="str">
        <f t="shared" si="27"/>
        <v/>
      </c>
    </row>
    <row r="352" spans="1:33" x14ac:dyDescent="0.2">
      <c r="A352" s="75"/>
      <c r="B352" s="75"/>
      <c r="C352" s="75"/>
      <c r="D352" s="75"/>
      <c r="E352" s="75"/>
      <c r="F352" s="75"/>
      <c r="G352" s="75"/>
      <c r="H352" s="75"/>
      <c r="I352" s="96"/>
      <c r="J352" s="96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X352" s="166"/>
      <c r="AB352" s="73"/>
      <c r="AD352" s="74" t="str">
        <f t="shared" si="24"/>
        <v/>
      </c>
      <c r="AE352" s="74" t="str">
        <f t="shared" si="25"/>
        <v/>
      </c>
      <c r="AF352" s="74" t="str">
        <f t="shared" ca="1" si="26"/>
        <v/>
      </c>
      <c r="AG352" s="74" t="str">
        <f t="shared" si="27"/>
        <v/>
      </c>
    </row>
    <row r="353" spans="1:33" x14ac:dyDescent="0.2">
      <c r="A353" s="75"/>
      <c r="B353" s="75"/>
      <c r="C353" s="75"/>
      <c r="D353" s="75"/>
      <c r="E353" s="75"/>
      <c r="F353" s="75"/>
      <c r="G353" s="75"/>
      <c r="H353" s="75"/>
      <c r="I353" s="96"/>
      <c r="J353" s="96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X353" s="166"/>
      <c r="AB353" s="73"/>
      <c r="AD353" s="74" t="str">
        <f t="shared" si="24"/>
        <v/>
      </c>
      <c r="AE353" s="74" t="str">
        <f t="shared" si="25"/>
        <v/>
      </c>
      <c r="AF353" s="74" t="str">
        <f t="shared" ca="1" si="26"/>
        <v/>
      </c>
      <c r="AG353" s="74" t="str">
        <f t="shared" si="27"/>
        <v/>
      </c>
    </row>
    <row r="354" spans="1:33" x14ac:dyDescent="0.2">
      <c r="A354" s="75"/>
      <c r="B354" s="75"/>
      <c r="C354" s="75"/>
      <c r="D354" s="75"/>
      <c r="E354" s="75"/>
      <c r="F354" s="75"/>
      <c r="G354" s="75"/>
      <c r="H354" s="75"/>
      <c r="I354" s="96"/>
      <c r="J354" s="96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X354" s="166"/>
      <c r="AB354" s="73"/>
      <c r="AD354" s="74" t="str">
        <f t="shared" si="24"/>
        <v/>
      </c>
      <c r="AE354" s="74" t="str">
        <f t="shared" si="25"/>
        <v/>
      </c>
      <c r="AF354" s="74" t="str">
        <f t="shared" ca="1" si="26"/>
        <v/>
      </c>
      <c r="AG354" s="74" t="str">
        <f t="shared" si="27"/>
        <v/>
      </c>
    </row>
    <row r="355" spans="1:33" x14ac:dyDescent="0.2">
      <c r="A355" s="75"/>
      <c r="B355" s="75"/>
      <c r="C355" s="75"/>
      <c r="D355" s="75"/>
      <c r="E355" s="75"/>
      <c r="F355" s="75"/>
      <c r="G355" s="75"/>
      <c r="H355" s="75"/>
      <c r="I355" s="96"/>
      <c r="J355" s="96"/>
      <c r="K355" s="75"/>
      <c r="L355" s="75"/>
      <c r="M355" s="75"/>
      <c r="N355" s="75"/>
      <c r="O355" s="75"/>
      <c r="P355" s="75"/>
      <c r="Q355" s="96"/>
      <c r="R355" s="75"/>
      <c r="S355" s="75"/>
      <c r="T355" s="75"/>
      <c r="U355" s="75"/>
      <c r="V355" s="75"/>
      <c r="X355" s="166"/>
      <c r="AB355" s="73"/>
      <c r="AD355" s="74" t="str">
        <f t="shared" si="24"/>
        <v/>
      </c>
      <c r="AE355" s="74" t="str">
        <f t="shared" si="25"/>
        <v/>
      </c>
      <c r="AF355" s="74" t="str">
        <f t="shared" ca="1" si="26"/>
        <v/>
      </c>
      <c r="AG355" s="74" t="str">
        <f t="shared" si="27"/>
        <v/>
      </c>
    </row>
    <row r="356" spans="1:33" x14ac:dyDescent="0.2">
      <c r="A356" s="75"/>
      <c r="B356" s="75"/>
      <c r="C356" s="75"/>
      <c r="D356" s="75"/>
      <c r="E356" s="75"/>
      <c r="F356" s="75"/>
      <c r="G356" s="75"/>
      <c r="H356" s="75"/>
      <c r="I356" s="96"/>
      <c r="J356" s="96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X356" s="166"/>
      <c r="AB356" s="73"/>
      <c r="AD356" s="74" t="str">
        <f t="shared" si="24"/>
        <v/>
      </c>
      <c r="AE356" s="74" t="str">
        <f t="shared" si="25"/>
        <v/>
      </c>
      <c r="AF356" s="74" t="str">
        <f t="shared" ca="1" si="26"/>
        <v/>
      </c>
      <c r="AG356" s="74" t="str">
        <f t="shared" si="27"/>
        <v/>
      </c>
    </row>
    <row r="357" spans="1:33" x14ac:dyDescent="0.2">
      <c r="A357" s="75"/>
      <c r="B357" s="75"/>
      <c r="C357" s="75"/>
      <c r="D357" s="75"/>
      <c r="E357" s="75"/>
      <c r="F357" s="75"/>
      <c r="G357" s="75"/>
      <c r="H357" s="75"/>
      <c r="I357" s="96"/>
      <c r="J357" s="96"/>
      <c r="K357" s="75"/>
      <c r="L357" s="75"/>
      <c r="M357" s="75"/>
      <c r="N357" s="75"/>
      <c r="O357" s="75"/>
      <c r="P357" s="75"/>
      <c r="Q357" s="96"/>
      <c r="R357" s="75"/>
      <c r="S357" s="75"/>
      <c r="T357" s="75"/>
      <c r="U357" s="75"/>
      <c r="V357" s="75"/>
      <c r="X357" s="166"/>
      <c r="AB357" s="73"/>
      <c r="AD357" s="74" t="str">
        <f t="shared" ref="AD357:AD420" si="28">IF(A:A&lt;&gt;"",(M357&amp;"-"&amp;N357),"")</f>
        <v/>
      </c>
      <c r="AE357" s="74" t="str">
        <f t="shared" ref="AE357:AE420" si="29">IF(F:F&lt;&gt;"",IF(F357="Other","Proactive",IF(F357="Proactive","Proactive","Reactive")),"")</f>
        <v/>
      </c>
      <c r="AF357" s="74" t="str">
        <f t="shared" ref="AF357:AF420" ca="1" si="30">IF(I:I&lt;&gt;"",(IF(E357&lt;&gt;"Closed",DATEDIF(I357,TODAY(),"d"),"")),"")</f>
        <v/>
      </c>
      <c r="AG357" s="74" t="str">
        <f t="shared" ref="AG357:AG420" si="31">IF(R:R&lt;&gt;"",DATEDIF(I357,R357,"d"),"")</f>
        <v/>
      </c>
    </row>
    <row r="358" spans="1:33" x14ac:dyDescent="0.2">
      <c r="A358" s="75"/>
      <c r="B358" s="75"/>
      <c r="C358" s="75"/>
      <c r="D358" s="75"/>
      <c r="E358" s="75"/>
      <c r="F358" s="75"/>
      <c r="G358" s="75"/>
      <c r="H358" s="75"/>
      <c r="I358" s="96"/>
      <c r="J358" s="96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X358" s="166"/>
      <c r="AB358" s="73"/>
      <c r="AD358" s="74" t="str">
        <f t="shared" si="28"/>
        <v/>
      </c>
      <c r="AE358" s="74" t="str">
        <f t="shared" si="29"/>
        <v/>
      </c>
      <c r="AF358" s="74" t="str">
        <f t="shared" ca="1" si="30"/>
        <v/>
      </c>
      <c r="AG358" s="74" t="str">
        <f t="shared" si="31"/>
        <v/>
      </c>
    </row>
    <row r="359" spans="1:33" x14ac:dyDescent="0.2">
      <c r="A359" s="75"/>
      <c r="B359" s="75"/>
      <c r="C359" s="75"/>
      <c r="D359" s="75"/>
      <c r="E359" s="75"/>
      <c r="F359" s="75"/>
      <c r="G359" s="75"/>
      <c r="H359" s="75"/>
      <c r="I359" s="96"/>
      <c r="J359" s="96"/>
      <c r="K359" s="75"/>
      <c r="L359" s="75"/>
      <c r="M359" s="75"/>
      <c r="N359" s="75"/>
      <c r="O359" s="75"/>
      <c r="P359" s="75"/>
      <c r="Q359" s="96"/>
      <c r="R359" s="75"/>
      <c r="S359" s="75"/>
      <c r="T359" s="75"/>
      <c r="U359" s="75"/>
      <c r="V359" s="75"/>
      <c r="X359" s="166"/>
      <c r="AB359" s="73"/>
      <c r="AD359" s="74" t="str">
        <f t="shared" si="28"/>
        <v/>
      </c>
      <c r="AE359" s="74" t="str">
        <f t="shared" si="29"/>
        <v/>
      </c>
      <c r="AF359" s="74" t="str">
        <f t="shared" ca="1" si="30"/>
        <v/>
      </c>
      <c r="AG359" s="74" t="str">
        <f t="shared" si="31"/>
        <v/>
      </c>
    </row>
    <row r="360" spans="1:33" x14ac:dyDescent="0.2">
      <c r="A360" s="75"/>
      <c r="B360" s="75"/>
      <c r="C360" s="75"/>
      <c r="D360" s="75"/>
      <c r="E360" s="75"/>
      <c r="F360" s="75"/>
      <c r="G360" s="75"/>
      <c r="H360" s="75"/>
      <c r="I360" s="96"/>
      <c r="J360" s="96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X360" s="166"/>
      <c r="AB360" s="73"/>
      <c r="AD360" s="74" t="str">
        <f t="shared" si="28"/>
        <v/>
      </c>
      <c r="AE360" s="74" t="str">
        <f t="shared" si="29"/>
        <v/>
      </c>
      <c r="AF360" s="74" t="str">
        <f t="shared" ca="1" si="30"/>
        <v/>
      </c>
      <c r="AG360" s="74" t="str">
        <f t="shared" si="31"/>
        <v/>
      </c>
    </row>
    <row r="361" spans="1:33" x14ac:dyDescent="0.2">
      <c r="A361" s="75"/>
      <c r="B361" s="75"/>
      <c r="C361" s="75"/>
      <c r="D361" s="75"/>
      <c r="E361" s="75"/>
      <c r="F361" s="75"/>
      <c r="G361" s="75"/>
      <c r="H361" s="75"/>
      <c r="I361" s="96"/>
      <c r="J361" s="96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X361" s="166"/>
      <c r="AB361" s="73"/>
      <c r="AD361" s="74" t="str">
        <f t="shared" si="28"/>
        <v/>
      </c>
      <c r="AE361" s="74" t="str">
        <f t="shared" si="29"/>
        <v/>
      </c>
      <c r="AF361" s="74" t="str">
        <f t="shared" ca="1" si="30"/>
        <v/>
      </c>
      <c r="AG361" s="74" t="str">
        <f t="shared" si="31"/>
        <v/>
      </c>
    </row>
    <row r="362" spans="1:33" x14ac:dyDescent="0.2">
      <c r="A362" s="75"/>
      <c r="B362" s="75"/>
      <c r="C362" s="75"/>
      <c r="D362" s="75"/>
      <c r="E362" s="75"/>
      <c r="F362" s="75"/>
      <c r="G362" s="75"/>
      <c r="H362" s="75"/>
      <c r="I362" s="96"/>
      <c r="J362" s="96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X362" s="166"/>
      <c r="AB362" s="73"/>
      <c r="AD362" s="74" t="str">
        <f t="shared" si="28"/>
        <v/>
      </c>
      <c r="AE362" s="74" t="str">
        <f t="shared" si="29"/>
        <v/>
      </c>
      <c r="AF362" s="74" t="str">
        <f t="shared" ca="1" si="30"/>
        <v/>
      </c>
      <c r="AG362" s="74" t="str">
        <f t="shared" si="31"/>
        <v/>
      </c>
    </row>
    <row r="363" spans="1:33" x14ac:dyDescent="0.2">
      <c r="A363" s="75"/>
      <c r="B363" s="75"/>
      <c r="C363" s="75"/>
      <c r="D363" s="75"/>
      <c r="E363" s="75"/>
      <c r="F363" s="75"/>
      <c r="G363" s="75"/>
      <c r="H363" s="75"/>
      <c r="I363" s="96"/>
      <c r="J363" s="96"/>
      <c r="K363" s="75"/>
      <c r="L363" s="75"/>
      <c r="M363" s="75"/>
      <c r="N363" s="75"/>
      <c r="O363" s="75"/>
      <c r="P363" s="75"/>
      <c r="Q363" s="96"/>
      <c r="R363" s="75"/>
      <c r="S363" s="75"/>
      <c r="T363" s="75"/>
      <c r="U363" s="75"/>
      <c r="V363" s="75"/>
      <c r="X363" s="166"/>
      <c r="AB363" s="73"/>
      <c r="AD363" s="74" t="str">
        <f t="shared" si="28"/>
        <v/>
      </c>
      <c r="AE363" s="74" t="str">
        <f t="shared" si="29"/>
        <v/>
      </c>
      <c r="AF363" s="74" t="str">
        <f t="shared" ca="1" si="30"/>
        <v/>
      </c>
      <c r="AG363" s="74" t="str">
        <f t="shared" si="31"/>
        <v/>
      </c>
    </row>
    <row r="364" spans="1:33" x14ac:dyDescent="0.2">
      <c r="A364" s="75"/>
      <c r="B364" s="75"/>
      <c r="C364" s="75"/>
      <c r="D364" s="75"/>
      <c r="E364" s="75"/>
      <c r="F364" s="75"/>
      <c r="G364" s="75"/>
      <c r="H364" s="75"/>
      <c r="I364" s="96"/>
      <c r="J364" s="96"/>
      <c r="K364" s="75"/>
      <c r="L364" s="75"/>
      <c r="M364" s="75"/>
      <c r="N364" s="75"/>
      <c r="O364" s="75"/>
      <c r="P364" s="75"/>
      <c r="Q364" s="96"/>
      <c r="R364" s="75"/>
      <c r="S364" s="75"/>
      <c r="T364" s="75"/>
      <c r="U364" s="75"/>
      <c r="V364" s="75"/>
      <c r="X364" s="166"/>
      <c r="AB364" s="73"/>
      <c r="AD364" s="74" t="str">
        <f t="shared" si="28"/>
        <v/>
      </c>
      <c r="AE364" s="74" t="str">
        <f t="shared" si="29"/>
        <v/>
      </c>
      <c r="AF364" s="74" t="str">
        <f t="shared" ca="1" si="30"/>
        <v/>
      </c>
      <c r="AG364" s="74" t="str">
        <f t="shared" si="31"/>
        <v/>
      </c>
    </row>
    <row r="365" spans="1:33" x14ac:dyDescent="0.2">
      <c r="A365" s="75"/>
      <c r="B365" s="75"/>
      <c r="C365" s="75"/>
      <c r="D365" s="75"/>
      <c r="E365" s="75"/>
      <c r="F365" s="75"/>
      <c r="G365" s="75"/>
      <c r="H365" s="75"/>
      <c r="I365" s="96"/>
      <c r="J365" s="96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X365" s="166"/>
      <c r="AB365" s="73"/>
      <c r="AD365" s="74" t="str">
        <f t="shared" si="28"/>
        <v/>
      </c>
      <c r="AE365" s="74" t="str">
        <f t="shared" si="29"/>
        <v/>
      </c>
      <c r="AF365" s="74" t="str">
        <f t="shared" ca="1" si="30"/>
        <v/>
      </c>
      <c r="AG365" s="74" t="str">
        <f t="shared" si="31"/>
        <v/>
      </c>
    </row>
    <row r="366" spans="1:33" x14ac:dyDescent="0.2">
      <c r="A366" s="75"/>
      <c r="B366" s="75"/>
      <c r="C366" s="75"/>
      <c r="D366" s="75"/>
      <c r="E366" s="75"/>
      <c r="F366" s="75"/>
      <c r="G366" s="75"/>
      <c r="H366" s="75"/>
      <c r="I366" s="96"/>
      <c r="J366" s="96"/>
      <c r="K366" s="75"/>
      <c r="L366" s="75"/>
      <c r="M366" s="75"/>
      <c r="N366" s="75"/>
      <c r="O366" s="75"/>
      <c r="P366" s="75"/>
      <c r="Q366" s="96"/>
      <c r="R366" s="75"/>
      <c r="S366" s="75"/>
      <c r="T366" s="75"/>
      <c r="U366" s="75"/>
      <c r="V366" s="75"/>
      <c r="X366" s="166"/>
      <c r="AB366" s="73"/>
      <c r="AD366" s="74" t="str">
        <f t="shared" si="28"/>
        <v/>
      </c>
      <c r="AE366" s="74" t="str">
        <f t="shared" si="29"/>
        <v/>
      </c>
      <c r="AF366" s="74" t="str">
        <f t="shared" ca="1" si="30"/>
        <v/>
      </c>
      <c r="AG366" s="74" t="str">
        <f t="shared" si="31"/>
        <v/>
      </c>
    </row>
    <row r="367" spans="1:33" x14ac:dyDescent="0.2">
      <c r="A367" s="75"/>
      <c r="B367" s="75"/>
      <c r="C367" s="75"/>
      <c r="D367" s="75"/>
      <c r="E367" s="75"/>
      <c r="F367" s="75"/>
      <c r="G367" s="75"/>
      <c r="H367" s="75"/>
      <c r="I367" s="96"/>
      <c r="J367" s="96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X367" s="166"/>
      <c r="AB367" s="73"/>
      <c r="AD367" s="74" t="str">
        <f t="shared" si="28"/>
        <v/>
      </c>
      <c r="AE367" s="74" t="str">
        <f t="shared" si="29"/>
        <v/>
      </c>
      <c r="AF367" s="74" t="str">
        <f t="shared" ca="1" si="30"/>
        <v/>
      </c>
      <c r="AG367" s="74" t="str">
        <f t="shared" si="31"/>
        <v/>
      </c>
    </row>
    <row r="368" spans="1:33" x14ac:dyDescent="0.2">
      <c r="A368" s="75"/>
      <c r="B368" s="75"/>
      <c r="C368" s="75"/>
      <c r="D368" s="75"/>
      <c r="E368" s="75"/>
      <c r="F368" s="75"/>
      <c r="G368" s="75"/>
      <c r="H368" s="75"/>
      <c r="I368" s="96"/>
      <c r="J368" s="96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X368" s="166"/>
      <c r="AB368" s="73"/>
      <c r="AD368" s="74" t="str">
        <f t="shared" si="28"/>
        <v/>
      </c>
      <c r="AE368" s="74" t="str">
        <f t="shared" si="29"/>
        <v/>
      </c>
      <c r="AF368" s="74" t="str">
        <f t="shared" ca="1" si="30"/>
        <v/>
      </c>
      <c r="AG368" s="74" t="str">
        <f t="shared" si="31"/>
        <v/>
      </c>
    </row>
    <row r="369" spans="1:33" x14ac:dyDescent="0.2">
      <c r="A369" s="75"/>
      <c r="B369" s="75"/>
      <c r="C369" s="75"/>
      <c r="D369" s="75"/>
      <c r="E369" s="75"/>
      <c r="F369" s="75"/>
      <c r="G369" s="75"/>
      <c r="H369" s="75"/>
      <c r="I369" s="96"/>
      <c r="J369" s="96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X369" s="166"/>
      <c r="AB369" s="73"/>
      <c r="AD369" s="74" t="str">
        <f t="shared" si="28"/>
        <v/>
      </c>
      <c r="AE369" s="74" t="str">
        <f t="shared" si="29"/>
        <v/>
      </c>
      <c r="AF369" s="74" t="str">
        <f t="shared" ca="1" si="30"/>
        <v/>
      </c>
      <c r="AG369" s="74" t="str">
        <f t="shared" si="31"/>
        <v/>
      </c>
    </row>
    <row r="370" spans="1:33" x14ac:dyDescent="0.2">
      <c r="A370" s="75"/>
      <c r="B370" s="75"/>
      <c r="C370" s="75"/>
      <c r="D370" s="75"/>
      <c r="E370" s="75"/>
      <c r="F370" s="75"/>
      <c r="G370" s="75"/>
      <c r="H370" s="75"/>
      <c r="I370" s="96"/>
      <c r="J370" s="96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X370" s="166"/>
      <c r="AB370" s="73"/>
      <c r="AD370" s="74" t="str">
        <f t="shared" si="28"/>
        <v/>
      </c>
      <c r="AE370" s="74" t="str">
        <f t="shared" si="29"/>
        <v/>
      </c>
      <c r="AF370" s="74" t="str">
        <f t="shared" ca="1" si="30"/>
        <v/>
      </c>
      <c r="AG370" s="74" t="str">
        <f t="shared" si="31"/>
        <v/>
      </c>
    </row>
    <row r="371" spans="1:33" x14ac:dyDescent="0.2">
      <c r="A371" s="75"/>
      <c r="B371" s="75"/>
      <c r="C371" s="75"/>
      <c r="D371" s="75"/>
      <c r="E371" s="75"/>
      <c r="F371" s="75"/>
      <c r="G371" s="75"/>
      <c r="H371" s="75"/>
      <c r="I371" s="96"/>
      <c r="J371" s="96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X371" s="166"/>
      <c r="AB371" s="73"/>
      <c r="AD371" s="74" t="str">
        <f t="shared" si="28"/>
        <v/>
      </c>
      <c r="AE371" s="74" t="str">
        <f t="shared" si="29"/>
        <v/>
      </c>
      <c r="AF371" s="74" t="str">
        <f t="shared" ca="1" si="30"/>
        <v/>
      </c>
      <c r="AG371" s="74" t="str">
        <f t="shared" si="31"/>
        <v/>
      </c>
    </row>
    <row r="372" spans="1:33" x14ac:dyDescent="0.2">
      <c r="A372" s="75"/>
      <c r="B372" s="75"/>
      <c r="C372" s="75"/>
      <c r="D372" s="75"/>
      <c r="E372" s="75"/>
      <c r="F372" s="75"/>
      <c r="G372" s="75"/>
      <c r="H372" s="75"/>
      <c r="I372" s="96"/>
      <c r="J372" s="96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X372" s="166"/>
      <c r="AB372" s="73"/>
      <c r="AD372" s="74" t="str">
        <f t="shared" si="28"/>
        <v/>
      </c>
      <c r="AE372" s="74" t="str">
        <f t="shared" si="29"/>
        <v/>
      </c>
      <c r="AF372" s="74" t="str">
        <f t="shared" ca="1" si="30"/>
        <v/>
      </c>
      <c r="AG372" s="74" t="str">
        <f t="shared" si="31"/>
        <v/>
      </c>
    </row>
    <row r="373" spans="1:33" x14ac:dyDescent="0.2">
      <c r="A373" s="75"/>
      <c r="B373" s="75"/>
      <c r="C373" s="75"/>
      <c r="D373" s="75"/>
      <c r="E373" s="75"/>
      <c r="F373" s="75"/>
      <c r="G373" s="75"/>
      <c r="H373" s="75"/>
      <c r="I373" s="96"/>
      <c r="J373" s="96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X373" s="166"/>
      <c r="AB373" s="73"/>
      <c r="AD373" s="74" t="str">
        <f t="shared" si="28"/>
        <v/>
      </c>
      <c r="AE373" s="74" t="str">
        <f t="shared" si="29"/>
        <v/>
      </c>
      <c r="AF373" s="74" t="str">
        <f t="shared" ca="1" si="30"/>
        <v/>
      </c>
      <c r="AG373" s="74" t="str">
        <f t="shared" si="31"/>
        <v/>
      </c>
    </row>
    <row r="374" spans="1:33" x14ac:dyDescent="0.2">
      <c r="A374" s="75"/>
      <c r="B374" s="75"/>
      <c r="C374" s="75"/>
      <c r="D374" s="75"/>
      <c r="E374" s="75"/>
      <c r="F374" s="75"/>
      <c r="G374" s="75"/>
      <c r="H374" s="75"/>
      <c r="I374" s="96"/>
      <c r="J374" s="96"/>
      <c r="K374" s="75"/>
      <c r="L374" s="75"/>
      <c r="M374" s="75"/>
      <c r="N374" s="75"/>
      <c r="O374" s="75"/>
      <c r="P374" s="75"/>
      <c r="Q374" s="96"/>
      <c r="R374" s="75"/>
      <c r="S374" s="75"/>
      <c r="T374" s="75"/>
      <c r="U374" s="75"/>
      <c r="V374" s="75"/>
      <c r="X374" s="166"/>
      <c r="AB374" s="73"/>
      <c r="AD374" s="74" t="str">
        <f t="shared" si="28"/>
        <v/>
      </c>
      <c r="AE374" s="74" t="str">
        <f t="shared" si="29"/>
        <v/>
      </c>
      <c r="AF374" s="74" t="str">
        <f t="shared" ca="1" si="30"/>
        <v/>
      </c>
      <c r="AG374" s="74" t="str">
        <f t="shared" si="31"/>
        <v/>
      </c>
    </row>
    <row r="375" spans="1:33" x14ac:dyDescent="0.2">
      <c r="A375" s="75"/>
      <c r="B375" s="75"/>
      <c r="C375" s="75"/>
      <c r="D375" s="75"/>
      <c r="E375" s="75"/>
      <c r="F375" s="75"/>
      <c r="G375" s="75"/>
      <c r="H375" s="75"/>
      <c r="I375" s="96"/>
      <c r="J375" s="96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X375" s="166"/>
      <c r="AB375" s="73"/>
      <c r="AD375" s="74" t="str">
        <f t="shared" si="28"/>
        <v/>
      </c>
      <c r="AE375" s="74" t="str">
        <f t="shared" si="29"/>
        <v/>
      </c>
      <c r="AF375" s="74" t="str">
        <f t="shared" ca="1" si="30"/>
        <v/>
      </c>
      <c r="AG375" s="74" t="str">
        <f t="shared" si="31"/>
        <v/>
      </c>
    </row>
    <row r="376" spans="1:33" x14ac:dyDescent="0.2">
      <c r="A376" s="75"/>
      <c r="B376" s="75"/>
      <c r="C376" s="75"/>
      <c r="D376" s="75"/>
      <c r="E376" s="75"/>
      <c r="F376" s="75"/>
      <c r="G376" s="75"/>
      <c r="H376" s="75"/>
      <c r="I376" s="96"/>
      <c r="J376" s="96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X376" s="166"/>
      <c r="AB376" s="73"/>
      <c r="AD376" s="74" t="str">
        <f t="shared" si="28"/>
        <v/>
      </c>
      <c r="AE376" s="74" t="str">
        <f t="shared" si="29"/>
        <v/>
      </c>
      <c r="AF376" s="74" t="str">
        <f t="shared" ca="1" si="30"/>
        <v/>
      </c>
      <c r="AG376" s="74" t="str">
        <f t="shared" si="31"/>
        <v/>
      </c>
    </row>
    <row r="377" spans="1:33" x14ac:dyDescent="0.2">
      <c r="A377" s="75"/>
      <c r="B377" s="75"/>
      <c r="C377" s="75"/>
      <c r="D377" s="75"/>
      <c r="E377" s="75"/>
      <c r="F377" s="75"/>
      <c r="G377" s="75"/>
      <c r="H377" s="75"/>
      <c r="I377" s="96"/>
      <c r="J377" s="96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X377" s="166"/>
      <c r="AB377" s="73"/>
      <c r="AD377" s="74" t="str">
        <f t="shared" si="28"/>
        <v/>
      </c>
      <c r="AE377" s="74" t="str">
        <f t="shared" si="29"/>
        <v/>
      </c>
      <c r="AF377" s="74" t="str">
        <f t="shared" ca="1" si="30"/>
        <v/>
      </c>
      <c r="AG377" s="74" t="str">
        <f t="shared" si="31"/>
        <v/>
      </c>
    </row>
    <row r="378" spans="1:33" x14ac:dyDescent="0.2">
      <c r="A378" s="75"/>
      <c r="B378" s="75"/>
      <c r="C378" s="75"/>
      <c r="D378" s="75"/>
      <c r="E378" s="75"/>
      <c r="F378" s="75"/>
      <c r="G378" s="75"/>
      <c r="H378" s="75"/>
      <c r="I378" s="96"/>
      <c r="J378" s="96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X378" s="166"/>
      <c r="AB378" s="73"/>
      <c r="AD378" s="74" t="str">
        <f t="shared" si="28"/>
        <v/>
      </c>
      <c r="AE378" s="74" t="str">
        <f t="shared" si="29"/>
        <v/>
      </c>
      <c r="AF378" s="74" t="str">
        <f t="shared" ca="1" si="30"/>
        <v/>
      </c>
      <c r="AG378" s="74" t="str">
        <f t="shared" si="31"/>
        <v/>
      </c>
    </row>
    <row r="379" spans="1:33" x14ac:dyDescent="0.2">
      <c r="A379" s="75"/>
      <c r="B379" s="75"/>
      <c r="C379" s="75"/>
      <c r="D379" s="75"/>
      <c r="E379" s="75"/>
      <c r="F379" s="75"/>
      <c r="G379" s="75"/>
      <c r="H379" s="75"/>
      <c r="I379" s="96"/>
      <c r="J379" s="96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X379" s="166"/>
      <c r="AB379" s="73"/>
      <c r="AD379" s="74" t="str">
        <f t="shared" si="28"/>
        <v/>
      </c>
      <c r="AE379" s="74" t="str">
        <f t="shared" si="29"/>
        <v/>
      </c>
      <c r="AF379" s="74" t="str">
        <f t="shared" ca="1" si="30"/>
        <v/>
      </c>
      <c r="AG379" s="74" t="str">
        <f t="shared" si="31"/>
        <v/>
      </c>
    </row>
    <row r="380" spans="1:33" x14ac:dyDescent="0.2">
      <c r="A380" s="75"/>
      <c r="B380" s="75"/>
      <c r="C380" s="75"/>
      <c r="D380" s="75"/>
      <c r="E380" s="75"/>
      <c r="F380" s="75"/>
      <c r="G380" s="75"/>
      <c r="H380" s="75"/>
      <c r="I380" s="96"/>
      <c r="J380" s="96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X380" s="166"/>
      <c r="AB380" s="73"/>
      <c r="AD380" s="74" t="str">
        <f t="shared" si="28"/>
        <v/>
      </c>
      <c r="AE380" s="74" t="str">
        <f t="shared" si="29"/>
        <v/>
      </c>
      <c r="AF380" s="74" t="str">
        <f t="shared" ca="1" si="30"/>
        <v/>
      </c>
      <c r="AG380" s="74" t="str">
        <f t="shared" si="31"/>
        <v/>
      </c>
    </row>
    <row r="381" spans="1:33" x14ac:dyDescent="0.2">
      <c r="A381" s="75"/>
      <c r="B381" s="75"/>
      <c r="C381" s="75"/>
      <c r="D381" s="75"/>
      <c r="E381" s="75"/>
      <c r="F381" s="75"/>
      <c r="G381" s="75"/>
      <c r="H381" s="75"/>
      <c r="I381" s="96"/>
      <c r="J381" s="96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X381" s="166"/>
      <c r="AB381" s="73"/>
      <c r="AD381" s="74" t="str">
        <f t="shared" si="28"/>
        <v/>
      </c>
      <c r="AE381" s="74" t="str">
        <f t="shared" si="29"/>
        <v/>
      </c>
      <c r="AF381" s="74" t="str">
        <f t="shared" ca="1" si="30"/>
        <v/>
      </c>
      <c r="AG381" s="74" t="str">
        <f t="shared" si="31"/>
        <v/>
      </c>
    </row>
    <row r="382" spans="1:33" x14ac:dyDescent="0.2">
      <c r="A382" s="75"/>
      <c r="B382" s="75"/>
      <c r="C382" s="75"/>
      <c r="D382" s="75"/>
      <c r="E382" s="75"/>
      <c r="F382" s="75"/>
      <c r="G382" s="75"/>
      <c r="H382" s="75"/>
      <c r="I382" s="96"/>
      <c r="J382" s="96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X382" s="166"/>
      <c r="AB382" s="73"/>
      <c r="AD382" s="74" t="str">
        <f t="shared" si="28"/>
        <v/>
      </c>
      <c r="AE382" s="74" t="str">
        <f t="shared" si="29"/>
        <v/>
      </c>
      <c r="AF382" s="74" t="str">
        <f t="shared" ca="1" si="30"/>
        <v/>
      </c>
      <c r="AG382" s="74" t="str">
        <f t="shared" si="31"/>
        <v/>
      </c>
    </row>
    <row r="383" spans="1:33" x14ac:dyDescent="0.2">
      <c r="A383" s="75"/>
      <c r="B383" s="75"/>
      <c r="C383" s="75"/>
      <c r="D383" s="75"/>
      <c r="E383" s="75"/>
      <c r="F383" s="75"/>
      <c r="G383" s="75"/>
      <c r="H383" s="75"/>
      <c r="I383" s="96"/>
      <c r="J383" s="96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X383" s="166"/>
      <c r="AB383" s="73"/>
      <c r="AD383" s="74" t="str">
        <f t="shared" si="28"/>
        <v/>
      </c>
      <c r="AE383" s="74" t="str">
        <f t="shared" si="29"/>
        <v/>
      </c>
      <c r="AF383" s="74" t="str">
        <f t="shared" ca="1" si="30"/>
        <v/>
      </c>
      <c r="AG383" s="74" t="str">
        <f t="shared" si="31"/>
        <v/>
      </c>
    </row>
    <row r="384" spans="1:33" x14ac:dyDescent="0.2">
      <c r="X384" s="166"/>
      <c r="AB384" s="73"/>
      <c r="AD384" s="74" t="str">
        <f t="shared" si="28"/>
        <v/>
      </c>
      <c r="AE384" s="74" t="str">
        <f t="shared" si="29"/>
        <v/>
      </c>
      <c r="AF384" s="74" t="str">
        <f t="shared" ca="1" si="30"/>
        <v/>
      </c>
      <c r="AG384" s="74" t="str">
        <f t="shared" si="31"/>
        <v/>
      </c>
    </row>
    <row r="385" spans="24:33" x14ac:dyDescent="0.2">
      <c r="X385" s="166"/>
      <c r="AB385" s="73"/>
      <c r="AD385" s="74" t="str">
        <f t="shared" si="28"/>
        <v/>
      </c>
      <c r="AE385" s="74" t="str">
        <f t="shared" si="29"/>
        <v/>
      </c>
      <c r="AF385" s="74" t="str">
        <f t="shared" ca="1" si="30"/>
        <v/>
      </c>
      <c r="AG385" s="74" t="str">
        <f t="shared" si="31"/>
        <v/>
      </c>
    </row>
    <row r="386" spans="24:33" x14ac:dyDescent="0.2">
      <c r="X386" s="166"/>
      <c r="AB386" s="73"/>
      <c r="AD386" s="74" t="str">
        <f t="shared" si="28"/>
        <v/>
      </c>
      <c r="AE386" s="74" t="str">
        <f t="shared" si="29"/>
        <v/>
      </c>
      <c r="AF386" s="74" t="str">
        <f t="shared" ca="1" si="30"/>
        <v/>
      </c>
      <c r="AG386" s="74" t="str">
        <f t="shared" si="31"/>
        <v/>
      </c>
    </row>
    <row r="387" spans="24:33" x14ac:dyDescent="0.2">
      <c r="X387" s="166"/>
      <c r="AB387" s="73"/>
      <c r="AD387" s="74" t="str">
        <f t="shared" si="28"/>
        <v/>
      </c>
      <c r="AE387" s="74" t="str">
        <f t="shared" si="29"/>
        <v/>
      </c>
      <c r="AF387" s="74" t="str">
        <f t="shared" ca="1" si="30"/>
        <v/>
      </c>
      <c r="AG387" s="74" t="str">
        <f t="shared" si="31"/>
        <v/>
      </c>
    </row>
    <row r="388" spans="24:33" x14ac:dyDescent="0.2">
      <c r="X388" s="166"/>
      <c r="AB388" s="73"/>
      <c r="AD388" s="74" t="str">
        <f t="shared" si="28"/>
        <v/>
      </c>
      <c r="AE388" s="74" t="str">
        <f t="shared" si="29"/>
        <v/>
      </c>
      <c r="AF388" s="74" t="str">
        <f t="shared" ca="1" si="30"/>
        <v/>
      </c>
      <c r="AG388" s="74" t="str">
        <f t="shared" si="31"/>
        <v/>
      </c>
    </row>
    <row r="389" spans="24:33" x14ac:dyDescent="0.2">
      <c r="X389" s="166"/>
      <c r="AB389" s="73"/>
      <c r="AD389" s="74" t="str">
        <f t="shared" si="28"/>
        <v/>
      </c>
      <c r="AE389" s="74" t="str">
        <f t="shared" si="29"/>
        <v/>
      </c>
      <c r="AF389" s="74" t="str">
        <f t="shared" ca="1" si="30"/>
        <v/>
      </c>
      <c r="AG389" s="74" t="str">
        <f t="shared" si="31"/>
        <v/>
      </c>
    </row>
    <row r="390" spans="24:33" x14ac:dyDescent="0.2">
      <c r="X390" s="166"/>
      <c r="AB390" s="73"/>
      <c r="AD390" s="74" t="str">
        <f t="shared" si="28"/>
        <v/>
      </c>
      <c r="AE390" s="74" t="str">
        <f t="shared" si="29"/>
        <v/>
      </c>
      <c r="AF390" s="74" t="str">
        <f t="shared" ca="1" si="30"/>
        <v/>
      </c>
      <c r="AG390" s="74" t="str">
        <f t="shared" si="31"/>
        <v/>
      </c>
    </row>
    <row r="391" spans="24:33" x14ac:dyDescent="0.2">
      <c r="X391" s="166"/>
      <c r="AB391" s="73"/>
      <c r="AD391" s="74" t="str">
        <f t="shared" si="28"/>
        <v/>
      </c>
      <c r="AE391" s="74" t="str">
        <f t="shared" si="29"/>
        <v/>
      </c>
      <c r="AF391" s="74" t="str">
        <f t="shared" ca="1" si="30"/>
        <v/>
      </c>
      <c r="AG391" s="74" t="str">
        <f t="shared" si="31"/>
        <v/>
      </c>
    </row>
    <row r="392" spans="24:33" x14ac:dyDescent="0.2">
      <c r="X392" s="166"/>
      <c r="AB392" s="73"/>
      <c r="AD392" s="74" t="str">
        <f t="shared" si="28"/>
        <v/>
      </c>
      <c r="AE392" s="74" t="str">
        <f t="shared" si="29"/>
        <v/>
      </c>
      <c r="AF392" s="74" t="str">
        <f t="shared" ca="1" si="30"/>
        <v/>
      </c>
      <c r="AG392" s="74" t="str">
        <f t="shared" si="31"/>
        <v/>
      </c>
    </row>
    <row r="393" spans="24:33" x14ac:dyDescent="0.2">
      <c r="X393" s="166"/>
      <c r="AB393" s="73"/>
      <c r="AD393" s="74" t="str">
        <f t="shared" si="28"/>
        <v/>
      </c>
      <c r="AE393" s="74" t="str">
        <f t="shared" si="29"/>
        <v/>
      </c>
      <c r="AF393" s="74" t="str">
        <f t="shared" ca="1" si="30"/>
        <v/>
      </c>
      <c r="AG393" s="74" t="str">
        <f t="shared" si="31"/>
        <v/>
      </c>
    </row>
    <row r="394" spans="24:33" x14ac:dyDescent="0.2">
      <c r="X394" s="166"/>
      <c r="AB394" s="73"/>
      <c r="AD394" s="74" t="str">
        <f t="shared" si="28"/>
        <v/>
      </c>
      <c r="AE394" s="74" t="str">
        <f t="shared" si="29"/>
        <v/>
      </c>
      <c r="AF394" s="74" t="str">
        <f t="shared" ca="1" si="30"/>
        <v/>
      </c>
      <c r="AG394" s="74" t="str">
        <f t="shared" si="31"/>
        <v/>
      </c>
    </row>
    <row r="395" spans="24:33" x14ac:dyDescent="0.2">
      <c r="X395" s="166"/>
      <c r="AB395" s="73"/>
      <c r="AD395" s="74" t="str">
        <f t="shared" si="28"/>
        <v/>
      </c>
      <c r="AE395" s="74" t="str">
        <f t="shared" si="29"/>
        <v/>
      </c>
      <c r="AF395" s="74" t="str">
        <f t="shared" ca="1" si="30"/>
        <v/>
      </c>
      <c r="AG395" s="74" t="str">
        <f t="shared" si="31"/>
        <v/>
      </c>
    </row>
    <row r="396" spans="24:33" x14ac:dyDescent="0.2">
      <c r="X396" s="166"/>
      <c r="AB396" s="73"/>
      <c r="AD396" s="74" t="str">
        <f t="shared" si="28"/>
        <v/>
      </c>
      <c r="AE396" s="74" t="str">
        <f t="shared" si="29"/>
        <v/>
      </c>
      <c r="AF396" s="74" t="str">
        <f t="shared" ca="1" si="30"/>
        <v/>
      </c>
      <c r="AG396" s="74" t="str">
        <f t="shared" si="31"/>
        <v/>
      </c>
    </row>
    <row r="397" spans="24:33" x14ac:dyDescent="0.2">
      <c r="X397" s="166"/>
      <c r="AB397" s="73"/>
      <c r="AD397" s="74" t="str">
        <f t="shared" si="28"/>
        <v/>
      </c>
      <c r="AE397" s="74" t="str">
        <f t="shared" si="29"/>
        <v/>
      </c>
      <c r="AF397" s="74" t="str">
        <f t="shared" ca="1" si="30"/>
        <v/>
      </c>
      <c r="AG397" s="74" t="str">
        <f t="shared" si="31"/>
        <v/>
      </c>
    </row>
    <row r="398" spans="24:33" x14ac:dyDescent="0.2">
      <c r="X398" s="166"/>
      <c r="AB398" s="73"/>
      <c r="AD398" s="74" t="str">
        <f t="shared" si="28"/>
        <v/>
      </c>
      <c r="AE398" s="74" t="str">
        <f t="shared" si="29"/>
        <v/>
      </c>
      <c r="AF398" s="74" t="str">
        <f t="shared" ca="1" si="30"/>
        <v/>
      </c>
      <c r="AG398" s="74" t="str">
        <f t="shared" si="31"/>
        <v/>
      </c>
    </row>
    <row r="399" spans="24:33" x14ac:dyDescent="0.2">
      <c r="X399" s="166"/>
      <c r="AB399" s="73"/>
      <c r="AD399" s="74" t="str">
        <f t="shared" si="28"/>
        <v/>
      </c>
      <c r="AE399" s="74" t="str">
        <f t="shared" si="29"/>
        <v/>
      </c>
      <c r="AF399" s="74" t="str">
        <f t="shared" ca="1" si="30"/>
        <v/>
      </c>
      <c r="AG399" s="74" t="str">
        <f t="shared" si="31"/>
        <v/>
      </c>
    </row>
    <row r="400" spans="24:33" x14ac:dyDescent="0.2">
      <c r="X400" s="166"/>
      <c r="AB400" s="73"/>
      <c r="AD400" s="74" t="str">
        <f t="shared" si="28"/>
        <v/>
      </c>
      <c r="AE400" s="74" t="str">
        <f t="shared" si="29"/>
        <v/>
      </c>
      <c r="AF400" s="74" t="str">
        <f t="shared" ca="1" si="30"/>
        <v/>
      </c>
      <c r="AG400" s="74" t="str">
        <f t="shared" si="31"/>
        <v/>
      </c>
    </row>
    <row r="401" spans="24:33" x14ac:dyDescent="0.2">
      <c r="X401" s="166"/>
      <c r="AB401" s="73"/>
      <c r="AD401" s="74" t="str">
        <f t="shared" si="28"/>
        <v/>
      </c>
      <c r="AE401" s="74" t="str">
        <f t="shared" si="29"/>
        <v/>
      </c>
      <c r="AF401" s="74" t="str">
        <f t="shared" ca="1" si="30"/>
        <v/>
      </c>
      <c r="AG401" s="74" t="str">
        <f t="shared" si="31"/>
        <v/>
      </c>
    </row>
    <row r="402" spans="24:33" x14ac:dyDescent="0.2">
      <c r="X402" s="166"/>
      <c r="AB402" s="73"/>
      <c r="AD402" s="74" t="str">
        <f t="shared" si="28"/>
        <v/>
      </c>
      <c r="AE402" s="74" t="str">
        <f t="shared" si="29"/>
        <v/>
      </c>
      <c r="AF402" s="74" t="str">
        <f t="shared" ca="1" si="30"/>
        <v/>
      </c>
      <c r="AG402" s="74" t="str">
        <f t="shared" si="31"/>
        <v/>
      </c>
    </row>
    <row r="403" spans="24:33" x14ac:dyDescent="0.2">
      <c r="X403" s="166"/>
      <c r="AB403" s="73"/>
      <c r="AD403" s="74" t="str">
        <f t="shared" si="28"/>
        <v/>
      </c>
      <c r="AE403" s="74" t="str">
        <f t="shared" si="29"/>
        <v/>
      </c>
      <c r="AF403" s="74" t="str">
        <f t="shared" ca="1" si="30"/>
        <v/>
      </c>
      <c r="AG403" s="74" t="str">
        <f t="shared" si="31"/>
        <v/>
      </c>
    </row>
    <row r="404" spans="24:33" x14ac:dyDescent="0.2">
      <c r="X404" s="166"/>
      <c r="AB404" s="73"/>
      <c r="AD404" s="74" t="str">
        <f t="shared" si="28"/>
        <v/>
      </c>
      <c r="AE404" s="74" t="str">
        <f t="shared" si="29"/>
        <v/>
      </c>
      <c r="AF404" s="74" t="str">
        <f t="shared" ca="1" si="30"/>
        <v/>
      </c>
      <c r="AG404" s="74" t="str">
        <f t="shared" si="31"/>
        <v/>
      </c>
    </row>
    <row r="405" spans="24:33" x14ac:dyDescent="0.2">
      <c r="X405" s="166"/>
      <c r="AB405" s="73"/>
      <c r="AD405" s="74" t="str">
        <f t="shared" si="28"/>
        <v/>
      </c>
      <c r="AE405" s="74" t="str">
        <f t="shared" si="29"/>
        <v/>
      </c>
      <c r="AF405" s="74" t="str">
        <f t="shared" ca="1" si="30"/>
        <v/>
      </c>
      <c r="AG405" s="74" t="str">
        <f t="shared" si="31"/>
        <v/>
      </c>
    </row>
    <row r="406" spans="24:33" x14ac:dyDescent="0.2">
      <c r="X406" s="166"/>
      <c r="AB406" s="73"/>
      <c r="AD406" s="74" t="str">
        <f t="shared" si="28"/>
        <v/>
      </c>
      <c r="AE406" s="74" t="str">
        <f t="shared" si="29"/>
        <v/>
      </c>
      <c r="AF406" s="74" t="str">
        <f t="shared" ca="1" si="30"/>
        <v/>
      </c>
      <c r="AG406" s="74" t="str">
        <f t="shared" si="31"/>
        <v/>
      </c>
    </row>
    <row r="407" spans="24:33" x14ac:dyDescent="0.2">
      <c r="X407" s="166"/>
      <c r="AB407" s="73"/>
      <c r="AD407" s="74" t="str">
        <f t="shared" si="28"/>
        <v/>
      </c>
      <c r="AE407" s="74" t="str">
        <f t="shared" si="29"/>
        <v/>
      </c>
      <c r="AF407" s="74" t="str">
        <f t="shared" ca="1" si="30"/>
        <v/>
      </c>
      <c r="AG407" s="74" t="str">
        <f t="shared" si="31"/>
        <v/>
      </c>
    </row>
    <row r="408" spans="24:33" x14ac:dyDescent="0.2">
      <c r="X408" s="166"/>
      <c r="AB408" s="73"/>
      <c r="AD408" s="74" t="str">
        <f t="shared" si="28"/>
        <v/>
      </c>
      <c r="AE408" s="74" t="str">
        <f t="shared" si="29"/>
        <v/>
      </c>
      <c r="AF408" s="74" t="str">
        <f t="shared" ca="1" si="30"/>
        <v/>
      </c>
      <c r="AG408" s="74" t="str">
        <f t="shared" si="31"/>
        <v/>
      </c>
    </row>
    <row r="409" spans="24:33" x14ac:dyDescent="0.2">
      <c r="X409" s="166"/>
      <c r="AB409" s="73"/>
      <c r="AD409" s="74" t="str">
        <f t="shared" si="28"/>
        <v/>
      </c>
      <c r="AE409" s="74" t="str">
        <f t="shared" si="29"/>
        <v/>
      </c>
      <c r="AF409" s="74" t="str">
        <f t="shared" ca="1" si="30"/>
        <v/>
      </c>
      <c r="AG409" s="74" t="str">
        <f t="shared" si="31"/>
        <v/>
      </c>
    </row>
    <row r="410" spans="24:33" x14ac:dyDescent="0.2">
      <c r="X410" s="166"/>
      <c r="AB410" s="73"/>
      <c r="AD410" s="74" t="str">
        <f t="shared" si="28"/>
        <v/>
      </c>
      <c r="AE410" s="74" t="str">
        <f t="shared" si="29"/>
        <v/>
      </c>
      <c r="AF410" s="74" t="str">
        <f t="shared" ca="1" si="30"/>
        <v/>
      </c>
      <c r="AG410" s="74" t="str">
        <f t="shared" si="31"/>
        <v/>
      </c>
    </row>
    <row r="411" spans="24:33" x14ac:dyDescent="0.2">
      <c r="X411" s="166"/>
      <c r="AB411" s="73"/>
      <c r="AD411" s="74" t="str">
        <f t="shared" si="28"/>
        <v/>
      </c>
      <c r="AE411" s="74" t="str">
        <f t="shared" si="29"/>
        <v/>
      </c>
      <c r="AF411" s="74" t="str">
        <f t="shared" ca="1" si="30"/>
        <v/>
      </c>
      <c r="AG411" s="74" t="str">
        <f t="shared" si="31"/>
        <v/>
      </c>
    </row>
    <row r="412" spans="24:33" x14ac:dyDescent="0.2">
      <c r="X412" s="166"/>
      <c r="AB412" s="73"/>
      <c r="AD412" s="74" t="str">
        <f t="shared" si="28"/>
        <v/>
      </c>
      <c r="AE412" s="74" t="str">
        <f t="shared" si="29"/>
        <v/>
      </c>
      <c r="AF412" s="74" t="str">
        <f t="shared" ca="1" si="30"/>
        <v/>
      </c>
      <c r="AG412" s="74" t="str">
        <f t="shared" si="31"/>
        <v/>
      </c>
    </row>
    <row r="413" spans="24:33" x14ac:dyDescent="0.2">
      <c r="X413" s="166"/>
      <c r="AB413" s="73"/>
      <c r="AD413" s="74" t="str">
        <f t="shared" si="28"/>
        <v/>
      </c>
      <c r="AE413" s="74" t="str">
        <f t="shared" si="29"/>
        <v/>
      </c>
      <c r="AF413" s="74" t="str">
        <f t="shared" ca="1" si="30"/>
        <v/>
      </c>
      <c r="AG413" s="74" t="str">
        <f t="shared" si="31"/>
        <v/>
      </c>
    </row>
    <row r="414" spans="24:33" x14ac:dyDescent="0.2">
      <c r="X414" s="166"/>
      <c r="AB414" s="73"/>
      <c r="AD414" s="74" t="str">
        <f t="shared" si="28"/>
        <v/>
      </c>
      <c r="AE414" s="74" t="str">
        <f t="shared" si="29"/>
        <v/>
      </c>
      <c r="AF414" s="74" t="str">
        <f t="shared" ca="1" si="30"/>
        <v/>
      </c>
      <c r="AG414" s="74" t="str">
        <f t="shared" si="31"/>
        <v/>
      </c>
    </row>
    <row r="415" spans="24:33" x14ac:dyDescent="0.2">
      <c r="X415" s="166"/>
      <c r="AB415" s="73"/>
      <c r="AD415" s="74" t="str">
        <f t="shared" si="28"/>
        <v/>
      </c>
      <c r="AE415" s="74" t="str">
        <f t="shared" si="29"/>
        <v/>
      </c>
      <c r="AF415" s="74" t="str">
        <f t="shared" ca="1" si="30"/>
        <v/>
      </c>
      <c r="AG415" s="74" t="str">
        <f t="shared" si="31"/>
        <v/>
      </c>
    </row>
    <row r="416" spans="24:33" x14ac:dyDescent="0.2">
      <c r="X416" s="166"/>
      <c r="AB416" s="73"/>
      <c r="AD416" s="74" t="str">
        <f t="shared" si="28"/>
        <v/>
      </c>
      <c r="AE416" s="74" t="str">
        <f t="shared" si="29"/>
        <v/>
      </c>
      <c r="AF416" s="74" t="str">
        <f t="shared" ca="1" si="30"/>
        <v/>
      </c>
      <c r="AG416" s="74" t="str">
        <f t="shared" si="31"/>
        <v/>
      </c>
    </row>
    <row r="417" spans="24:33" x14ac:dyDescent="0.2">
      <c r="X417" s="166"/>
      <c r="AB417" s="73"/>
      <c r="AD417" s="74" t="str">
        <f t="shared" si="28"/>
        <v/>
      </c>
      <c r="AE417" s="74" t="str">
        <f t="shared" si="29"/>
        <v/>
      </c>
      <c r="AF417" s="74" t="str">
        <f t="shared" ca="1" si="30"/>
        <v/>
      </c>
      <c r="AG417" s="74" t="str">
        <f t="shared" si="31"/>
        <v/>
      </c>
    </row>
    <row r="418" spans="24:33" x14ac:dyDescent="0.2">
      <c r="X418" s="166"/>
      <c r="AB418" s="73"/>
      <c r="AD418" s="74" t="str">
        <f t="shared" si="28"/>
        <v/>
      </c>
      <c r="AE418" s="74" t="str">
        <f t="shared" si="29"/>
        <v/>
      </c>
      <c r="AF418" s="74" t="str">
        <f t="shared" ca="1" si="30"/>
        <v/>
      </c>
      <c r="AG418" s="74" t="str">
        <f t="shared" si="31"/>
        <v/>
      </c>
    </row>
    <row r="419" spans="24:33" x14ac:dyDescent="0.2">
      <c r="X419" s="166"/>
      <c r="AB419" s="73"/>
      <c r="AD419" s="74" t="str">
        <f t="shared" si="28"/>
        <v/>
      </c>
      <c r="AE419" s="74" t="str">
        <f t="shared" si="29"/>
        <v/>
      </c>
      <c r="AF419" s="74" t="str">
        <f t="shared" ca="1" si="30"/>
        <v/>
      </c>
      <c r="AG419" s="74" t="str">
        <f t="shared" si="31"/>
        <v/>
      </c>
    </row>
    <row r="420" spans="24:33" x14ac:dyDescent="0.2">
      <c r="X420" s="166"/>
      <c r="AB420" s="73"/>
      <c r="AD420" s="74" t="str">
        <f t="shared" si="28"/>
        <v/>
      </c>
      <c r="AE420" s="74" t="str">
        <f t="shared" si="29"/>
        <v/>
      </c>
      <c r="AF420" s="74" t="str">
        <f t="shared" ca="1" si="30"/>
        <v/>
      </c>
      <c r="AG420" s="74" t="str">
        <f t="shared" si="31"/>
        <v/>
      </c>
    </row>
    <row r="421" spans="24:33" x14ac:dyDescent="0.2">
      <c r="X421" s="166"/>
      <c r="AB421" s="73"/>
      <c r="AD421" s="74" t="str">
        <f t="shared" ref="AD421:AD484" si="32">IF(A:A&lt;&gt;"",(M421&amp;"-"&amp;N421),"")</f>
        <v/>
      </c>
      <c r="AE421" s="74" t="str">
        <f t="shared" ref="AE421:AE484" si="33">IF(F:F&lt;&gt;"",IF(F421="Other","Proactive",IF(F421="Proactive","Proactive","Reactive")),"")</f>
        <v/>
      </c>
      <c r="AF421" s="74" t="str">
        <f t="shared" ref="AF421:AF484" ca="1" si="34">IF(I:I&lt;&gt;"",(IF(E421&lt;&gt;"Closed",DATEDIF(I421,TODAY(),"d"),"")),"")</f>
        <v/>
      </c>
      <c r="AG421" s="74" t="str">
        <f t="shared" ref="AG421:AG484" si="35">IF(R:R&lt;&gt;"",DATEDIF(I421,R421,"d"),"")</f>
        <v/>
      </c>
    </row>
    <row r="422" spans="24:33" x14ac:dyDescent="0.2">
      <c r="X422" s="166"/>
      <c r="AB422" s="73"/>
      <c r="AD422" s="74" t="str">
        <f t="shared" si="32"/>
        <v/>
      </c>
      <c r="AE422" s="74" t="str">
        <f t="shared" si="33"/>
        <v/>
      </c>
      <c r="AF422" s="74" t="str">
        <f t="shared" ca="1" si="34"/>
        <v/>
      </c>
      <c r="AG422" s="74" t="str">
        <f t="shared" si="35"/>
        <v/>
      </c>
    </row>
    <row r="423" spans="24:33" x14ac:dyDescent="0.2">
      <c r="X423" s="166"/>
      <c r="AB423" s="73"/>
      <c r="AD423" s="74" t="str">
        <f t="shared" si="32"/>
        <v/>
      </c>
      <c r="AE423" s="74" t="str">
        <f t="shared" si="33"/>
        <v/>
      </c>
      <c r="AF423" s="74" t="str">
        <f t="shared" ca="1" si="34"/>
        <v/>
      </c>
      <c r="AG423" s="74" t="str">
        <f t="shared" si="35"/>
        <v/>
      </c>
    </row>
    <row r="424" spans="24:33" x14ac:dyDescent="0.2">
      <c r="X424" s="166"/>
      <c r="AB424" s="73"/>
      <c r="AD424" s="74" t="str">
        <f t="shared" si="32"/>
        <v/>
      </c>
      <c r="AE424" s="74" t="str">
        <f t="shared" si="33"/>
        <v/>
      </c>
      <c r="AF424" s="74" t="str">
        <f t="shared" ca="1" si="34"/>
        <v/>
      </c>
      <c r="AG424" s="74" t="str">
        <f t="shared" si="35"/>
        <v/>
      </c>
    </row>
    <row r="425" spans="24:33" x14ac:dyDescent="0.2">
      <c r="X425" s="166"/>
      <c r="AB425" s="73"/>
      <c r="AD425" s="74" t="str">
        <f t="shared" si="32"/>
        <v/>
      </c>
      <c r="AE425" s="74" t="str">
        <f t="shared" si="33"/>
        <v/>
      </c>
      <c r="AF425" s="74" t="str">
        <f t="shared" ca="1" si="34"/>
        <v/>
      </c>
      <c r="AG425" s="74" t="str">
        <f t="shared" si="35"/>
        <v/>
      </c>
    </row>
    <row r="426" spans="24:33" x14ac:dyDescent="0.2">
      <c r="X426" s="166"/>
      <c r="AB426" s="73"/>
      <c r="AD426" s="74" t="str">
        <f t="shared" si="32"/>
        <v/>
      </c>
      <c r="AE426" s="74" t="str">
        <f t="shared" si="33"/>
        <v/>
      </c>
      <c r="AF426" s="74" t="str">
        <f t="shared" ca="1" si="34"/>
        <v/>
      </c>
      <c r="AG426" s="74" t="str">
        <f t="shared" si="35"/>
        <v/>
      </c>
    </row>
    <row r="427" spans="24:33" x14ac:dyDescent="0.2">
      <c r="X427" s="166"/>
      <c r="AB427" s="73"/>
      <c r="AD427" s="74" t="str">
        <f t="shared" si="32"/>
        <v/>
      </c>
      <c r="AE427" s="74" t="str">
        <f t="shared" si="33"/>
        <v/>
      </c>
      <c r="AF427" s="74" t="str">
        <f t="shared" ca="1" si="34"/>
        <v/>
      </c>
      <c r="AG427" s="74" t="str">
        <f t="shared" si="35"/>
        <v/>
      </c>
    </row>
    <row r="428" spans="24:33" x14ac:dyDescent="0.2">
      <c r="X428" s="166"/>
      <c r="AB428" s="73"/>
      <c r="AD428" s="74" t="str">
        <f t="shared" si="32"/>
        <v/>
      </c>
      <c r="AE428" s="74" t="str">
        <f t="shared" si="33"/>
        <v/>
      </c>
      <c r="AF428" s="74" t="str">
        <f t="shared" ca="1" si="34"/>
        <v/>
      </c>
      <c r="AG428" s="74" t="str">
        <f t="shared" si="35"/>
        <v/>
      </c>
    </row>
    <row r="429" spans="24:33" x14ac:dyDescent="0.2">
      <c r="X429" s="166"/>
      <c r="AB429" s="73"/>
      <c r="AD429" s="74" t="str">
        <f t="shared" si="32"/>
        <v/>
      </c>
      <c r="AE429" s="74" t="str">
        <f t="shared" si="33"/>
        <v/>
      </c>
      <c r="AF429" s="74" t="str">
        <f t="shared" ca="1" si="34"/>
        <v/>
      </c>
      <c r="AG429" s="74" t="str">
        <f t="shared" si="35"/>
        <v/>
      </c>
    </row>
    <row r="430" spans="24:33" x14ac:dyDescent="0.2">
      <c r="X430" s="166"/>
      <c r="AB430" s="73"/>
      <c r="AD430" s="74" t="str">
        <f t="shared" si="32"/>
        <v/>
      </c>
      <c r="AE430" s="74" t="str">
        <f t="shared" si="33"/>
        <v/>
      </c>
      <c r="AF430" s="74" t="str">
        <f t="shared" ca="1" si="34"/>
        <v/>
      </c>
      <c r="AG430" s="74" t="str">
        <f t="shared" si="35"/>
        <v/>
      </c>
    </row>
    <row r="431" spans="24:33" x14ac:dyDescent="0.2">
      <c r="X431" s="166"/>
      <c r="AB431" s="73"/>
      <c r="AD431" s="74" t="str">
        <f t="shared" si="32"/>
        <v/>
      </c>
      <c r="AE431" s="74" t="str">
        <f t="shared" si="33"/>
        <v/>
      </c>
      <c r="AF431" s="74" t="str">
        <f t="shared" ca="1" si="34"/>
        <v/>
      </c>
      <c r="AG431" s="74" t="str">
        <f t="shared" si="35"/>
        <v/>
      </c>
    </row>
    <row r="432" spans="24:33" x14ac:dyDescent="0.2">
      <c r="X432" s="166"/>
      <c r="AB432" s="73"/>
      <c r="AD432" s="74" t="str">
        <f t="shared" si="32"/>
        <v/>
      </c>
      <c r="AE432" s="74" t="str">
        <f t="shared" si="33"/>
        <v/>
      </c>
      <c r="AF432" s="74" t="str">
        <f t="shared" ca="1" si="34"/>
        <v/>
      </c>
      <c r="AG432" s="74" t="str">
        <f t="shared" si="35"/>
        <v/>
      </c>
    </row>
    <row r="433" spans="24:33" x14ac:dyDescent="0.2">
      <c r="X433" s="166"/>
      <c r="AB433" s="73"/>
      <c r="AD433" s="74" t="str">
        <f t="shared" si="32"/>
        <v/>
      </c>
      <c r="AE433" s="74" t="str">
        <f t="shared" si="33"/>
        <v/>
      </c>
      <c r="AF433" s="74" t="str">
        <f t="shared" ca="1" si="34"/>
        <v/>
      </c>
      <c r="AG433" s="74" t="str">
        <f t="shared" si="35"/>
        <v/>
      </c>
    </row>
    <row r="434" spans="24:33" x14ac:dyDescent="0.2">
      <c r="X434" s="166"/>
      <c r="AB434" s="73"/>
      <c r="AD434" s="74" t="str">
        <f t="shared" si="32"/>
        <v/>
      </c>
      <c r="AE434" s="74" t="str">
        <f t="shared" si="33"/>
        <v/>
      </c>
      <c r="AF434" s="74" t="str">
        <f t="shared" ca="1" si="34"/>
        <v/>
      </c>
      <c r="AG434" s="74" t="str">
        <f t="shared" si="35"/>
        <v/>
      </c>
    </row>
    <row r="435" spans="24:33" x14ac:dyDescent="0.2">
      <c r="X435" s="166"/>
      <c r="AB435" s="73"/>
      <c r="AD435" s="74" t="str">
        <f t="shared" si="32"/>
        <v/>
      </c>
      <c r="AE435" s="74" t="str">
        <f t="shared" si="33"/>
        <v/>
      </c>
      <c r="AF435" s="74" t="str">
        <f t="shared" ca="1" si="34"/>
        <v/>
      </c>
      <c r="AG435" s="74" t="str">
        <f t="shared" si="35"/>
        <v/>
      </c>
    </row>
    <row r="436" spans="24:33" x14ac:dyDescent="0.2">
      <c r="X436" s="166"/>
      <c r="AB436" s="73"/>
      <c r="AD436" s="74" t="str">
        <f t="shared" si="32"/>
        <v/>
      </c>
      <c r="AE436" s="74" t="str">
        <f t="shared" si="33"/>
        <v/>
      </c>
      <c r="AF436" s="74" t="str">
        <f t="shared" ca="1" si="34"/>
        <v/>
      </c>
      <c r="AG436" s="74" t="str">
        <f t="shared" si="35"/>
        <v/>
      </c>
    </row>
    <row r="437" spans="24:33" x14ac:dyDescent="0.2">
      <c r="X437" s="166"/>
      <c r="AB437" s="73"/>
      <c r="AD437" s="74" t="str">
        <f t="shared" si="32"/>
        <v/>
      </c>
      <c r="AE437" s="74" t="str">
        <f t="shared" si="33"/>
        <v/>
      </c>
      <c r="AF437" s="74" t="str">
        <f t="shared" ca="1" si="34"/>
        <v/>
      </c>
      <c r="AG437" s="74" t="str">
        <f t="shared" si="35"/>
        <v/>
      </c>
    </row>
    <row r="438" spans="24:33" x14ac:dyDescent="0.2">
      <c r="X438" s="166"/>
      <c r="AB438" s="73"/>
      <c r="AD438" s="74" t="str">
        <f t="shared" si="32"/>
        <v/>
      </c>
      <c r="AE438" s="74" t="str">
        <f t="shared" si="33"/>
        <v/>
      </c>
      <c r="AF438" s="74" t="str">
        <f t="shared" ca="1" si="34"/>
        <v/>
      </c>
      <c r="AG438" s="74" t="str">
        <f t="shared" si="35"/>
        <v/>
      </c>
    </row>
    <row r="439" spans="24:33" x14ac:dyDescent="0.2">
      <c r="X439" s="166"/>
      <c r="AB439" s="73"/>
      <c r="AD439" s="74" t="str">
        <f t="shared" si="32"/>
        <v/>
      </c>
      <c r="AE439" s="74" t="str">
        <f t="shared" si="33"/>
        <v/>
      </c>
      <c r="AF439" s="74" t="str">
        <f t="shared" ca="1" si="34"/>
        <v/>
      </c>
      <c r="AG439" s="74" t="str">
        <f t="shared" si="35"/>
        <v/>
      </c>
    </row>
    <row r="440" spans="24:33" x14ac:dyDescent="0.2">
      <c r="X440" s="166"/>
      <c r="AB440" s="73"/>
      <c r="AD440" s="74" t="str">
        <f t="shared" si="32"/>
        <v/>
      </c>
      <c r="AE440" s="74" t="str">
        <f t="shared" si="33"/>
        <v/>
      </c>
      <c r="AF440" s="74" t="str">
        <f t="shared" ca="1" si="34"/>
        <v/>
      </c>
      <c r="AG440" s="74" t="str">
        <f t="shared" si="35"/>
        <v/>
      </c>
    </row>
    <row r="441" spans="24:33" x14ac:dyDescent="0.2">
      <c r="X441" s="166"/>
      <c r="AB441" s="73"/>
      <c r="AD441" s="74" t="str">
        <f t="shared" si="32"/>
        <v/>
      </c>
      <c r="AE441" s="74" t="str">
        <f t="shared" si="33"/>
        <v/>
      </c>
      <c r="AF441" s="74" t="str">
        <f t="shared" ca="1" si="34"/>
        <v/>
      </c>
      <c r="AG441" s="74" t="str">
        <f t="shared" si="35"/>
        <v/>
      </c>
    </row>
    <row r="442" spans="24:33" x14ac:dyDescent="0.2">
      <c r="X442" s="166"/>
      <c r="AB442" s="73"/>
      <c r="AD442" s="74" t="str">
        <f t="shared" si="32"/>
        <v/>
      </c>
      <c r="AE442" s="74" t="str">
        <f t="shared" si="33"/>
        <v/>
      </c>
      <c r="AF442" s="74" t="str">
        <f t="shared" ca="1" si="34"/>
        <v/>
      </c>
      <c r="AG442" s="74" t="str">
        <f t="shared" si="35"/>
        <v/>
      </c>
    </row>
    <row r="443" spans="24:33" x14ac:dyDescent="0.2">
      <c r="X443" s="166"/>
      <c r="AB443" s="73"/>
      <c r="AD443" s="74" t="str">
        <f t="shared" si="32"/>
        <v/>
      </c>
      <c r="AE443" s="74" t="str">
        <f t="shared" si="33"/>
        <v/>
      </c>
      <c r="AF443" s="74" t="str">
        <f t="shared" ca="1" si="34"/>
        <v/>
      </c>
      <c r="AG443" s="74" t="str">
        <f t="shared" si="35"/>
        <v/>
      </c>
    </row>
    <row r="444" spans="24:33" x14ac:dyDescent="0.2">
      <c r="X444" s="166"/>
      <c r="AB444" s="73"/>
      <c r="AD444" s="74" t="str">
        <f t="shared" si="32"/>
        <v/>
      </c>
      <c r="AE444" s="74" t="str">
        <f t="shared" si="33"/>
        <v/>
      </c>
      <c r="AF444" s="74" t="str">
        <f t="shared" ca="1" si="34"/>
        <v/>
      </c>
      <c r="AG444" s="74" t="str">
        <f t="shared" si="35"/>
        <v/>
      </c>
    </row>
    <row r="445" spans="24:33" x14ac:dyDescent="0.2">
      <c r="X445" s="166"/>
      <c r="AB445" s="73"/>
      <c r="AD445" s="74" t="str">
        <f t="shared" si="32"/>
        <v/>
      </c>
      <c r="AE445" s="74" t="str">
        <f t="shared" si="33"/>
        <v/>
      </c>
      <c r="AF445" s="74" t="str">
        <f t="shared" ca="1" si="34"/>
        <v/>
      </c>
      <c r="AG445" s="74" t="str">
        <f t="shared" si="35"/>
        <v/>
      </c>
    </row>
    <row r="446" spans="24:33" x14ac:dyDescent="0.2">
      <c r="X446" s="166"/>
      <c r="AB446" s="73"/>
      <c r="AD446" s="74" t="str">
        <f t="shared" si="32"/>
        <v/>
      </c>
      <c r="AE446" s="74" t="str">
        <f t="shared" si="33"/>
        <v/>
      </c>
      <c r="AF446" s="74" t="str">
        <f t="shared" ca="1" si="34"/>
        <v/>
      </c>
      <c r="AG446" s="74" t="str">
        <f t="shared" si="35"/>
        <v/>
      </c>
    </row>
    <row r="447" spans="24:33" x14ac:dyDescent="0.2">
      <c r="X447" s="166"/>
      <c r="AB447" s="73"/>
      <c r="AD447" s="74" t="str">
        <f t="shared" si="32"/>
        <v/>
      </c>
      <c r="AE447" s="74" t="str">
        <f t="shared" si="33"/>
        <v/>
      </c>
      <c r="AF447" s="74" t="str">
        <f t="shared" ca="1" si="34"/>
        <v/>
      </c>
      <c r="AG447" s="74" t="str">
        <f t="shared" si="35"/>
        <v/>
      </c>
    </row>
    <row r="448" spans="24:33" x14ac:dyDescent="0.2">
      <c r="X448" s="166"/>
      <c r="AB448" s="73"/>
      <c r="AD448" s="74" t="str">
        <f t="shared" si="32"/>
        <v/>
      </c>
      <c r="AE448" s="74" t="str">
        <f t="shared" si="33"/>
        <v/>
      </c>
      <c r="AF448" s="74" t="str">
        <f t="shared" ca="1" si="34"/>
        <v/>
      </c>
      <c r="AG448" s="74" t="str">
        <f t="shared" si="35"/>
        <v/>
      </c>
    </row>
    <row r="449" spans="24:33" x14ac:dyDescent="0.2">
      <c r="X449" s="166"/>
      <c r="AB449" s="73"/>
      <c r="AD449" s="74" t="str">
        <f t="shared" si="32"/>
        <v/>
      </c>
      <c r="AE449" s="74" t="str">
        <f t="shared" si="33"/>
        <v/>
      </c>
      <c r="AF449" s="74" t="str">
        <f t="shared" ca="1" si="34"/>
        <v/>
      </c>
      <c r="AG449" s="74" t="str">
        <f t="shared" si="35"/>
        <v/>
      </c>
    </row>
    <row r="450" spans="24:33" x14ac:dyDescent="0.2">
      <c r="X450" s="166"/>
      <c r="AB450" s="73"/>
      <c r="AD450" s="74" t="str">
        <f t="shared" si="32"/>
        <v/>
      </c>
      <c r="AE450" s="74" t="str">
        <f t="shared" si="33"/>
        <v/>
      </c>
      <c r="AF450" s="74" t="str">
        <f t="shared" ca="1" si="34"/>
        <v/>
      </c>
      <c r="AG450" s="74" t="str">
        <f t="shared" si="35"/>
        <v/>
      </c>
    </row>
    <row r="451" spans="24:33" x14ac:dyDescent="0.2">
      <c r="X451" s="166"/>
      <c r="AB451" s="73"/>
      <c r="AD451" s="74" t="str">
        <f t="shared" si="32"/>
        <v/>
      </c>
      <c r="AE451" s="74" t="str">
        <f t="shared" si="33"/>
        <v/>
      </c>
      <c r="AF451" s="74" t="str">
        <f t="shared" ca="1" si="34"/>
        <v/>
      </c>
      <c r="AG451" s="74" t="str">
        <f t="shared" si="35"/>
        <v/>
      </c>
    </row>
    <row r="452" spans="24:33" x14ac:dyDescent="0.2">
      <c r="X452" s="166"/>
      <c r="AB452" s="73"/>
      <c r="AD452" s="74" t="str">
        <f t="shared" si="32"/>
        <v/>
      </c>
      <c r="AE452" s="74" t="str">
        <f t="shared" si="33"/>
        <v/>
      </c>
      <c r="AF452" s="74" t="str">
        <f t="shared" ca="1" si="34"/>
        <v/>
      </c>
      <c r="AG452" s="74" t="str">
        <f t="shared" si="35"/>
        <v/>
      </c>
    </row>
    <row r="453" spans="24:33" x14ac:dyDescent="0.2">
      <c r="X453" s="166"/>
      <c r="AB453" s="73"/>
      <c r="AD453" s="74" t="str">
        <f t="shared" si="32"/>
        <v/>
      </c>
      <c r="AE453" s="74" t="str">
        <f t="shared" si="33"/>
        <v/>
      </c>
      <c r="AF453" s="74" t="str">
        <f t="shared" ca="1" si="34"/>
        <v/>
      </c>
      <c r="AG453" s="74" t="str">
        <f t="shared" si="35"/>
        <v/>
      </c>
    </row>
    <row r="454" spans="24:33" x14ac:dyDescent="0.2">
      <c r="X454" s="166"/>
      <c r="AB454" s="73"/>
      <c r="AD454" s="74" t="str">
        <f t="shared" si="32"/>
        <v/>
      </c>
      <c r="AE454" s="74" t="str">
        <f t="shared" si="33"/>
        <v/>
      </c>
      <c r="AF454" s="74" t="str">
        <f t="shared" ca="1" si="34"/>
        <v/>
      </c>
      <c r="AG454" s="74" t="str">
        <f t="shared" si="35"/>
        <v/>
      </c>
    </row>
    <row r="455" spans="24:33" x14ac:dyDescent="0.2">
      <c r="X455" s="166"/>
      <c r="AB455" s="73"/>
      <c r="AD455" s="74" t="str">
        <f t="shared" si="32"/>
        <v/>
      </c>
      <c r="AE455" s="74" t="str">
        <f t="shared" si="33"/>
        <v/>
      </c>
      <c r="AF455" s="74" t="str">
        <f t="shared" ca="1" si="34"/>
        <v/>
      </c>
      <c r="AG455" s="74" t="str">
        <f t="shared" si="35"/>
        <v/>
      </c>
    </row>
    <row r="456" spans="24:33" x14ac:dyDescent="0.2">
      <c r="X456" s="166"/>
      <c r="AB456" s="73"/>
      <c r="AD456" s="74" t="str">
        <f t="shared" si="32"/>
        <v/>
      </c>
      <c r="AE456" s="74" t="str">
        <f t="shared" si="33"/>
        <v/>
      </c>
      <c r="AF456" s="74" t="str">
        <f t="shared" ca="1" si="34"/>
        <v/>
      </c>
      <c r="AG456" s="74" t="str">
        <f t="shared" si="35"/>
        <v/>
      </c>
    </row>
    <row r="457" spans="24:33" x14ac:dyDescent="0.2">
      <c r="X457" s="166"/>
      <c r="AB457" s="73"/>
      <c r="AD457" s="74" t="str">
        <f t="shared" si="32"/>
        <v/>
      </c>
      <c r="AE457" s="74" t="str">
        <f t="shared" si="33"/>
        <v/>
      </c>
      <c r="AF457" s="74" t="str">
        <f t="shared" ca="1" si="34"/>
        <v/>
      </c>
      <c r="AG457" s="74" t="str">
        <f t="shared" si="35"/>
        <v/>
      </c>
    </row>
    <row r="458" spans="24:33" x14ac:dyDescent="0.2">
      <c r="X458" s="166"/>
      <c r="AB458" s="73"/>
      <c r="AD458" s="74" t="str">
        <f t="shared" si="32"/>
        <v/>
      </c>
      <c r="AE458" s="74" t="str">
        <f t="shared" si="33"/>
        <v/>
      </c>
      <c r="AF458" s="74" t="str">
        <f t="shared" ca="1" si="34"/>
        <v/>
      </c>
      <c r="AG458" s="74" t="str">
        <f t="shared" si="35"/>
        <v/>
      </c>
    </row>
    <row r="459" spans="24:33" x14ac:dyDescent="0.2">
      <c r="X459" s="166"/>
      <c r="AB459" s="73"/>
      <c r="AD459" s="74" t="str">
        <f t="shared" si="32"/>
        <v/>
      </c>
      <c r="AE459" s="74" t="str">
        <f t="shared" si="33"/>
        <v/>
      </c>
      <c r="AF459" s="74" t="str">
        <f t="shared" ca="1" si="34"/>
        <v/>
      </c>
      <c r="AG459" s="74" t="str">
        <f t="shared" si="35"/>
        <v/>
      </c>
    </row>
    <row r="460" spans="24:33" x14ac:dyDescent="0.2">
      <c r="X460" s="166"/>
      <c r="AB460" s="73"/>
      <c r="AD460" s="74" t="str">
        <f t="shared" si="32"/>
        <v/>
      </c>
      <c r="AE460" s="74" t="str">
        <f t="shared" si="33"/>
        <v/>
      </c>
      <c r="AF460" s="74" t="str">
        <f t="shared" ca="1" si="34"/>
        <v/>
      </c>
      <c r="AG460" s="74" t="str">
        <f t="shared" si="35"/>
        <v/>
      </c>
    </row>
    <row r="461" spans="24:33" x14ac:dyDescent="0.2">
      <c r="X461" s="166"/>
      <c r="AB461" s="73"/>
      <c r="AD461" s="74" t="str">
        <f t="shared" si="32"/>
        <v/>
      </c>
      <c r="AE461" s="74" t="str">
        <f t="shared" si="33"/>
        <v/>
      </c>
      <c r="AF461" s="74" t="str">
        <f t="shared" ca="1" si="34"/>
        <v/>
      </c>
      <c r="AG461" s="74" t="str">
        <f t="shared" si="35"/>
        <v/>
      </c>
    </row>
    <row r="462" spans="24:33" x14ac:dyDescent="0.2">
      <c r="X462" s="166"/>
      <c r="AB462" s="73"/>
      <c r="AD462" s="74" t="str">
        <f t="shared" si="32"/>
        <v/>
      </c>
      <c r="AE462" s="74" t="str">
        <f t="shared" si="33"/>
        <v/>
      </c>
      <c r="AF462" s="74" t="str">
        <f t="shared" ca="1" si="34"/>
        <v/>
      </c>
      <c r="AG462" s="74" t="str">
        <f t="shared" si="35"/>
        <v/>
      </c>
    </row>
    <row r="463" spans="24:33" x14ac:dyDescent="0.2">
      <c r="X463" s="166"/>
      <c r="AB463" s="73"/>
      <c r="AD463" s="74" t="str">
        <f t="shared" si="32"/>
        <v/>
      </c>
      <c r="AE463" s="74" t="str">
        <f t="shared" si="33"/>
        <v/>
      </c>
      <c r="AF463" s="74" t="str">
        <f t="shared" ca="1" si="34"/>
        <v/>
      </c>
      <c r="AG463" s="74" t="str">
        <f t="shared" si="35"/>
        <v/>
      </c>
    </row>
    <row r="464" spans="24:33" x14ac:dyDescent="0.2">
      <c r="X464" s="166"/>
      <c r="AB464" s="73"/>
      <c r="AD464" s="74" t="str">
        <f t="shared" si="32"/>
        <v/>
      </c>
      <c r="AE464" s="74" t="str">
        <f t="shared" si="33"/>
        <v/>
      </c>
      <c r="AF464" s="74" t="str">
        <f t="shared" ca="1" si="34"/>
        <v/>
      </c>
      <c r="AG464" s="74" t="str">
        <f t="shared" si="35"/>
        <v/>
      </c>
    </row>
    <row r="465" spans="24:33" x14ac:dyDescent="0.2">
      <c r="X465" s="166"/>
      <c r="AB465" s="73"/>
      <c r="AD465" s="74" t="str">
        <f t="shared" si="32"/>
        <v/>
      </c>
      <c r="AE465" s="74" t="str">
        <f t="shared" si="33"/>
        <v/>
      </c>
      <c r="AF465" s="74" t="str">
        <f t="shared" ca="1" si="34"/>
        <v/>
      </c>
      <c r="AG465" s="74" t="str">
        <f t="shared" si="35"/>
        <v/>
      </c>
    </row>
    <row r="466" spans="24:33" x14ac:dyDescent="0.2">
      <c r="X466" s="166"/>
      <c r="AB466" s="73"/>
      <c r="AD466" s="74" t="str">
        <f t="shared" si="32"/>
        <v/>
      </c>
      <c r="AE466" s="74" t="str">
        <f t="shared" si="33"/>
        <v/>
      </c>
      <c r="AF466" s="74" t="str">
        <f t="shared" ca="1" si="34"/>
        <v/>
      </c>
      <c r="AG466" s="74" t="str">
        <f t="shared" si="35"/>
        <v/>
      </c>
    </row>
    <row r="467" spans="24:33" x14ac:dyDescent="0.2">
      <c r="X467" s="166"/>
      <c r="AB467" s="73"/>
      <c r="AD467" s="74" t="str">
        <f t="shared" si="32"/>
        <v/>
      </c>
      <c r="AE467" s="74" t="str">
        <f t="shared" si="33"/>
        <v/>
      </c>
      <c r="AF467" s="74" t="str">
        <f t="shared" ca="1" si="34"/>
        <v/>
      </c>
      <c r="AG467" s="74" t="str">
        <f t="shared" si="35"/>
        <v/>
      </c>
    </row>
    <row r="468" spans="24:33" x14ac:dyDescent="0.2">
      <c r="X468" s="166"/>
      <c r="AB468" s="73"/>
      <c r="AD468" s="74" t="str">
        <f t="shared" si="32"/>
        <v/>
      </c>
      <c r="AE468" s="74" t="str">
        <f t="shared" si="33"/>
        <v/>
      </c>
      <c r="AF468" s="74" t="str">
        <f t="shared" ca="1" si="34"/>
        <v/>
      </c>
      <c r="AG468" s="74" t="str">
        <f t="shared" si="35"/>
        <v/>
      </c>
    </row>
    <row r="469" spans="24:33" x14ac:dyDescent="0.2">
      <c r="X469" s="166"/>
      <c r="AB469" s="73"/>
      <c r="AD469" s="74" t="str">
        <f t="shared" si="32"/>
        <v/>
      </c>
      <c r="AE469" s="74" t="str">
        <f t="shared" si="33"/>
        <v/>
      </c>
      <c r="AF469" s="74" t="str">
        <f t="shared" ca="1" si="34"/>
        <v/>
      </c>
      <c r="AG469" s="74" t="str">
        <f t="shared" si="35"/>
        <v/>
      </c>
    </row>
    <row r="470" spans="24:33" x14ac:dyDescent="0.2">
      <c r="X470" s="166"/>
      <c r="AB470" s="73"/>
      <c r="AD470" s="74" t="str">
        <f t="shared" si="32"/>
        <v/>
      </c>
      <c r="AE470" s="74" t="str">
        <f t="shared" si="33"/>
        <v/>
      </c>
      <c r="AF470" s="74" t="str">
        <f t="shared" ca="1" si="34"/>
        <v/>
      </c>
      <c r="AG470" s="74" t="str">
        <f t="shared" si="35"/>
        <v/>
      </c>
    </row>
    <row r="471" spans="24:33" x14ac:dyDescent="0.2">
      <c r="X471" s="166"/>
      <c r="AB471" s="73"/>
      <c r="AD471" s="74" t="str">
        <f t="shared" si="32"/>
        <v/>
      </c>
      <c r="AE471" s="74" t="str">
        <f t="shared" si="33"/>
        <v/>
      </c>
      <c r="AF471" s="74" t="str">
        <f t="shared" ca="1" si="34"/>
        <v/>
      </c>
      <c r="AG471" s="74" t="str">
        <f t="shared" si="35"/>
        <v/>
      </c>
    </row>
    <row r="472" spans="24:33" x14ac:dyDescent="0.2">
      <c r="X472" s="166"/>
      <c r="AB472" s="73"/>
      <c r="AD472" s="74" t="str">
        <f t="shared" si="32"/>
        <v/>
      </c>
      <c r="AE472" s="74" t="str">
        <f t="shared" si="33"/>
        <v/>
      </c>
      <c r="AF472" s="74" t="str">
        <f t="shared" ca="1" si="34"/>
        <v/>
      </c>
      <c r="AG472" s="74" t="str">
        <f t="shared" si="35"/>
        <v/>
      </c>
    </row>
    <row r="473" spans="24:33" x14ac:dyDescent="0.2">
      <c r="X473" s="166"/>
      <c r="AB473" s="73"/>
      <c r="AD473" s="74" t="str">
        <f t="shared" si="32"/>
        <v/>
      </c>
      <c r="AE473" s="74" t="str">
        <f t="shared" si="33"/>
        <v/>
      </c>
      <c r="AF473" s="74" t="str">
        <f t="shared" ca="1" si="34"/>
        <v/>
      </c>
      <c r="AG473" s="74" t="str">
        <f t="shared" si="35"/>
        <v/>
      </c>
    </row>
    <row r="474" spans="24:33" x14ac:dyDescent="0.2">
      <c r="X474" s="166"/>
      <c r="AB474" s="73"/>
      <c r="AD474" s="74" t="str">
        <f t="shared" si="32"/>
        <v/>
      </c>
      <c r="AE474" s="74" t="str">
        <f t="shared" si="33"/>
        <v/>
      </c>
      <c r="AF474" s="74" t="str">
        <f t="shared" ca="1" si="34"/>
        <v/>
      </c>
      <c r="AG474" s="74" t="str">
        <f t="shared" si="35"/>
        <v/>
      </c>
    </row>
    <row r="475" spans="24:33" x14ac:dyDescent="0.2">
      <c r="X475" s="166"/>
      <c r="AB475" s="73"/>
      <c r="AD475" s="74" t="str">
        <f t="shared" si="32"/>
        <v/>
      </c>
      <c r="AE475" s="74" t="str">
        <f t="shared" si="33"/>
        <v/>
      </c>
      <c r="AF475" s="74" t="str">
        <f t="shared" ca="1" si="34"/>
        <v/>
      </c>
      <c r="AG475" s="74" t="str">
        <f t="shared" si="35"/>
        <v/>
      </c>
    </row>
    <row r="476" spans="24:33" x14ac:dyDescent="0.2">
      <c r="X476" s="166"/>
      <c r="AB476" s="73"/>
      <c r="AD476" s="74" t="str">
        <f t="shared" si="32"/>
        <v/>
      </c>
      <c r="AE476" s="74" t="str">
        <f t="shared" si="33"/>
        <v/>
      </c>
      <c r="AF476" s="74" t="str">
        <f t="shared" ca="1" si="34"/>
        <v/>
      </c>
      <c r="AG476" s="74" t="str">
        <f t="shared" si="35"/>
        <v/>
      </c>
    </row>
    <row r="477" spans="24:33" x14ac:dyDescent="0.2">
      <c r="X477" s="166"/>
      <c r="AB477" s="73"/>
      <c r="AD477" s="74" t="str">
        <f t="shared" si="32"/>
        <v/>
      </c>
      <c r="AE477" s="74" t="str">
        <f t="shared" si="33"/>
        <v/>
      </c>
      <c r="AF477" s="74" t="str">
        <f t="shared" ca="1" si="34"/>
        <v/>
      </c>
      <c r="AG477" s="74" t="str">
        <f t="shared" si="35"/>
        <v/>
      </c>
    </row>
    <row r="478" spans="24:33" x14ac:dyDescent="0.2">
      <c r="X478" s="166"/>
      <c r="AB478" s="73"/>
      <c r="AD478" s="74" t="str">
        <f t="shared" si="32"/>
        <v/>
      </c>
      <c r="AE478" s="74" t="str">
        <f t="shared" si="33"/>
        <v/>
      </c>
      <c r="AF478" s="74" t="str">
        <f t="shared" ca="1" si="34"/>
        <v/>
      </c>
      <c r="AG478" s="74" t="str">
        <f t="shared" si="35"/>
        <v/>
      </c>
    </row>
    <row r="479" spans="24:33" x14ac:dyDescent="0.2">
      <c r="X479" s="166"/>
      <c r="AB479" s="73"/>
      <c r="AD479" s="74" t="str">
        <f t="shared" si="32"/>
        <v/>
      </c>
      <c r="AE479" s="74" t="str">
        <f t="shared" si="33"/>
        <v/>
      </c>
      <c r="AF479" s="74" t="str">
        <f t="shared" ca="1" si="34"/>
        <v/>
      </c>
      <c r="AG479" s="74" t="str">
        <f t="shared" si="35"/>
        <v/>
      </c>
    </row>
    <row r="480" spans="24:33" x14ac:dyDescent="0.2">
      <c r="X480" s="166"/>
      <c r="AB480" s="73"/>
      <c r="AD480" s="74" t="str">
        <f t="shared" si="32"/>
        <v/>
      </c>
      <c r="AE480" s="74" t="str">
        <f t="shared" si="33"/>
        <v/>
      </c>
      <c r="AF480" s="74" t="str">
        <f t="shared" ca="1" si="34"/>
        <v/>
      </c>
      <c r="AG480" s="74" t="str">
        <f t="shared" si="35"/>
        <v/>
      </c>
    </row>
    <row r="481" spans="24:33" x14ac:dyDescent="0.2">
      <c r="X481" s="166"/>
      <c r="AB481" s="73"/>
      <c r="AD481" s="74" t="str">
        <f t="shared" si="32"/>
        <v/>
      </c>
      <c r="AE481" s="74" t="str">
        <f t="shared" si="33"/>
        <v/>
      </c>
      <c r="AF481" s="74" t="str">
        <f t="shared" ca="1" si="34"/>
        <v/>
      </c>
      <c r="AG481" s="74" t="str">
        <f t="shared" si="35"/>
        <v/>
      </c>
    </row>
    <row r="482" spans="24:33" x14ac:dyDescent="0.2">
      <c r="X482" s="166"/>
      <c r="AB482" s="73"/>
      <c r="AD482" s="74" t="str">
        <f t="shared" si="32"/>
        <v/>
      </c>
      <c r="AE482" s="74" t="str">
        <f t="shared" si="33"/>
        <v/>
      </c>
      <c r="AF482" s="74" t="str">
        <f t="shared" ca="1" si="34"/>
        <v/>
      </c>
      <c r="AG482" s="74" t="str">
        <f t="shared" si="35"/>
        <v/>
      </c>
    </row>
    <row r="483" spans="24:33" x14ac:dyDescent="0.2">
      <c r="X483" s="166"/>
      <c r="AB483" s="73"/>
      <c r="AD483" s="74" t="str">
        <f t="shared" si="32"/>
        <v/>
      </c>
      <c r="AE483" s="74" t="str">
        <f t="shared" si="33"/>
        <v/>
      </c>
      <c r="AF483" s="74" t="str">
        <f t="shared" ca="1" si="34"/>
        <v/>
      </c>
      <c r="AG483" s="74" t="str">
        <f t="shared" si="35"/>
        <v/>
      </c>
    </row>
    <row r="484" spans="24:33" x14ac:dyDescent="0.2">
      <c r="X484" s="166"/>
      <c r="AB484" s="73"/>
      <c r="AD484" s="74" t="str">
        <f t="shared" si="32"/>
        <v/>
      </c>
      <c r="AE484" s="74" t="str">
        <f t="shared" si="33"/>
        <v/>
      </c>
      <c r="AF484" s="74" t="str">
        <f t="shared" ca="1" si="34"/>
        <v/>
      </c>
      <c r="AG484" s="74" t="str">
        <f t="shared" si="35"/>
        <v/>
      </c>
    </row>
    <row r="485" spans="24:33" x14ac:dyDescent="0.2">
      <c r="X485" s="166"/>
      <c r="AB485" s="73"/>
      <c r="AD485" s="74" t="str">
        <f t="shared" ref="AD485:AD500" si="36">IF(A:A&lt;&gt;"",(M485&amp;"-"&amp;N485),"")</f>
        <v/>
      </c>
      <c r="AE485" s="74" t="str">
        <f t="shared" ref="AE485:AE500" si="37">IF(F:F&lt;&gt;"",IF(F485="Other","Proactive",IF(F485="Proactive","Proactive","Reactive")),"")</f>
        <v/>
      </c>
      <c r="AF485" s="74" t="str">
        <f t="shared" ref="AF485:AF500" ca="1" si="38">IF(I:I&lt;&gt;"",(IF(E485&lt;&gt;"Closed",DATEDIF(I485,TODAY(),"d"),"")),"")</f>
        <v/>
      </c>
      <c r="AG485" s="74" t="str">
        <f t="shared" ref="AG485:AG500" si="39">IF(R:R&lt;&gt;"",DATEDIF(I485,R485,"d"),"")</f>
        <v/>
      </c>
    </row>
    <row r="486" spans="24:33" x14ac:dyDescent="0.2">
      <c r="X486" s="166"/>
      <c r="AB486" s="73"/>
      <c r="AD486" s="74" t="str">
        <f t="shared" si="36"/>
        <v/>
      </c>
      <c r="AE486" s="74" t="str">
        <f t="shared" si="37"/>
        <v/>
      </c>
      <c r="AF486" s="74" t="str">
        <f t="shared" ca="1" si="38"/>
        <v/>
      </c>
      <c r="AG486" s="74" t="str">
        <f t="shared" si="39"/>
        <v/>
      </c>
    </row>
    <row r="487" spans="24:33" x14ac:dyDescent="0.2">
      <c r="X487" s="166"/>
      <c r="AB487" s="73"/>
      <c r="AD487" s="74" t="str">
        <f t="shared" si="36"/>
        <v/>
      </c>
      <c r="AE487" s="74" t="str">
        <f t="shared" si="37"/>
        <v/>
      </c>
      <c r="AF487" s="74" t="str">
        <f t="shared" ca="1" si="38"/>
        <v/>
      </c>
      <c r="AG487" s="74" t="str">
        <f t="shared" si="39"/>
        <v/>
      </c>
    </row>
    <row r="488" spans="24:33" x14ac:dyDescent="0.2">
      <c r="X488" s="166"/>
      <c r="AB488" s="73"/>
      <c r="AD488" s="74" t="str">
        <f t="shared" si="36"/>
        <v/>
      </c>
      <c r="AE488" s="74" t="str">
        <f t="shared" si="37"/>
        <v/>
      </c>
      <c r="AF488" s="74" t="str">
        <f t="shared" ca="1" si="38"/>
        <v/>
      </c>
      <c r="AG488" s="74" t="str">
        <f t="shared" si="39"/>
        <v/>
      </c>
    </row>
    <row r="489" spans="24:33" x14ac:dyDescent="0.2">
      <c r="X489" s="166"/>
      <c r="AB489" s="73"/>
      <c r="AD489" s="74" t="str">
        <f t="shared" si="36"/>
        <v/>
      </c>
      <c r="AE489" s="74" t="str">
        <f t="shared" si="37"/>
        <v/>
      </c>
      <c r="AF489" s="74" t="str">
        <f t="shared" ca="1" si="38"/>
        <v/>
      </c>
      <c r="AG489" s="74" t="str">
        <f t="shared" si="39"/>
        <v/>
      </c>
    </row>
    <row r="490" spans="24:33" x14ac:dyDescent="0.2">
      <c r="X490" s="166"/>
      <c r="AB490" s="73"/>
      <c r="AD490" s="74" t="str">
        <f t="shared" si="36"/>
        <v/>
      </c>
      <c r="AE490" s="74" t="str">
        <f t="shared" si="37"/>
        <v/>
      </c>
      <c r="AF490" s="74" t="str">
        <f t="shared" ca="1" si="38"/>
        <v/>
      </c>
      <c r="AG490" s="74" t="str">
        <f t="shared" si="39"/>
        <v/>
      </c>
    </row>
    <row r="491" spans="24:33" x14ac:dyDescent="0.2">
      <c r="X491" s="166"/>
      <c r="AB491" s="73"/>
      <c r="AD491" s="74" t="str">
        <f t="shared" si="36"/>
        <v/>
      </c>
      <c r="AE491" s="74" t="str">
        <f t="shared" si="37"/>
        <v/>
      </c>
      <c r="AF491" s="74" t="str">
        <f t="shared" ca="1" si="38"/>
        <v/>
      </c>
      <c r="AG491" s="74" t="str">
        <f t="shared" si="39"/>
        <v/>
      </c>
    </row>
    <row r="492" spans="24:33" x14ac:dyDescent="0.2">
      <c r="X492" s="166"/>
      <c r="AB492" s="73"/>
      <c r="AD492" s="74" t="str">
        <f t="shared" si="36"/>
        <v/>
      </c>
      <c r="AE492" s="74" t="str">
        <f t="shared" si="37"/>
        <v/>
      </c>
      <c r="AF492" s="74" t="str">
        <f t="shared" ca="1" si="38"/>
        <v/>
      </c>
      <c r="AG492" s="74" t="str">
        <f t="shared" si="39"/>
        <v/>
      </c>
    </row>
    <row r="493" spans="24:33" x14ac:dyDescent="0.2">
      <c r="X493" s="166"/>
      <c r="AB493" s="73"/>
      <c r="AD493" s="74" t="str">
        <f t="shared" si="36"/>
        <v/>
      </c>
      <c r="AE493" s="74" t="str">
        <f t="shared" si="37"/>
        <v/>
      </c>
      <c r="AF493" s="74" t="str">
        <f t="shared" ca="1" si="38"/>
        <v/>
      </c>
      <c r="AG493" s="74" t="str">
        <f t="shared" si="39"/>
        <v/>
      </c>
    </row>
    <row r="494" spans="24:33" x14ac:dyDescent="0.2">
      <c r="X494" s="166"/>
      <c r="AB494" s="73"/>
      <c r="AD494" s="74" t="str">
        <f t="shared" si="36"/>
        <v/>
      </c>
      <c r="AE494" s="74" t="str">
        <f t="shared" si="37"/>
        <v/>
      </c>
      <c r="AF494" s="74" t="str">
        <f t="shared" ca="1" si="38"/>
        <v/>
      </c>
      <c r="AG494" s="74" t="str">
        <f t="shared" si="39"/>
        <v/>
      </c>
    </row>
    <row r="495" spans="24:33" x14ac:dyDescent="0.2">
      <c r="X495" s="166"/>
      <c r="AB495" s="73"/>
      <c r="AD495" s="74" t="str">
        <f t="shared" si="36"/>
        <v/>
      </c>
      <c r="AE495" s="74" t="str">
        <f t="shared" si="37"/>
        <v/>
      </c>
      <c r="AF495" s="74" t="str">
        <f t="shared" ca="1" si="38"/>
        <v/>
      </c>
      <c r="AG495" s="74" t="str">
        <f t="shared" si="39"/>
        <v/>
      </c>
    </row>
    <row r="496" spans="24:33" x14ac:dyDescent="0.2">
      <c r="X496" s="166"/>
      <c r="AB496" s="73"/>
      <c r="AD496" s="74" t="str">
        <f t="shared" si="36"/>
        <v/>
      </c>
      <c r="AE496" s="74" t="str">
        <f t="shared" si="37"/>
        <v/>
      </c>
      <c r="AF496" s="74" t="str">
        <f t="shared" ca="1" si="38"/>
        <v/>
      </c>
      <c r="AG496" s="74" t="str">
        <f t="shared" si="39"/>
        <v/>
      </c>
    </row>
    <row r="497" spans="1:33" x14ac:dyDescent="0.2">
      <c r="X497" s="166"/>
      <c r="AB497" s="73"/>
      <c r="AD497" s="74" t="str">
        <f t="shared" si="36"/>
        <v/>
      </c>
      <c r="AE497" s="74" t="str">
        <f t="shared" si="37"/>
        <v/>
      </c>
      <c r="AF497" s="74" t="str">
        <f t="shared" ca="1" si="38"/>
        <v/>
      </c>
      <c r="AG497" s="74" t="str">
        <f t="shared" si="39"/>
        <v/>
      </c>
    </row>
    <row r="498" spans="1:33" x14ac:dyDescent="0.2">
      <c r="X498" s="166"/>
      <c r="AB498" s="73"/>
      <c r="AD498" s="74" t="str">
        <f t="shared" si="36"/>
        <v/>
      </c>
      <c r="AE498" s="74" t="str">
        <f t="shared" si="37"/>
        <v/>
      </c>
      <c r="AF498" s="74" t="str">
        <f t="shared" ca="1" si="38"/>
        <v/>
      </c>
      <c r="AG498" s="74" t="str">
        <f t="shared" si="39"/>
        <v/>
      </c>
    </row>
    <row r="499" spans="1:33" x14ac:dyDescent="0.2">
      <c r="X499" s="166"/>
      <c r="AB499" s="73"/>
      <c r="AD499" s="74" t="str">
        <f t="shared" si="36"/>
        <v/>
      </c>
      <c r="AE499" s="74" t="str">
        <f t="shared" si="37"/>
        <v/>
      </c>
      <c r="AF499" s="74" t="str">
        <f t="shared" ca="1" si="38"/>
        <v/>
      </c>
      <c r="AG499" s="74" t="str">
        <f t="shared" si="39"/>
        <v/>
      </c>
    </row>
    <row r="500" spans="1:33" x14ac:dyDescent="0.2">
      <c r="A500"/>
      <c r="B500"/>
      <c r="C500" s="164"/>
      <c r="D500"/>
      <c r="E500"/>
      <c r="F500"/>
      <c r="G500"/>
      <c r="H500"/>
      <c r="I500" s="37"/>
      <c r="J500" s="37"/>
      <c r="K500"/>
      <c r="L500"/>
      <c r="M500"/>
      <c r="N500"/>
      <c r="O500"/>
      <c r="P500"/>
      <c r="Q500" s="158"/>
      <c r="R500"/>
      <c r="S500"/>
      <c r="T500"/>
      <c r="U500"/>
      <c r="V500"/>
      <c r="X500" s="166"/>
      <c r="Y500" s="169"/>
      <c r="Z500" s="75"/>
      <c r="AB500" s="73"/>
      <c r="AD500" s="74" t="str">
        <f t="shared" si="36"/>
        <v/>
      </c>
      <c r="AE500" s="74" t="str">
        <f t="shared" si="37"/>
        <v/>
      </c>
      <c r="AF500" s="74" t="str">
        <f t="shared" ca="1" si="38"/>
        <v/>
      </c>
      <c r="AG500" s="74" t="str">
        <f t="shared" si="39"/>
        <v/>
      </c>
    </row>
    <row r="501" spans="1:33" x14ac:dyDescent="0.2">
      <c r="X501" s="166"/>
      <c r="AB501" s="73"/>
      <c r="AD501" s="74" t="str">
        <f t="shared" ref="AD501" si="40">IF(A:A&lt;&gt;"",(M501&amp;"-"&amp;N501),"")</f>
        <v/>
      </c>
      <c r="AE501" s="74" t="str">
        <f t="shared" ref="AE501" si="41">IF(F:F&lt;&gt;"",IF(F501="Other","Proactive",IF(F501="Proactive","Proactive","Reactive")),"")</f>
        <v/>
      </c>
      <c r="AF501" s="74" t="str">
        <f t="shared" ref="AF501" ca="1" si="42">IF(I:I&lt;&gt;"",(IF(E501&lt;&gt;"Closed",DATEDIF(I501,TODAY(),"d"),"")),"")</f>
        <v/>
      </c>
      <c r="AG501" s="74" t="str">
        <f t="shared" ref="AG501" si="43">IF(R:R&lt;&gt;"",DATEDIF(I501,R501,"d"),"")</f>
        <v/>
      </c>
    </row>
  </sheetData>
  <autoFilter ref="A1:AG500" xr:uid="{00000000-0009-0000-0000-000006000000}"/>
  <conditionalFormatting sqref="A1:A1048576">
    <cfRule type="duplicateValues" dxfId="77" priority="1"/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&amp;LProblem Status Report Template (RAG) V5.0&amp;C_x000D_&amp;1#&amp;"Arial"&amp;9&amp;K000000 Confidential&amp;RLast Updated: 26/02/2020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Lookups!$A$2:$A$3</xm:f>
          </x14:formula1>
          <xm:sqref>AC2:AC1001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9" tint="-0.499984740745262"/>
    <pageSetUpPr autoPageBreaks="0"/>
  </sheetPr>
  <dimension ref="A1:AG823"/>
  <sheetViews>
    <sheetView zoomScaleNormal="100" workbookViewId="0">
      <pane xSplit="2" ySplit="1" topLeftCell="J35" activePane="bottomRight" state="frozen"/>
      <selection activeCell="H23" sqref="H23"/>
      <selection pane="topRight" activeCell="H23" sqref="H23"/>
      <selection pane="bottomLeft" activeCell="H23" sqref="H23"/>
      <selection pane="bottomRight" activeCell="A2" sqref="A2"/>
    </sheetView>
  </sheetViews>
  <sheetFormatPr defaultColWidth="9.140625" defaultRowHeight="15" customHeight="1" x14ac:dyDescent="0.25"/>
  <cols>
    <col min="1" max="1" width="17.7109375" style="72" bestFit="1" customWidth="1"/>
    <col min="2" max="3" width="60.7109375" style="72" customWidth="1"/>
    <col min="4" max="4" width="30.85546875" style="72" bestFit="1" customWidth="1"/>
    <col min="5" max="5" width="22.42578125" style="72" bestFit="1" customWidth="1"/>
    <col min="6" max="6" width="16.28515625" style="72" customWidth="1"/>
    <col min="7" max="7" width="11.85546875" style="72" customWidth="1"/>
    <col min="8" max="8" width="39.85546875" style="72" bestFit="1" customWidth="1"/>
    <col min="9" max="9" width="33.85546875" style="72" bestFit="1" customWidth="1"/>
    <col min="10" max="10" width="19.28515625" style="72" bestFit="1" customWidth="1"/>
    <col min="11" max="12" width="50.7109375" style="72" customWidth="1"/>
    <col min="13" max="13" width="26.85546875" style="72" bestFit="1" customWidth="1"/>
    <col min="14" max="14" width="20.7109375" style="72" customWidth="1"/>
    <col min="15" max="15" width="9.5703125" style="72" customWidth="1"/>
    <col min="16" max="16" width="40.140625" style="72" customWidth="1"/>
    <col min="17" max="17" width="20.42578125" style="72" customWidth="1"/>
    <col min="18" max="18" width="16.140625" style="72" customWidth="1"/>
    <col min="19" max="19" width="27.28515625" style="72" customWidth="1"/>
    <col min="20" max="20" width="51.85546875" style="78" customWidth="1"/>
    <col min="21" max="21" width="9.7109375" style="78" bestFit="1" customWidth="1"/>
    <col min="22" max="23" width="9.140625" style="72"/>
    <col min="24" max="33" width="9.140625" style="75"/>
    <col min="34" max="16384" width="9.140625" style="79"/>
  </cols>
  <sheetData>
    <row r="1" spans="1:33" s="77" customFormat="1" ht="15" customHeight="1" x14ac:dyDescent="0.25">
      <c r="A1" s="153" t="s">
        <v>30</v>
      </c>
      <c r="B1" s="153" t="s">
        <v>31</v>
      </c>
      <c r="C1" s="153" t="s">
        <v>39</v>
      </c>
      <c r="D1" s="153" t="s">
        <v>2</v>
      </c>
      <c r="E1" s="153" t="s">
        <v>32</v>
      </c>
      <c r="F1" s="153" t="s">
        <v>7</v>
      </c>
      <c r="G1" s="153" t="s">
        <v>33</v>
      </c>
      <c r="H1" s="153" t="s">
        <v>34</v>
      </c>
      <c r="I1" s="153" t="s">
        <v>35</v>
      </c>
      <c r="J1" s="153" t="s">
        <v>36</v>
      </c>
      <c r="K1" s="153" t="s">
        <v>17</v>
      </c>
      <c r="L1" s="153" t="s">
        <v>19</v>
      </c>
      <c r="M1" s="153" t="s">
        <v>37</v>
      </c>
      <c r="N1" s="153" t="s">
        <v>38</v>
      </c>
      <c r="O1" s="153" t="s">
        <v>86</v>
      </c>
      <c r="P1" s="153" t="s">
        <v>80</v>
      </c>
      <c r="Q1" s="153" t="s">
        <v>25</v>
      </c>
      <c r="R1" s="153" t="s">
        <v>26</v>
      </c>
      <c r="S1" s="153" t="s">
        <v>76</v>
      </c>
      <c r="T1" s="153" t="s">
        <v>21</v>
      </c>
      <c r="U1" s="153" t="s">
        <v>22</v>
      </c>
      <c r="V1" s="70"/>
      <c r="W1" s="70"/>
      <c r="X1" s="71"/>
      <c r="Y1" s="71"/>
      <c r="Z1" s="71"/>
      <c r="AA1" s="71"/>
      <c r="AB1" s="71"/>
      <c r="AC1" s="71"/>
      <c r="AD1" s="71"/>
      <c r="AE1" s="71"/>
      <c r="AF1" s="71"/>
      <c r="AG1" s="71"/>
    </row>
    <row r="2" spans="1:33" ht="15" customHeight="1" x14ac:dyDescent="0.25">
      <c r="A2"/>
      <c r="B2"/>
      <c r="C2"/>
      <c r="D2"/>
      <c r="E2"/>
      <c r="F2" s="37"/>
      <c r="G2"/>
      <c r="H2"/>
      <c r="I2"/>
      <c r="J2"/>
      <c r="K2" s="164"/>
      <c r="L2" s="164"/>
      <c r="M2" s="158"/>
      <c r="O2" s="75"/>
      <c r="P2" s="75"/>
      <c r="Q2" s="75"/>
      <c r="T2" s="78" t="str">
        <f t="shared" ref="T2:T65" si="0">IF(H:H&lt;&gt;"",(H2&amp;"-"&amp;I2),"")</f>
        <v/>
      </c>
      <c r="U2" s="78" t="str">
        <f t="shared" ref="U2:U65" ca="1" si="1">IF(F:F&lt;&gt;"",(IF(E2&lt;&gt;"Closed",DATEDIF(F2,TODAY(),"d"),"")),"")</f>
        <v/>
      </c>
    </row>
    <row r="3" spans="1:33" ht="15" customHeight="1" x14ac:dyDescent="0.25">
      <c r="A3"/>
      <c r="B3"/>
      <c r="C3"/>
      <c r="D3"/>
      <c r="E3"/>
      <c r="F3" s="37"/>
      <c r="G3"/>
      <c r="H3"/>
      <c r="I3"/>
      <c r="J3"/>
      <c r="K3" s="164"/>
      <c r="L3" s="164"/>
      <c r="M3" s="158"/>
      <c r="O3" s="75"/>
      <c r="P3" s="75"/>
      <c r="Q3" s="7"/>
      <c r="T3" s="78" t="str">
        <f t="shared" si="0"/>
        <v/>
      </c>
      <c r="U3" s="78" t="str">
        <f t="shared" ca="1" si="1"/>
        <v/>
      </c>
    </row>
    <row r="4" spans="1:33" ht="15" customHeight="1" x14ac:dyDescent="0.25">
      <c r="A4"/>
      <c r="B4"/>
      <c r="C4"/>
      <c r="D4"/>
      <c r="E4"/>
      <c r="F4" s="37"/>
      <c r="G4"/>
      <c r="H4"/>
      <c r="I4"/>
      <c r="J4"/>
      <c r="K4"/>
      <c r="L4"/>
      <c r="M4" s="158"/>
      <c r="O4" s="75"/>
      <c r="P4" s="75"/>
      <c r="Q4" s="7"/>
      <c r="T4" s="78" t="str">
        <f t="shared" si="0"/>
        <v/>
      </c>
      <c r="U4" s="78" t="str">
        <f t="shared" ca="1" si="1"/>
        <v/>
      </c>
    </row>
    <row r="5" spans="1:33" ht="15" customHeight="1" x14ac:dyDescent="0.25">
      <c r="A5"/>
      <c r="B5"/>
      <c r="C5"/>
      <c r="D5"/>
      <c r="E5"/>
      <c r="F5" s="37"/>
      <c r="G5"/>
      <c r="H5"/>
      <c r="I5"/>
      <c r="J5"/>
      <c r="K5"/>
      <c r="L5"/>
      <c r="M5" s="158"/>
      <c r="O5" s="75"/>
      <c r="P5" s="75"/>
      <c r="Q5" s="7"/>
      <c r="T5" s="78" t="str">
        <f t="shared" si="0"/>
        <v/>
      </c>
      <c r="U5" s="78" t="str">
        <f t="shared" ca="1" si="1"/>
        <v/>
      </c>
    </row>
    <row r="6" spans="1:33" ht="15" customHeight="1" x14ac:dyDescent="0.25">
      <c r="A6"/>
      <c r="B6"/>
      <c r="C6"/>
      <c r="D6"/>
      <c r="E6"/>
      <c r="F6" s="37"/>
      <c r="G6"/>
      <c r="H6"/>
      <c r="I6"/>
      <c r="J6"/>
      <c r="K6"/>
      <c r="L6"/>
      <c r="M6" s="158"/>
      <c r="O6" s="75"/>
      <c r="P6" s="75"/>
      <c r="Q6" s="7"/>
      <c r="T6" s="78" t="str">
        <f t="shared" si="0"/>
        <v/>
      </c>
      <c r="U6" s="78" t="str">
        <f t="shared" ca="1" si="1"/>
        <v/>
      </c>
    </row>
    <row r="7" spans="1:33" ht="15" customHeight="1" x14ac:dyDescent="0.25">
      <c r="A7"/>
      <c r="B7"/>
      <c r="C7"/>
      <c r="D7"/>
      <c r="E7"/>
      <c r="F7" s="37"/>
      <c r="G7"/>
      <c r="H7"/>
      <c r="I7"/>
      <c r="J7"/>
      <c r="K7"/>
      <c r="L7"/>
      <c r="M7" s="158"/>
      <c r="O7" s="75"/>
      <c r="P7" s="75"/>
      <c r="Q7" s="75"/>
      <c r="T7" s="78" t="str">
        <f t="shared" si="0"/>
        <v/>
      </c>
      <c r="U7" s="78" t="str">
        <f t="shared" ca="1" si="1"/>
        <v/>
      </c>
    </row>
    <row r="8" spans="1:33" ht="15" customHeight="1" x14ac:dyDescent="0.25">
      <c r="A8"/>
      <c r="B8"/>
      <c r="C8"/>
      <c r="D8"/>
      <c r="E8"/>
      <c r="F8" s="37"/>
      <c r="G8"/>
      <c r="H8"/>
      <c r="I8"/>
      <c r="J8"/>
      <c r="K8"/>
      <c r="L8"/>
      <c r="M8" s="158"/>
      <c r="O8" s="75"/>
      <c r="P8" s="75"/>
      <c r="Q8" s="75"/>
      <c r="T8" s="78" t="str">
        <f t="shared" si="0"/>
        <v/>
      </c>
      <c r="U8" s="78" t="str">
        <f t="shared" ca="1" si="1"/>
        <v/>
      </c>
    </row>
    <row r="9" spans="1:33" ht="15" customHeight="1" x14ac:dyDescent="0.25">
      <c r="A9"/>
      <c r="B9"/>
      <c r="C9"/>
      <c r="D9"/>
      <c r="E9"/>
      <c r="F9" s="37"/>
      <c r="G9"/>
      <c r="H9"/>
      <c r="I9"/>
      <c r="J9"/>
      <c r="K9"/>
      <c r="L9"/>
      <c r="M9" s="158"/>
      <c r="O9" s="75"/>
      <c r="P9" s="75"/>
      <c r="Q9" s="75"/>
      <c r="T9" s="78" t="str">
        <f t="shared" si="0"/>
        <v/>
      </c>
      <c r="U9" s="78" t="str">
        <f t="shared" ca="1" si="1"/>
        <v/>
      </c>
    </row>
    <row r="10" spans="1:33" ht="15" customHeight="1" x14ac:dyDescent="0.25">
      <c r="A10"/>
      <c r="B10"/>
      <c r="C10"/>
      <c r="D10"/>
      <c r="E10"/>
      <c r="F10" s="37"/>
      <c r="G10"/>
      <c r="H10"/>
      <c r="I10"/>
      <c r="J10"/>
      <c r="K10"/>
      <c r="L10"/>
      <c r="M10" s="158"/>
      <c r="O10" s="75"/>
      <c r="P10" s="75"/>
      <c r="Q10" s="75"/>
      <c r="T10" s="78" t="str">
        <f t="shared" si="0"/>
        <v/>
      </c>
      <c r="U10" s="78" t="str">
        <f t="shared" ca="1" si="1"/>
        <v/>
      </c>
    </row>
    <row r="11" spans="1:33" ht="15" customHeight="1" x14ac:dyDescent="0.25">
      <c r="A11"/>
      <c r="B11"/>
      <c r="C11"/>
      <c r="D11"/>
      <c r="E11"/>
      <c r="F11" s="37"/>
      <c r="G11"/>
      <c r="H11"/>
      <c r="I11"/>
      <c r="J11"/>
      <c r="K11"/>
      <c r="L11"/>
      <c r="M11" s="158"/>
      <c r="O11" s="75"/>
      <c r="P11" s="75"/>
      <c r="Q11" s="75"/>
      <c r="T11" s="78" t="str">
        <f t="shared" si="0"/>
        <v/>
      </c>
      <c r="U11" s="78" t="str">
        <f t="shared" ca="1" si="1"/>
        <v/>
      </c>
    </row>
    <row r="12" spans="1:33" ht="15" customHeight="1" x14ac:dyDescent="0.25">
      <c r="A12"/>
      <c r="B12"/>
      <c r="C12"/>
      <c r="D12"/>
      <c r="E12"/>
      <c r="F12" s="37"/>
      <c r="G12"/>
      <c r="H12"/>
      <c r="I12"/>
      <c r="J12"/>
      <c r="K12" s="164"/>
      <c r="L12"/>
      <c r="M12" s="158"/>
      <c r="O12" s="75"/>
      <c r="P12" s="75"/>
      <c r="Q12" s="75"/>
      <c r="T12" s="78" t="str">
        <f t="shared" si="0"/>
        <v/>
      </c>
      <c r="U12" s="78" t="str">
        <f t="shared" ca="1" si="1"/>
        <v/>
      </c>
    </row>
    <row r="13" spans="1:33" ht="15" customHeight="1" x14ac:dyDescent="0.25">
      <c r="A13"/>
      <c r="B13"/>
      <c r="C13"/>
      <c r="D13"/>
      <c r="E13"/>
      <c r="F13" s="37"/>
      <c r="G13"/>
      <c r="H13"/>
      <c r="I13"/>
      <c r="J13"/>
      <c r="K13"/>
      <c r="L13"/>
      <c r="M13" s="158"/>
      <c r="O13" s="75"/>
      <c r="P13" s="75"/>
      <c r="Q13" s="75"/>
      <c r="T13" s="78" t="str">
        <f t="shared" si="0"/>
        <v/>
      </c>
      <c r="U13" s="78" t="str">
        <f t="shared" ca="1" si="1"/>
        <v/>
      </c>
    </row>
    <row r="14" spans="1:33" ht="15" customHeight="1" x14ac:dyDescent="0.25">
      <c r="A14"/>
      <c r="B14"/>
      <c r="C14"/>
      <c r="D14"/>
      <c r="E14"/>
      <c r="F14" s="37"/>
      <c r="G14"/>
      <c r="H14"/>
      <c r="I14"/>
      <c r="J14"/>
      <c r="K14"/>
      <c r="L14"/>
      <c r="M14" s="158"/>
      <c r="O14" s="75"/>
      <c r="P14" s="75"/>
      <c r="Q14" s="75"/>
      <c r="T14" s="78" t="str">
        <f t="shared" si="0"/>
        <v/>
      </c>
      <c r="U14" s="78" t="str">
        <f t="shared" ca="1" si="1"/>
        <v/>
      </c>
    </row>
    <row r="15" spans="1:33" ht="15" customHeight="1" x14ac:dyDescent="0.25">
      <c r="A15"/>
      <c r="B15"/>
      <c r="C15"/>
      <c r="D15"/>
      <c r="E15"/>
      <c r="F15" s="37"/>
      <c r="G15"/>
      <c r="H15"/>
      <c r="I15"/>
      <c r="J15"/>
      <c r="K15"/>
      <c r="L15"/>
      <c r="M15" s="158"/>
      <c r="O15" s="75"/>
      <c r="P15" s="75"/>
      <c r="Q15" s="75"/>
      <c r="T15" s="78" t="str">
        <f t="shared" si="0"/>
        <v/>
      </c>
      <c r="U15" s="78" t="str">
        <f t="shared" ca="1" si="1"/>
        <v/>
      </c>
    </row>
    <row r="16" spans="1:33" ht="15" customHeight="1" x14ac:dyDescent="0.25">
      <c r="A16"/>
      <c r="B16"/>
      <c r="C16"/>
      <c r="D16"/>
      <c r="E16"/>
      <c r="F16" s="37"/>
      <c r="G16"/>
      <c r="H16"/>
      <c r="I16"/>
      <c r="J16"/>
      <c r="K16"/>
      <c r="L16"/>
      <c r="M16" s="158"/>
      <c r="O16" s="75"/>
      <c r="P16" s="75"/>
      <c r="Q16" s="75"/>
      <c r="T16" s="78" t="str">
        <f t="shared" si="0"/>
        <v/>
      </c>
      <c r="U16" s="78" t="str">
        <f t="shared" ca="1" si="1"/>
        <v/>
      </c>
    </row>
    <row r="17" spans="1:21" ht="15" customHeight="1" x14ac:dyDescent="0.25">
      <c r="A17"/>
      <c r="B17"/>
      <c r="C17"/>
      <c r="D17"/>
      <c r="E17"/>
      <c r="F17" s="37"/>
      <c r="G17"/>
      <c r="H17"/>
      <c r="I17"/>
      <c r="J17"/>
      <c r="K17"/>
      <c r="L17"/>
      <c r="M17" s="158"/>
      <c r="O17" s="75"/>
      <c r="P17" s="75"/>
      <c r="Q17" s="75"/>
      <c r="T17" s="78" t="str">
        <f t="shared" si="0"/>
        <v/>
      </c>
      <c r="U17" s="78" t="str">
        <f t="shared" ca="1" si="1"/>
        <v/>
      </c>
    </row>
    <row r="18" spans="1:21" ht="15" customHeight="1" x14ac:dyDescent="0.25">
      <c r="A18"/>
      <c r="B18"/>
      <c r="C18"/>
      <c r="D18"/>
      <c r="E18"/>
      <c r="F18" s="37"/>
      <c r="G18"/>
      <c r="H18"/>
      <c r="I18"/>
      <c r="J18"/>
      <c r="K18"/>
      <c r="L18"/>
      <c r="M18" s="158"/>
      <c r="O18" s="75"/>
      <c r="P18" s="75"/>
      <c r="Q18" s="75"/>
      <c r="T18" s="78" t="str">
        <f t="shared" si="0"/>
        <v/>
      </c>
      <c r="U18" s="78" t="str">
        <f t="shared" ca="1" si="1"/>
        <v/>
      </c>
    </row>
    <row r="19" spans="1:21" ht="15" customHeight="1" x14ac:dyDescent="0.25">
      <c r="A19"/>
      <c r="B19"/>
      <c r="C19"/>
      <c r="D19"/>
      <c r="E19"/>
      <c r="F19" s="37"/>
      <c r="G19"/>
      <c r="H19"/>
      <c r="I19"/>
      <c r="J19"/>
      <c r="K19"/>
      <c r="L19"/>
      <c r="M19" s="158"/>
      <c r="O19" s="75"/>
      <c r="P19" s="75"/>
      <c r="Q19" s="75"/>
      <c r="T19" s="78" t="str">
        <f t="shared" si="0"/>
        <v/>
      </c>
      <c r="U19" s="78" t="str">
        <f t="shared" ca="1" si="1"/>
        <v/>
      </c>
    </row>
    <row r="20" spans="1:21" ht="15" customHeight="1" x14ac:dyDescent="0.25">
      <c r="A20"/>
      <c r="B20"/>
      <c r="C20"/>
      <c r="D20"/>
      <c r="E20"/>
      <c r="F20" s="37"/>
      <c r="G20"/>
      <c r="H20"/>
      <c r="I20"/>
      <c r="J20"/>
      <c r="K20"/>
      <c r="L20"/>
      <c r="M20" s="158"/>
      <c r="O20" s="75"/>
      <c r="P20" s="75"/>
      <c r="Q20" s="75"/>
      <c r="T20" s="78" t="str">
        <f t="shared" si="0"/>
        <v/>
      </c>
      <c r="U20" s="78" t="str">
        <f t="shared" ca="1" si="1"/>
        <v/>
      </c>
    </row>
    <row r="21" spans="1:21" ht="15" customHeight="1" x14ac:dyDescent="0.25">
      <c r="A21"/>
      <c r="B21"/>
      <c r="C21"/>
      <c r="D21"/>
      <c r="E21"/>
      <c r="F21" s="37"/>
      <c r="G21"/>
      <c r="H21"/>
      <c r="I21"/>
      <c r="J21"/>
      <c r="K21"/>
      <c r="L21"/>
      <c r="M21" s="158"/>
      <c r="O21" s="75"/>
      <c r="P21" s="75"/>
      <c r="Q21" s="75"/>
      <c r="T21" s="78" t="str">
        <f t="shared" si="0"/>
        <v/>
      </c>
      <c r="U21" s="78" t="str">
        <f t="shared" ca="1" si="1"/>
        <v/>
      </c>
    </row>
    <row r="22" spans="1:21" ht="15" customHeight="1" x14ac:dyDescent="0.25">
      <c r="A22"/>
      <c r="B22"/>
      <c r="C22"/>
      <c r="D22"/>
      <c r="E22"/>
      <c r="F22" s="37"/>
      <c r="G22"/>
      <c r="H22"/>
      <c r="I22"/>
      <c r="J22"/>
      <c r="K22"/>
      <c r="L22"/>
      <c r="M22" s="158"/>
      <c r="O22" s="75"/>
      <c r="P22" s="75"/>
      <c r="Q22" s="75"/>
      <c r="T22" s="78" t="str">
        <f t="shared" si="0"/>
        <v/>
      </c>
      <c r="U22" s="78" t="str">
        <f t="shared" ca="1" si="1"/>
        <v/>
      </c>
    </row>
    <row r="23" spans="1:21" ht="15" customHeight="1" x14ac:dyDescent="0.25">
      <c r="A23"/>
      <c r="B23"/>
      <c r="C23"/>
      <c r="D23"/>
      <c r="E23"/>
      <c r="F23" s="37"/>
      <c r="G23"/>
      <c r="H23"/>
      <c r="I23"/>
      <c r="J23"/>
      <c r="K23"/>
      <c r="L23" s="164"/>
      <c r="M23" s="158"/>
      <c r="O23" s="75"/>
      <c r="P23" s="75"/>
      <c r="Q23" s="75"/>
      <c r="T23" s="78" t="str">
        <f t="shared" si="0"/>
        <v/>
      </c>
      <c r="U23" s="78" t="str">
        <f t="shared" ca="1" si="1"/>
        <v/>
      </c>
    </row>
    <row r="24" spans="1:21" ht="15" customHeight="1" x14ac:dyDescent="0.25">
      <c r="A24"/>
      <c r="B24"/>
      <c r="C24"/>
      <c r="D24"/>
      <c r="E24"/>
      <c r="F24" s="37"/>
      <c r="G24"/>
      <c r="H24"/>
      <c r="I24"/>
      <c r="J24"/>
      <c r="K24"/>
      <c r="L24"/>
      <c r="M24" s="158"/>
      <c r="O24" s="75"/>
      <c r="P24" s="75"/>
      <c r="Q24" s="75"/>
      <c r="T24" s="78" t="str">
        <f t="shared" si="0"/>
        <v/>
      </c>
      <c r="U24" s="78" t="str">
        <f t="shared" ca="1" si="1"/>
        <v/>
      </c>
    </row>
    <row r="25" spans="1:21" ht="15" customHeight="1" x14ac:dyDescent="0.25">
      <c r="A25"/>
      <c r="B25"/>
      <c r="C25"/>
      <c r="D25"/>
      <c r="E25"/>
      <c r="F25" s="37"/>
      <c r="G25"/>
      <c r="H25"/>
      <c r="I25"/>
      <c r="J25"/>
      <c r="K25"/>
      <c r="L25"/>
      <c r="M25" s="158"/>
      <c r="O25" s="75"/>
      <c r="P25" s="75"/>
      <c r="Q25" s="75"/>
      <c r="T25" s="78" t="str">
        <f t="shared" si="0"/>
        <v/>
      </c>
      <c r="U25" s="78" t="str">
        <f t="shared" ca="1" si="1"/>
        <v/>
      </c>
    </row>
    <row r="26" spans="1:21" ht="15" customHeight="1" x14ac:dyDescent="0.25">
      <c r="A26"/>
      <c r="B26"/>
      <c r="C26"/>
      <c r="D26"/>
      <c r="E26"/>
      <c r="F26" s="37"/>
      <c r="G26"/>
      <c r="H26"/>
      <c r="I26"/>
      <c r="J26"/>
      <c r="K26"/>
      <c r="L26"/>
      <c r="M26" s="158"/>
      <c r="O26" s="75"/>
      <c r="P26" s="75"/>
      <c r="Q26" s="75"/>
      <c r="T26" s="78" t="str">
        <f t="shared" si="0"/>
        <v/>
      </c>
      <c r="U26" s="78" t="str">
        <f t="shared" ca="1" si="1"/>
        <v/>
      </c>
    </row>
    <row r="27" spans="1:21" ht="15" customHeight="1" x14ac:dyDescent="0.25">
      <c r="A27"/>
      <c r="B27"/>
      <c r="C27"/>
      <c r="D27"/>
      <c r="E27"/>
      <c r="F27" s="37"/>
      <c r="G27"/>
      <c r="H27"/>
      <c r="I27"/>
      <c r="J27"/>
      <c r="K27"/>
      <c r="L27" s="164"/>
      <c r="M27" s="158"/>
      <c r="O27" s="75"/>
      <c r="P27" s="75"/>
      <c r="Q27" s="75"/>
      <c r="T27" s="78" t="str">
        <f t="shared" si="0"/>
        <v/>
      </c>
      <c r="U27" s="78" t="str">
        <f t="shared" ca="1" si="1"/>
        <v/>
      </c>
    </row>
    <row r="28" spans="1:21" ht="15" customHeight="1" x14ac:dyDescent="0.25">
      <c r="A28"/>
      <c r="B28"/>
      <c r="C28"/>
      <c r="D28"/>
      <c r="E28"/>
      <c r="F28" s="37"/>
      <c r="G28"/>
      <c r="H28"/>
      <c r="I28"/>
      <c r="J28"/>
      <c r="K28" s="164"/>
      <c r="L28"/>
      <c r="M28" s="158"/>
      <c r="O28" s="75"/>
      <c r="P28" s="75"/>
      <c r="Q28" s="75"/>
      <c r="T28" s="78" t="str">
        <f t="shared" si="0"/>
        <v/>
      </c>
      <c r="U28" s="78" t="str">
        <f t="shared" ca="1" si="1"/>
        <v/>
      </c>
    </row>
    <row r="29" spans="1:21" ht="15" customHeight="1" x14ac:dyDescent="0.25">
      <c r="A29"/>
      <c r="B29"/>
      <c r="C29"/>
      <c r="D29"/>
      <c r="E29"/>
      <c r="F29" s="37"/>
      <c r="G29"/>
      <c r="H29"/>
      <c r="I29"/>
      <c r="J29"/>
      <c r="K29"/>
      <c r="L29"/>
      <c r="M29" s="158"/>
      <c r="O29" s="75"/>
      <c r="P29" s="75"/>
      <c r="Q29" s="75"/>
      <c r="T29" s="78" t="str">
        <f t="shared" si="0"/>
        <v/>
      </c>
      <c r="U29" s="78" t="str">
        <f t="shared" ca="1" si="1"/>
        <v/>
      </c>
    </row>
    <row r="30" spans="1:21" ht="15" customHeight="1" x14ac:dyDescent="0.25">
      <c r="A30"/>
      <c r="B30"/>
      <c r="C30"/>
      <c r="D30"/>
      <c r="E30"/>
      <c r="F30" s="37"/>
      <c r="G30"/>
      <c r="H30"/>
      <c r="I30"/>
      <c r="J30"/>
      <c r="K30"/>
      <c r="L30"/>
      <c r="M30" s="158"/>
      <c r="O30" s="75"/>
      <c r="P30" s="75"/>
      <c r="Q30" s="75"/>
      <c r="T30" s="78" t="str">
        <f t="shared" si="0"/>
        <v/>
      </c>
      <c r="U30" s="78" t="str">
        <f t="shared" ca="1" si="1"/>
        <v/>
      </c>
    </row>
    <row r="31" spans="1:21" ht="15" customHeight="1" x14ac:dyDescent="0.25">
      <c r="A31"/>
      <c r="B31"/>
      <c r="C31"/>
      <c r="D31"/>
      <c r="E31"/>
      <c r="F31" s="37"/>
      <c r="G31"/>
      <c r="H31"/>
      <c r="I31"/>
      <c r="J31"/>
      <c r="K31" s="164"/>
      <c r="L31"/>
      <c r="M31" s="158"/>
      <c r="O31" s="75"/>
      <c r="P31" s="75"/>
      <c r="Q31" s="75"/>
      <c r="T31" s="78" t="str">
        <f t="shared" si="0"/>
        <v/>
      </c>
      <c r="U31" s="78" t="str">
        <f t="shared" ca="1" si="1"/>
        <v/>
      </c>
    </row>
    <row r="32" spans="1:21" ht="15" customHeight="1" x14ac:dyDescent="0.25">
      <c r="A32"/>
      <c r="B32"/>
      <c r="C32"/>
      <c r="D32"/>
      <c r="E32"/>
      <c r="F32" s="37"/>
      <c r="G32"/>
      <c r="H32"/>
      <c r="I32"/>
      <c r="J32"/>
      <c r="K32"/>
      <c r="L32"/>
      <c r="M32" s="158"/>
      <c r="O32" s="75"/>
      <c r="P32" s="75"/>
      <c r="Q32" s="75"/>
      <c r="T32" s="78" t="str">
        <f t="shared" si="0"/>
        <v/>
      </c>
      <c r="U32" s="78" t="str">
        <f t="shared" ca="1" si="1"/>
        <v/>
      </c>
    </row>
    <row r="33" spans="1:21" ht="15" customHeight="1" x14ac:dyDescent="0.25">
      <c r="A33"/>
      <c r="B33"/>
      <c r="C33"/>
      <c r="D33"/>
      <c r="E33"/>
      <c r="F33" s="37"/>
      <c r="G33"/>
      <c r="H33"/>
      <c r="I33"/>
      <c r="J33"/>
      <c r="K33"/>
      <c r="L33" s="164"/>
      <c r="M33" s="158"/>
      <c r="O33" s="75"/>
      <c r="P33" s="75"/>
      <c r="Q33" s="75"/>
      <c r="T33" s="78" t="str">
        <f t="shared" si="0"/>
        <v/>
      </c>
      <c r="U33" s="78" t="str">
        <f t="shared" ca="1" si="1"/>
        <v/>
      </c>
    </row>
    <row r="34" spans="1:21" ht="15" customHeight="1" x14ac:dyDescent="0.25">
      <c r="A34"/>
      <c r="B34"/>
      <c r="C34"/>
      <c r="D34"/>
      <c r="E34"/>
      <c r="F34" s="37"/>
      <c r="G34"/>
      <c r="H34"/>
      <c r="I34"/>
      <c r="J34"/>
      <c r="K34"/>
      <c r="L34"/>
      <c r="M34" s="158"/>
      <c r="O34" s="75"/>
      <c r="P34" s="75"/>
      <c r="Q34" s="75"/>
      <c r="T34" s="78" t="str">
        <f t="shared" si="0"/>
        <v/>
      </c>
      <c r="U34" s="78" t="str">
        <f t="shared" ca="1" si="1"/>
        <v/>
      </c>
    </row>
    <row r="35" spans="1:21" ht="15" customHeight="1" x14ac:dyDescent="0.25">
      <c r="A35"/>
      <c r="B35"/>
      <c r="C35"/>
      <c r="D35"/>
      <c r="E35"/>
      <c r="F35" s="37"/>
      <c r="G35"/>
      <c r="H35"/>
      <c r="I35"/>
      <c r="J35"/>
      <c r="K35" s="164"/>
      <c r="L35"/>
      <c r="M35" s="158"/>
      <c r="O35" s="75"/>
      <c r="P35" s="75"/>
      <c r="Q35" s="75"/>
      <c r="T35" s="78" t="str">
        <f t="shared" si="0"/>
        <v/>
      </c>
      <c r="U35" s="78" t="str">
        <f t="shared" ca="1" si="1"/>
        <v/>
      </c>
    </row>
    <row r="36" spans="1:21" ht="15" customHeight="1" x14ac:dyDescent="0.25">
      <c r="A36"/>
      <c r="B36"/>
      <c r="C36"/>
      <c r="D36"/>
      <c r="E36"/>
      <c r="F36" s="37"/>
      <c r="G36"/>
      <c r="H36"/>
      <c r="I36"/>
      <c r="J36"/>
      <c r="K36"/>
      <c r="L36" s="164"/>
      <c r="M36" s="158"/>
      <c r="O36" s="75"/>
      <c r="P36" s="75"/>
      <c r="Q36" s="75"/>
      <c r="T36" s="78" t="str">
        <f t="shared" si="0"/>
        <v/>
      </c>
      <c r="U36" s="78" t="str">
        <f t="shared" ca="1" si="1"/>
        <v/>
      </c>
    </row>
    <row r="37" spans="1:21" ht="15" customHeight="1" x14ac:dyDescent="0.25">
      <c r="A37"/>
      <c r="B37"/>
      <c r="C37"/>
      <c r="D37"/>
      <c r="E37"/>
      <c r="F37" s="37"/>
      <c r="G37"/>
      <c r="H37"/>
      <c r="I37"/>
      <c r="J37"/>
      <c r="K37"/>
      <c r="L37" s="164"/>
      <c r="M37" s="158"/>
      <c r="O37" s="75"/>
      <c r="P37" s="75"/>
      <c r="Q37" s="75"/>
      <c r="T37" s="78" t="str">
        <f t="shared" si="0"/>
        <v/>
      </c>
      <c r="U37" s="78" t="str">
        <f t="shared" ca="1" si="1"/>
        <v/>
      </c>
    </row>
    <row r="38" spans="1:21" ht="15" customHeight="1" x14ac:dyDescent="0.25">
      <c r="A38"/>
      <c r="B38"/>
      <c r="C38"/>
      <c r="D38"/>
      <c r="E38"/>
      <c r="F38" s="37"/>
      <c r="G38"/>
      <c r="H38"/>
      <c r="I38"/>
      <c r="J38"/>
      <c r="K38"/>
      <c r="L38" s="164"/>
      <c r="M38" s="158"/>
      <c r="O38" s="75"/>
      <c r="P38" s="75"/>
      <c r="Q38" s="75"/>
      <c r="T38" s="78" t="str">
        <f t="shared" si="0"/>
        <v/>
      </c>
      <c r="U38" s="78" t="str">
        <f t="shared" ca="1" si="1"/>
        <v/>
      </c>
    </row>
    <row r="39" spans="1:21" ht="15" customHeight="1" x14ac:dyDescent="0.25">
      <c r="A39"/>
      <c r="B39"/>
      <c r="C39"/>
      <c r="D39"/>
      <c r="E39"/>
      <c r="F39" s="37"/>
      <c r="G39"/>
      <c r="H39"/>
      <c r="I39"/>
      <c r="J39"/>
      <c r="K39"/>
      <c r="L39"/>
      <c r="M39" s="158"/>
      <c r="O39" s="75"/>
      <c r="P39" s="75"/>
      <c r="Q39" s="75"/>
      <c r="T39" s="78" t="str">
        <f t="shared" si="0"/>
        <v/>
      </c>
      <c r="U39" s="78" t="str">
        <f t="shared" ca="1" si="1"/>
        <v/>
      </c>
    </row>
    <row r="40" spans="1:21" ht="15" customHeight="1" x14ac:dyDescent="0.25">
      <c r="A40"/>
      <c r="B40"/>
      <c r="C40"/>
      <c r="D40"/>
      <c r="E40"/>
      <c r="F40" s="37"/>
      <c r="G40"/>
      <c r="H40"/>
      <c r="I40"/>
      <c r="J40"/>
      <c r="K40"/>
      <c r="L40" s="164"/>
      <c r="M40" s="158"/>
      <c r="O40" s="75"/>
      <c r="P40" s="75"/>
      <c r="Q40" s="75"/>
      <c r="T40" s="78" t="str">
        <f t="shared" si="0"/>
        <v/>
      </c>
      <c r="U40" s="78" t="str">
        <f t="shared" ca="1" si="1"/>
        <v/>
      </c>
    </row>
    <row r="41" spans="1:21" ht="15" customHeight="1" x14ac:dyDescent="0.25">
      <c r="A41"/>
      <c r="B41"/>
      <c r="C41"/>
      <c r="D41"/>
      <c r="E41"/>
      <c r="F41" s="37"/>
      <c r="G41"/>
      <c r="H41"/>
      <c r="I41"/>
      <c r="J41"/>
      <c r="K41"/>
      <c r="L41"/>
      <c r="M41" s="158"/>
      <c r="O41" s="75"/>
      <c r="P41" s="75"/>
      <c r="Q41" s="75"/>
      <c r="T41" s="78" t="str">
        <f t="shared" si="0"/>
        <v/>
      </c>
      <c r="U41" s="78" t="str">
        <f t="shared" ca="1" si="1"/>
        <v/>
      </c>
    </row>
    <row r="42" spans="1:21" ht="15" customHeight="1" x14ac:dyDescent="0.25">
      <c r="A42"/>
      <c r="B42"/>
      <c r="C42"/>
      <c r="D42"/>
      <c r="E42"/>
      <c r="F42" s="37"/>
      <c r="G42"/>
      <c r="H42"/>
      <c r="I42"/>
      <c r="J42"/>
      <c r="K42"/>
      <c r="L42"/>
      <c r="M42" s="158"/>
      <c r="O42" s="75"/>
      <c r="P42" s="75"/>
      <c r="Q42" s="75"/>
      <c r="T42" s="78" t="str">
        <f t="shared" si="0"/>
        <v/>
      </c>
      <c r="U42" s="78" t="str">
        <f t="shared" ca="1" si="1"/>
        <v/>
      </c>
    </row>
    <row r="43" spans="1:21" ht="15" customHeight="1" x14ac:dyDescent="0.25">
      <c r="A43"/>
      <c r="B43"/>
      <c r="C43"/>
      <c r="D43"/>
      <c r="E43"/>
      <c r="F43" s="37"/>
      <c r="G43"/>
      <c r="H43"/>
      <c r="I43"/>
      <c r="J43"/>
      <c r="K43"/>
      <c r="L43"/>
      <c r="M43" s="158"/>
      <c r="O43" s="75"/>
      <c r="P43" s="75"/>
      <c r="Q43" s="75"/>
      <c r="T43" s="78" t="str">
        <f t="shared" si="0"/>
        <v/>
      </c>
      <c r="U43" s="78" t="str">
        <f t="shared" ca="1" si="1"/>
        <v/>
      </c>
    </row>
    <row r="44" spans="1:21" ht="15" customHeight="1" x14ac:dyDescent="0.25">
      <c r="A44"/>
      <c r="B44"/>
      <c r="C44"/>
      <c r="D44"/>
      <c r="E44"/>
      <c r="F44" s="37"/>
      <c r="G44"/>
      <c r="H44"/>
      <c r="I44"/>
      <c r="J44"/>
      <c r="K44"/>
      <c r="L44"/>
      <c r="M44" s="158"/>
      <c r="O44" s="75"/>
      <c r="P44" s="75"/>
      <c r="Q44" s="75"/>
      <c r="T44" s="78" t="str">
        <f t="shared" si="0"/>
        <v/>
      </c>
      <c r="U44" s="78" t="str">
        <f t="shared" ca="1" si="1"/>
        <v/>
      </c>
    </row>
    <row r="45" spans="1:21" ht="15" customHeight="1" x14ac:dyDescent="0.25">
      <c r="A45" s="173"/>
      <c r="B45" s="173"/>
      <c r="C45" s="173"/>
      <c r="D45" s="173"/>
      <c r="E45" s="173"/>
      <c r="F45" s="37"/>
      <c r="G45" s="173"/>
      <c r="H45" s="173"/>
      <c r="I45" s="173"/>
      <c r="J45" s="173"/>
      <c r="K45" s="173"/>
      <c r="L45" s="173"/>
      <c r="M45" s="158"/>
      <c r="O45" s="75"/>
      <c r="P45" s="75"/>
      <c r="Q45" s="75"/>
      <c r="T45" s="78" t="str">
        <f t="shared" si="0"/>
        <v/>
      </c>
      <c r="U45" s="78" t="str">
        <f t="shared" ca="1" si="1"/>
        <v/>
      </c>
    </row>
    <row r="46" spans="1:21" ht="15" customHeight="1" x14ac:dyDescent="0.25">
      <c r="A46" s="173"/>
      <c r="B46" s="173"/>
      <c r="C46" s="173"/>
      <c r="D46" s="173"/>
      <c r="E46" s="173"/>
      <c r="F46" s="37"/>
      <c r="G46" s="173"/>
      <c r="H46" s="173"/>
      <c r="I46" s="173"/>
      <c r="J46" s="173"/>
      <c r="K46" s="173"/>
      <c r="L46" s="173"/>
      <c r="M46" s="96"/>
      <c r="O46" s="75"/>
      <c r="P46" s="75"/>
      <c r="Q46" s="75"/>
      <c r="T46" s="78" t="str">
        <f t="shared" si="0"/>
        <v/>
      </c>
      <c r="U46" s="78" t="str">
        <f t="shared" ca="1" si="1"/>
        <v/>
      </c>
    </row>
    <row r="47" spans="1:21" ht="15" customHeight="1" x14ac:dyDescent="0.25">
      <c r="A47" s="75"/>
      <c r="B47" s="75"/>
      <c r="C47" s="75"/>
      <c r="D47" s="75"/>
      <c r="E47" s="75"/>
      <c r="F47" s="96"/>
      <c r="G47" s="75"/>
      <c r="H47" s="75"/>
      <c r="I47" s="75"/>
      <c r="J47" s="75"/>
      <c r="K47" s="75"/>
      <c r="L47" s="75"/>
      <c r="M47" s="96"/>
      <c r="O47" s="75"/>
      <c r="P47" s="75"/>
      <c r="Q47" s="75"/>
      <c r="T47" s="78" t="str">
        <f t="shared" si="0"/>
        <v/>
      </c>
      <c r="U47" s="78" t="str">
        <f t="shared" ca="1" si="1"/>
        <v/>
      </c>
    </row>
    <row r="48" spans="1:21" ht="15" customHeight="1" x14ac:dyDescent="0.25">
      <c r="A48" s="75"/>
      <c r="B48" s="75"/>
      <c r="C48" s="75"/>
      <c r="D48" s="75"/>
      <c r="E48" s="75"/>
      <c r="F48" s="96"/>
      <c r="G48" s="75"/>
      <c r="H48" s="75"/>
      <c r="I48" s="75"/>
      <c r="J48" s="75"/>
      <c r="K48" s="75"/>
      <c r="L48" s="75"/>
      <c r="M48" s="96"/>
      <c r="O48" s="75"/>
      <c r="P48" s="75"/>
      <c r="Q48" s="75"/>
      <c r="T48" s="78" t="str">
        <f t="shared" si="0"/>
        <v/>
      </c>
      <c r="U48" s="78" t="str">
        <f t="shared" ca="1" si="1"/>
        <v/>
      </c>
    </row>
    <row r="49" spans="1:21" ht="15" customHeight="1" x14ac:dyDescent="0.25">
      <c r="A49" s="75"/>
      <c r="B49" s="75"/>
      <c r="C49" s="75"/>
      <c r="D49" s="75"/>
      <c r="E49" s="75"/>
      <c r="F49" s="96"/>
      <c r="G49" s="75"/>
      <c r="H49" s="75"/>
      <c r="I49" s="75"/>
      <c r="J49" s="75"/>
      <c r="K49" s="75"/>
      <c r="L49" s="75"/>
      <c r="M49" s="96"/>
      <c r="O49" s="75"/>
      <c r="P49" s="75"/>
      <c r="Q49" s="75"/>
      <c r="T49" s="78" t="str">
        <f t="shared" si="0"/>
        <v/>
      </c>
      <c r="U49" s="78" t="str">
        <f t="shared" ca="1" si="1"/>
        <v/>
      </c>
    </row>
    <row r="50" spans="1:21" ht="15" customHeight="1" x14ac:dyDescent="0.25">
      <c r="A50" s="75"/>
      <c r="B50" s="75"/>
      <c r="C50" s="75"/>
      <c r="D50" s="75"/>
      <c r="E50" s="75"/>
      <c r="F50" s="96"/>
      <c r="G50" s="75"/>
      <c r="H50" s="75"/>
      <c r="I50" s="75"/>
      <c r="J50" s="75"/>
      <c r="K50" s="75"/>
      <c r="L50" s="75"/>
      <c r="M50" s="96"/>
      <c r="O50" s="75"/>
      <c r="P50" s="75"/>
      <c r="Q50" s="75"/>
      <c r="T50" s="78" t="str">
        <f t="shared" si="0"/>
        <v/>
      </c>
      <c r="U50" s="78" t="str">
        <f t="shared" ca="1" si="1"/>
        <v/>
      </c>
    </row>
    <row r="51" spans="1:21" ht="15" customHeight="1" x14ac:dyDescent="0.25">
      <c r="A51" s="75"/>
      <c r="B51" s="75"/>
      <c r="C51" s="75"/>
      <c r="D51" s="75"/>
      <c r="E51" s="75"/>
      <c r="F51" s="96"/>
      <c r="G51" s="75"/>
      <c r="H51" s="75"/>
      <c r="I51" s="75"/>
      <c r="J51" s="75"/>
      <c r="K51" s="75"/>
      <c r="L51" s="75"/>
      <c r="M51" s="96"/>
      <c r="O51" s="75"/>
      <c r="P51" s="75"/>
      <c r="Q51" s="75"/>
      <c r="T51" s="78" t="str">
        <f t="shared" si="0"/>
        <v/>
      </c>
      <c r="U51" s="78" t="str">
        <f t="shared" ca="1" si="1"/>
        <v/>
      </c>
    </row>
    <row r="52" spans="1:21" ht="15" customHeight="1" x14ac:dyDescent="0.25">
      <c r="A52" s="75"/>
      <c r="B52" s="75"/>
      <c r="C52" s="75"/>
      <c r="D52" s="75"/>
      <c r="E52" s="75"/>
      <c r="F52" s="96"/>
      <c r="G52" s="75"/>
      <c r="H52" s="75"/>
      <c r="I52" s="75"/>
      <c r="J52" s="75"/>
      <c r="K52" s="75"/>
      <c r="L52" s="75"/>
      <c r="M52" s="96"/>
      <c r="O52" s="75"/>
      <c r="P52" s="75"/>
      <c r="Q52" s="75"/>
      <c r="T52" s="78" t="str">
        <f t="shared" si="0"/>
        <v/>
      </c>
      <c r="U52" s="78" t="str">
        <f t="shared" ca="1" si="1"/>
        <v/>
      </c>
    </row>
    <row r="53" spans="1:21" ht="15" customHeight="1" x14ac:dyDescent="0.25">
      <c r="A53" s="75"/>
      <c r="B53" s="75"/>
      <c r="C53" s="75"/>
      <c r="D53" s="75"/>
      <c r="E53" s="75"/>
      <c r="F53" s="96"/>
      <c r="G53" s="75"/>
      <c r="H53" s="75"/>
      <c r="I53" s="75"/>
      <c r="J53" s="75"/>
      <c r="K53" s="75"/>
      <c r="L53" s="75"/>
      <c r="M53" s="96"/>
      <c r="O53" s="75"/>
      <c r="P53" s="75"/>
      <c r="Q53" s="75"/>
      <c r="T53" s="78" t="str">
        <f t="shared" si="0"/>
        <v/>
      </c>
      <c r="U53" s="78" t="str">
        <f t="shared" ca="1" si="1"/>
        <v/>
      </c>
    </row>
    <row r="54" spans="1:21" ht="15" customHeight="1" x14ac:dyDescent="0.25">
      <c r="A54" s="75"/>
      <c r="B54" s="75"/>
      <c r="C54" s="75"/>
      <c r="D54" s="75"/>
      <c r="E54" s="75"/>
      <c r="F54" s="96"/>
      <c r="G54" s="75"/>
      <c r="H54" s="75"/>
      <c r="I54" s="75"/>
      <c r="J54" s="75"/>
      <c r="K54" s="75"/>
      <c r="L54" s="75"/>
      <c r="M54" s="96"/>
      <c r="O54" s="75"/>
      <c r="P54" s="75"/>
      <c r="Q54" s="75"/>
      <c r="T54" s="78" t="str">
        <f t="shared" si="0"/>
        <v/>
      </c>
      <c r="U54" s="78" t="str">
        <f t="shared" ca="1" si="1"/>
        <v/>
      </c>
    </row>
    <row r="55" spans="1:21" ht="15" customHeight="1" x14ac:dyDescent="0.25">
      <c r="A55" s="75"/>
      <c r="B55" s="75"/>
      <c r="C55" s="75"/>
      <c r="D55" s="75"/>
      <c r="E55" s="75"/>
      <c r="F55" s="96"/>
      <c r="G55" s="75"/>
      <c r="H55" s="75"/>
      <c r="I55" s="75"/>
      <c r="J55" s="75"/>
      <c r="K55" s="75"/>
      <c r="L55" s="75"/>
      <c r="M55" s="96"/>
      <c r="O55" s="75"/>
      <c r="P55" s="75"/>
      <c r="Q55" s="75"/>
      <c r="T55" s="78" t="str">
        <f t="shared" si="0"/>
        <v/>
      </c>
      <c r="U55" s="78" t="str">
        <f t="shared" ca="1" si="1"/>
        <v/>
      </c>
    </row>
    <row r="56" spans="1:21" ht="15" customHeight="1" x14ac:dyDescent="0.25">
      <c r="A56" s="75"/>
      <c r="B56" s="75"/>
      <c r="C56" s="75"/>
      <c r="D56" s="75"/>
      <c r="E56" s="75"/>
      <c r="F56" s="96"/>
      <c r="G56" s="75"/>
      <c r="H56" s="75"/>
      <c r="I56" s="75"/>
      <c r="J56" s="75"/>
      <c r="K56" s="75"/>
      <c r="L56" s="75"/>
      <c r="M56" s="96"/>
      <c r="O56" s="75"/>
      <c r="P56" s="75"/>
      <c r="Q56" s="75"/>
      <c r="T56" s="78" t="str">
        <f t="shared" si="0"/>
        <v/>
      </c>
      <c r="U56" s="78" t="str">
        <f t="shared" ca="1" si="1"/>
        <v/>
      </c>
    </row>
    <row r="57" spans="1:21" ht="15" customHeight="1" x14ac:dyDescent="0.25">
      <c r="A57" s="75"/>
      <c r="B57" s="75"/>
      <c r="C57" s="75"/>
      <c r="D57" s="75"/>
      <c r="E57" s="75"/>
      <c r="F57" s="96"/>
      <c r="G57" s="75"/>
      <c r="H57" s="75"/>
      <c r="I57" s="75"/>
      <c r="J57" s="75"/>
      <c r="K57" s="75"/>
      <c r="L57" s="75"/>
      <c r="M57" s="96"/>
      <c r="O57" s="75"/>
      <c r="P57" s="75"/>
      <c r="Q57" s="75"/>
      <c r="T57" s="78" t="str">
        <f t="shared" si="0"/>
        <v/>
      </c>
      <c r="U57" s="78" t="str">
        <f t="shared" ca="1" si="1"/>
        <v/>
      </c>
    </row>
    <row r="58" spans="1:21" ht="15" customHeight="1" x14ac:dyDescent="0.25">
      <c r="A58" s="75"/>
      <c r="B58" s="75"/>
      <c r="C58" s="75"/>
      <c r="D58" s="75"/>
      <c r="E58" s="75"/>
      <c r="F58" s="96"/>
      <c r="G58" s="75"/>
      <c r="H58" s="75"/>
      <c r="I58" s="75"/>
      <c r="J58" s="75"/>
      <c r="K58" s="75"/>
      <c r="L58" s="75"/>
      <c r="M58" s="96"/>
      <c r="O58" s="75"/>
      <c r="P58" s="75"/>
      <c r="Q58" s="75"/>
      <c r="T58" s="78" t="str">
        <f t="shared" si="0"/>
        <v/>
      </c>
      <c r="U58" s="78" t="str">
        <f t="shared" ca="1" si="1"/>
        <v/>
      </c>
    </row>
    <row r="59" spans="1:21" ht="15" customHeight="1" x14ac:dyDescent="0.25">
      <c r="A59" s="75"/>
      <c r="B59" s="75"/>
      <c r="C59" s="75"/>
      <c r="D59" s="75"/>
      <c r="E59" s="75"/>
      <c r="F59" s="96"/>
      <c r="G59" s="75"/>
      <c r="H59" s="75"/>
      <c r="I59" s="75"/>
      <c r="J59" s="75"/>
      <c r="K59" s="75"/>
      <c r="L59" s="75"/>
      <c r="M59" s="96"/>
      <c r="O59" s="75"/>
      <c r="P59" s="75"/>
      <c r="Q59" s="75"/>
      <c r="T59" s="78" t="str">
        <f t="shared" si="0"/>
        <v/>
      </c>
      <c r="U59" s="78" t="str">
        <f t="shared" ca="1" si="1"/>
        <v/>
      </c>
    </row>
    <row r="60" spans="1:21" ht="15" customHeight="1" x14ac:dyDescent="0.25">
      <c r="A60" s="75"/>
      <c r="B60" s="75"/>
      <c r="C60" s="75"/>
      <c r="D60" s="75"/>
      <c r="E60" s="75"/>
      <c r="F60" s="96"/>
      <c r="G60" s="75"/>
      <c r="H60" s="75"/>
      <c r="I60" s="75"/>
      <c r="J60" s="75"/>
      <c r="K60" s="75"/>
      <c r="L60" s="75"/>
      <c r="M60" s="96"/>
      <c r="O60" s="75"/>
      <c r="P60" s="75"/>
      <c r="Q60" s="75"/>
      <c r="T60" s="78" t="str">
        <f t="shared" si="0"/>
        <v/>
      </c>
      <c r="U60" s="78" t="str">
        <f t="shared" ca="1" si="1"/>
        <v/>
      </c>
    </row>
    <row r="61" spans="1:21" ht="15" customHeight="1" x14ac:dyDescent="0.25">
      <c r="A61" s="75"/>
      <c r="B61" s="75"/>
      <c r="C61" s="75"/>
      <c r="D61" s="75"/>
      <c r="E61" s="75"/>
      <c r="F61" s="96"/>
      <c r="G61" s="75"/>
      <c r="H61" s="75"/>
      <c r="I61" s="75"/>
      <c r="J61" s="75"/>
      <c r="K61" s="75"/>
      <c r="L61" s="75"/>
      <c r="M61" s="96"/>
      <c r="O61" s="75"/>
      <c r="P61" s="75"/>
      <c r="Q61" s="75"/>
      <c r="T61" s="78" t="str">
        <f t="shared" si="0"/>
        <v/>
      </c>
      <c r="U61" s="78" t="str">
        <f t="shared" ca="1" si="1"/>
        <v/>
      </c>
    </row>
    <row r="62" spans="1:21" ht="15" customHeight="1" x14ac:dyDescent="0.25">
      <c r="A62" s="75"/>
      <c r="B62" s="75"/>
      <c r="C62" s="75"/>
      <c r="D62" s="75"/>
      <c r="E62" s="75"/>
      <c r="F62" s="96"/>
      <c r="G62" s="75"/>
      <c r="H62" s="75"/>
      <c r="I62" s="75"/>
      <c r="J62" s="75"/>
      <c r="K62" s="75"/>
      <c r="L62" s="75"/>
      <c r="M62" s="96"/>
      <c r="O62" s="75"/>
      <c r="P62" s="75"/>
      <c r="Q62" s="75"/>
      <c r="T62" s="78" t="str">
        <f t="shared" si="0"/>
        <v/>
      </c>
      <c r="U62" s="78" t="str">
        <f t="shared" ca="1" si="1"/>
        <v/>
      </c>
    </row>
    <row r="63" spans="1:21" ht="15" customHeight="1" x14ac:dyDescent="0.25">
      <c r="A63" s="75"/>
      <c r="B63" s="75"/>
      <c r="C63" s="75"/>
      <c r="D63" s="75"/>
      <c r="E63" s="75"/>
      <c r="F63" s="96"/>
      <c r="G63" s="75"/>
      <c r="H63" s="75"/>
      <c r="I63" s="75"/>
      <c r="J63" s="75"/>
      <c r="K63" s="75"/>
      <c r="L63" s="75"/>
      <c r="M63" s="96"/>
      <c r="O63" s="75"/>
      <c r="P63" s="75"/>
      <c r="Q63" s="75"/>
      <c r="T63" s="78" t="str">
        <f t="shared" si="0"/>
        <v/>
      </c>
      <c r="U63" s="78" t="str">
        <f t="shared" ca="1" si="1"/>
        <v/>
      </c>
    </row>
    <row r="64" spans="1:21" ht="15" customHeight="1" x14ac:dyDescent="0.25">
      <c r="A64" s="75"/>
      <c r="B64" s="75"/>
      <c r="C64" s="75"/>
      <c r="D64" s="75"/>
      <c r="E64" s="75"/>
      <c r="F64" s="96"/>
      <c r="G64" s="75"/>
      <c r="H64" s="75"/>
      <c r="I64" s="75"/>
      <c r="J64" s="75"/>
      <c r="K64" s="75"/>
      <c r="L64" s="75"/>
      <c r="M64" s="96"/>
      <c r="O64" s="75"/>
      <c r="P64" s="75"/>
      <c r="Q64" s="75"/>
      <c r="T64" s="78" t="str">
        <f t="shared" si="0"/>
        <v/>
      </c>
      <c r="U64" s="78" t="str">
        <f t="shared" ca="1" si="1"/>
        <v/>
      </c>
    </row>
    <row r="65" spans="1:21" ht="15" customHeight="1" x14ac:dyDescent="0.25">
      <c r="A65" s="75"/>
      <c r="B65" s="75"/>
      <c r="C65" s="75"/>
      <c r="D65" s="75"/>
      <c r="E65" s="75"/>
      <c r="F65" s="96"/>
      <c r="G65" s="75"/>
      <c r="H65" s="75"/>
      <c r="I65" s="75"/>
      <c r="J65" s="75"/>
      <c r="K65" s="75"/>
      <c r="L65" s="75"/>
      <c r="M65" s="96"/>
      <c r="O65" s="75"/>
      <c r="P65" s="75"/>
      <c r="Q65" s="75"/>
      <c r="T65" s="78" t="str">
        <f t="shared" si="0"/>
        <v/>
      </c>
      <c r="U65" s="78" t="str">
        <f t="shared" ca="1" si="1"/>
        <v/>
      </c>
    </row>
    <row r="66" spans="1:21" ht="15" customHeight="1" x14ac:dyDescent="0.25">
      <c r="A66" s="75"/>
      <c r="B66" s="75"/>
      <c r="C66" s="75"/>
      <c r="D66" s="75"/>
      <c r="E66" s="75"/>
      <c r="F66" s="96"/>
      <c r="G66" s="75"/>
      <c r="H66" s="75"/>
      <c r="I66" s="75"/>
      <c r="J66" s="75"/>
      <c r="K66" s="75"/>
      <c r="L66" s="75"/>
      <c r="M66" s="96"/>
      <c r="O66" s="75"/>
      <c r="P66" s="75"/>
      <c r="Q66" s="75"/>
      <c r="T66" s="78" t="str">
        <f t="shared" ref="T66:T129" si="2">IF(H:H&lt;&gt;"",(H66&amp;"-"&amp;I66),"")</f>
        <v/>
      </c>
      <c r="U66" s="78" t="str">
        <f t="shared" ref="U66:U129" ca="1" si="3">IF(F:F&lt;&gt;"",(IF(E66&lt;&gt;"Closed",DATEDIF(F66,TODAY(),"d"),"")),"")</f>
        <v/>
      </c>
    </row>
    <row r="67" spans="1:21" ht="15" customHeight="1" x14ac:dyDescent="0.25">
      <c r="A67" s="75"/>
      <c r="B67" s="75"/>
      <c r="C67" s="75"/>
      <c r="D67" s="75"/>
      <c r="E67" s="75"/>
      <c r="F67" s="96"/>
      <c r="G67" s="75"/>
      <c r="H67" s="75"/>
      <c r="I67" s="75"/>
      <c r="J67" s="75"/>
      <c r="K67" s="75"/>
      <c r="L67" s="75"/>
      <c r="M67" s="96"/>
      <c r="O67" s="75"/>
      <c r="P67" s="75"/>
      <c r="Q67" s="75"/>
      <c r="T67" s="78" t="str">
        <f t="shared" si="2"/>
        <v/>
      </c>
      <c r="U67" s="78" t="str">
        <f t="shared" ca="1" si="3"/>
        <v/>
      </c>
    </row>
    <row r="68" spans="1:21" ht="15" customHeight="1" x14ac:dyDescent="0.25">
      <c r="A68" s="75"/>
      <c r="B68" s="75"/>
      <c r="C68" s="75"/>
      <c r="D68" s="75"/>
      <c r="E68" s="75"/>
      <c r="F68" s="96"/>
      <c r="G68" s="75"/>
      <c r="H68" s="75"/>
      <c r="I68" s="75"/>
      <c r="J68" s="75"/>
      <c r="K68" s="75"/>
      <c r="L68" s="75"/>
      <c r="M68" s="96"/>
      <c r="O68" s="75"/>
      <c r="P68" s="75"/>
      <c r="Q68" s="75"/>
      <c r="T68" s="78" t="str">
        <f t="shared" si="2"/>
        <v/>
      </c>
      <c r="U68" s="78" t="str">
        <f t="shared" ca="1" si="3"/>
        <v/>
      </c>
    </row>
    <row r="69" spans="1:21" ht="15" customHeight="1" x14ac:dyDescent="0.25">
      <c r="A69" s="75"/>
      <c r="B69" s="75"/>
      <c r="C69" s="75"/>
      <c r="D69" s="75"/>
      <c r="E69" s="75"/>
      <c r="F69" s="96"/>
      <c r="G69" s="75"/>
      <c r="H69" s="75"/>
      <c r="I69" s="75"/>
      <c r="J69" s="75"/>
      <c r="K69" s="75"/>
      <c r="L69" s="75"/>
      <c r="M69" s="96"/>
      <c r="O69" s="75"/>
      <c r="P69" s="75"/>
      <c r="Q69" s="75"/>
      <c r="T69" s="78" t="str">
        <f t="shared" si="2"/>
        <v/>
      </c>
      <c r="U69" s="78" t="str">
        <f t="shared" ca="1" si="3"/>
        <v/>
      </c>
    </row>
    <row r="70" spans="1:21" ht="15" customHeight="1" x14ac:dyDescent="0.25">
      <c r="A70" s="75"/>
      <c r="B70" s="75"/>
      <c r="C70" s="75"/>
      <c r="D70" s="75"/>
      <c r="E70" s="75"/>
      <c r="F70" s="96"/>
      <c r="G70" s="75"/>
      <c r="H70" s="75"/>
      <c r="I70" s="75"/>
      <c r="J70" s="75"/>
      <c r="K70" s="75"/>
      <c r="L70" s="75"/>
      <c r="M70" s="96"/>
      <c r="O70" s="75"/>
      <c r="P70" s="75"/>
      <c r="Q70" s="75"/>
      <c r="T70" s="78" t="str">
        <f t="shared" si="2"/>
        <v/>
      </c>
      <c r="U70" s="78" t="str">
        <f t="shared" ca="1" si="3"/>
        <v/>
      </c>
    </row>
    <row r="71" spans="1:21" ht="15" customHeight="1" x14ac:dyDescent="0.25">
      <c r="A71" s="75"/>
      <c r="B71" s="75"/>
      <c r="C71" s="75"/>
      <c r="D71" s="75"/>
      <c r="E71" s="75"/>
      <c r="F71" s="96"/>
      <c r="G71" s="75"/>
      <c r="H71" s="75"/>
      <c r="I71" s="75"/>
      <c r="J71" s="75"/>
      <c r="K71" s="75"/>
      <c r="L71" s="75"/>
      <c r="M71" s="96"/>
      <c r="O71" s="75"/>
      <c r="P71" s="75"/>
      <c r="Q71" s="75"/>
      <c r="T71" s="78" t="str">
        <f t="shared" si="2"/>
        <v/>
      </c>
      <c r="U71" s="78" t="str">
        <f t="shared" ca="1" si="3"/>
        <v/>
      </c>
    </row>
    <row r="72" spans="1:21" ht="15" customHeight="1" x14ac:dyDescent="0.25">
      <c r="A72" s="75"/>
      <c r="B72" s="75"/>
      <c r="C72" s="75"/>
      <c r="D72" s="75"/>
      <c r="E72" s="75"/>
      <c r="F72" s="96"/>
      <c r="G72" s="75"/>
      <c r="H72" s="75"/>
      <c r="I72" s="75"/>
      <c r="J72" s="75"/>
      <c r="K72" s="75"/>
      <c r="L72" s="75"/>
      <c r="M72" s="96"/>
      <c r="O72" s="75"/>
      <c r="P72" s="75"/>
      <c r="Q72" s="75"/>
      <c r="T72" s="78" t="str">
        <f t="shared" si="2"/>
        <v/>
      </c>
      <c r="U72" s="78" t="str">
        <f t="shared" ca="1" si="3"/>
        <v/>
      </c>
    </row>
    <row r="73" spans="1:21" ht="15" customHeight="1" x14ac:dyDescent="0.25">
      <c r="A73" s="75"/>
      <c r="B73" s="75"/>
      <c r="C73" s="75"/>
      <c r="D73" s="75"/>
      <c r="E73" s="75"/>
      <c r="F73" s="96"/>
      <c r="G73" s="75"/>
      <c r="H73" s="75"/>
      <c r="I73" s="75"/>
      <c r="J73" s="75"/>
      <c r="K73" s="75"/>
      <c r="L73" s="75"/>
      <c r="M73" s="96"/>
      <c r="O73" s="75"/>
      <c r="P73" s="75"/>
      <c r="Q73" s="75"/>
      <c r="T73" s="78" t="str">
        <f t="shared" si="2"/>
        <v/>
      </c>
      <c r="U73" s="78" t="str">
        <f t="shared" ca="1" si="3"/>
        <v/>
      </c>
    </row>
    <row r="74" spans="1:21" ht="15" customHeight="1" x14ac:dyDescent="0.25">
      <c r="A74" s="75"/>
      <c r="B74" s="75"/>
      <c r="C74" s="75"/>
      <c r="D74" s="75"/>
      <c r="E74" s="75"/>
      <c r="F74" s="96"/>
      <c r="G74" s="75"/>
      <c r="H74" s="75"/>
      <c r="I74" s="75"/>
      <c r="J74" s="75"/>
      <c r="K74" s="75"/>
      <c r="L74" s="75"/>
      <c r="M74" s="96"/>
      <c r="O74" s="75"/>
      <c r="P74" s="75"/>
      <c r="Q74" s="75"/>
      <c r="T74" s="78" t="str">
        <f t="shared" si="2"/>
        <v/>
      </c>
      <c r="U74" s="78" t="str">
        <f t="shared" ca="1" si="3"/>
        <v/>
      </c>
    </row>
    <row r="75" spans="1:21" ht="15" customHeight="1" x14ac:dyDescent="0.25">
      <c r="A75" s="75"/>
      <c r="B75" s="75"/>
      <c r="C75" s="75"/>
      <c r="D75" s="75"/>
      <c r="E75" s="75"/>
      <c r="F75" s="96"/>
      <c r="G75" s="75"/>
      <c r="H75" s="75"/>
      <c r="I75" s="75"/>
      <c r="J75" s="75"/>
      <c r="K75" s="75"/>
      <c r="L75" s="75"/>
      <c r="M75" s="96"/>
      <c r="O75" s="75"/>
      <c r="P75" s="75"/>
      <c r="Q75" s="75"/>
      <c r="T75" s="78" t="str">
        <f t="shared" si="2"/>
        <v/>
      </c>
      <c r="U75" s="78" t="str">
        <f t="shared" ca="1" si="3"/>
        <v/>
      </c>
    </row>
    <row r="76" spans="1:21" ht="15" customHeight="1" x14ac:dyDescent="0.25">
      <c r="A76" s="75"/>
      <c r="B76" s="75"/>
      <c r="C76" s="75"/>
      <c r="D76" s="75"/>
      <c r="E76" s="75"/>
      <c r="F76" s="96"/>
      <c r="G76" s="75"/>
      <c r="H76" s="75"/>
      <c r="I76" s="75"/>
      <c r="J76" s="75"/>
      <c r="K76" s="75"/>
      <c r="L76" s="75"/>
      <c r="M76" s="96"/>
      <c r="O76" s="75"/>
      <c r="P76" s="75"/>
      <c r="Q76" s="75"/>
      <c r="T76" s="78" t="str">
        <f t="shared" si="2"/>
        <v/>
      </c>
      <c r="U76" s="78" t="str">
        <f t="shared" ca="1" si="3"/>
        <v/>
      </c>
    </row>
    <row r="77" spans="1:21" ht="15" customHeight="1" x14ac:dyDescent="0.25">
      <c r="A77" s="75"/>
      <c r="B77" s="75"/>
      <c r="C77" s="75"/>
      <c r="D77" s="75"/>
      <c r="E77" s="75"/>
      <c r="F77" s="96"/>
      <c r="G77" s="75"/>
      <c r="H77" s="75"/>
      <c r="I77" s="75"/>
      <c r="J77" s="75"/>
      <c r="K77" s="75"/>
      <c r="L77" s="75"/>
      <c r="M77" s="96"/>
      <c r="O77" s="75"/>
      <c r="P77" s="75"/>
      <c r="Q77" s="75"/>
      <c r="T77" s="78" t="str">
        <f t="shared" si="2"/>
        <v/>
      </c>
      <c r="U77" s="78" t="str">
        <f t="shared" ca="1" si="3"/>
        <v/>
      </c>
    </row>
    <row r="78" spans="1:21" ht="15" customHeight="1" x14ac:dyDescent="0.25">
      <c r="A78" s="75"/>
      <c r="B78" s="75"/>
      <c r="C78" s="75"/>
      <c r="D78" s="75"/>
      <c r="E78" s="75"/>
      <c r="F78" s="96"/>
      <c r="G78" s="75"/>
      <c r="H78" s="75"/>
      <c r="I78" s="75"/>
      <c r="J78" s="75"/>
      <c r="K78" s="75"/>
      <c r="L78" s="75"/>
      <c r="M78" s="96"/>
      <c r="O78" s="75"/>
      <c r="P78" s="75"/>
      <c r="Q78" s="75"/>
      <c r="T78" s="78" t="str">
        <f t="shared" si="2"/>
        <v/>
      </c>
      <c r="U78" s="78" t="str">
        <f t="shared" ca="1" si="3"/>
        <v/>
      </c>
    </row>
    <row r="79" spans="1:21" ht="15" customHeight="1" x14ac:dyDescent="0.25">
      <c r="A79" s="75"/>
      <c r="B79" s="75"/>
      <c r="C79" s="75"/>
      <c r="D79" s="75"/>
      <c r="E79" s="75"/>
      <c r="F79" s="96"/>
      <c r="G79" s="75"/>
      <c r="H79" s="75"/>
      <c r="I79" s="75"/>
      <c r="J79" s="75"/>
      <c r="K79" s="75"/>
      <c r="L79" s="75"/>
      <c r="M79" s="96"/>
      <c r="O79" s="75"/>
      <c r="P79" s="75"/>
      <c r="Q79" s="75"/>
      <c r="T79" s="78" t="str">
        <f t="shared" si="2"/>
        <v/>
      </c>
      <c r="U79" s="78" t="str">
        <f t="shared" ca="1" si="3"/>
        <v/>
      </c>
    </row>
    <row r="80" spans="1:21" ht="15" customHeight="1" x14ac:dyDescent="0.25">
      <c r="A80" s="75"/>
      <c r="B80" s="75"/>
      <c r="C80" s="75"/>
      <c r="D80" s="75"/>
      <c r="E80" s="75"/>
      <c r="F80" s="96"/>
      <c r="G80" s="75"/>
      <c r="H80" s="75"/>
      <c r="I80" s="75"/>
      <c r="J80" s="75"/>
      <c r="K80" s="75"/>
      <c r="L80" s="75"/>
      <c r="M80" s="96"/>
      <c r="O80" s="75"/>
      <c r="P80" s="75"/>
      <c r="Q80" s="75"/>
      <c r="T80" s="78" t="str">
        <f t="shared" si="2"/>
        <v/>
      </c>
      <c r="U80" s="78" t="str">
        <f t="shared" ca="1" si="3"/>
        <v/>
      </c>
    </row>
    <row r="81" spans="1:21" ht="15" customHeight="1" x14ac:dyDescent="0.25">
      <c r="A81" s="75"/>
      <c r="B81" s="75"/>
      <c r="C81" s="75"/>
      <c r="D81" s="75"/>
      <c r="E81" s="75"/>
      <c r="F81" s="96"/>
      <c r="G81" s="75"/>
      <c r="H81" s="75"/>
      <c r="I81" s="75"/>
      <c r="J81" s="75"/>
      <c r="K81" s="75"/>
      <c r="L81" s="75"/>
      <c r="M81" s="96"/>
      <c r="O81" s="75"/>
      <c r="P81" s="75"/>
      <c r="Q81" s="75"/>
      <c r="T81" s="78" t="str">
        <f t="shared" si="2"/>
        <v/>
      </c>
      <c r="U81" s="78" t="str">
        <f t="shared" ca="1" si="3"/>
        <v/>
      </c>
    </row>
    <row r="82" spans="1:21" ht="15" customHeight="1" x14ac:dyDescent="0.25">
      <c r="A82" s="75"/>
      <c r="B82" s="75"/>
      <c r="C82" s="75"/>
      <c r="D82" s="75"/>
      <c r="E82" s="75"/>
      <c r="F82" s="96"/>
      <c r="G82" s="75"/>
      <c r="H82" s="75"/>
      <c r="I82" s="75"/>
      <c r="J82" s="75"/>
      <c r="K82" s="75"/>
      <c r="L82" s="75"/>
      <c r="M82" s="96"/>
      <c r="O82" s="75"/>
      <c r="P82" s="75"/>
      <c r="Q82" s="75"/>
      <c r="T82" s="78" t="str">
        <f t="shared" si="2"/>
        <v/>
      </c>
      <c r="U82" s="78" t="str">
        <f t="shared" ca="1" si="3"/>
        <v/>
      </c>
    </row>
    <row r="83" spans="1:21" ht="15" customHeight="1" x14ac:dyDescent="0.25">
      <c r="A83" s="75"/>
      <c r="B83" s="75"/>
      <c r="C83" s="75"/>
      <c r="D83" s="75"/>
      <c r="E83" s="75"/>
      <c r="F83" s="96"/>
      <c r="G83" s="75"/>
      <c r="H83" s="75"/>
      <c r="I83" s="75"/>
      <c r="J83" s="75"/>
      <c r="K83" s="75"/>
      <c r="L83" s="75"/>
      <c r="M83" s="96"/>
      <c r="O83" s="75"/>
      <c r="P83" s="75"/>
      <c r="Q83" s="75"/>
      <c r="T83" s="78" t="str">
        <f t="shared" si="2"/>
        <v/>
      </c>
      <c r="U83" s="78" t="str">
        <f t="shared" ca="1" si="3"/>
        <v/>
      </c>
    </row>
    <row r="84" spans="1:21" ht="15" customHeight="1" x14ac:dyDescent="0.25">
      <c r="A84" s="75"/>
      <c r="B84" s="75"/>
      <c r="C84" s="75"/>
      <c r="D84" s="75"/>
      <c r="E84" s="75"/>
      <c r="F84" s="96"/>
      <c r="G84" s="75"/>
      <c r="H84" s="75"/>
      <c r="I84" s="75"/>
      <c r="J84" s="75"/>
      <c r="K84" s="75"/>
      <c r="L84" s="75"/>
      <c r="M84" s="96"/>
      <c r="O84" s="75"/>
      <c r="P84" s="75"/>
      <c r="Q84" s="75"/>
      <c r="T84" s="78" t="str">
        <f t="shared" si="2"/>
        <v/>
      </c>
      <c r="U84" s="78" t="str">
        <f t="shared" ca="1" si="3"/>
        <v/>
      </c>
    </row>
    <row r="85" spans="1:21" ht="15" customHeight="1" x14ac:dyDescent="0.25">
      <c r="A85" s="75"/>
      <c r="B85" s="75"/>
      <c r="C85" s="75"/>
      <c r="D85" s="75"/>
      <c r="E85" s="75"/>
      <c r="F85" s="96"/>
      <c r="G85" s="75"/>
      <c r="H85" s="75"/>
      <c r="I85" s="75"/>
      <c r="J85" s="75"/>
      <c r="K85" s="75"/>
      <c r="L85" s="75"/>
      <c r="M85" s="96"/>
      <c r="O85" s="75"/>
      <c r="P85" s="75"/>
      <c r="Q85" s="75"/>
      <c r="T85" s="78" t="str">
        <f t="shared" si="2"/>
        <v/>
      </c>
      <c r="U85" s="78" t="str">
        <f t="shared" ca="1" si="3"/>
        <v/>
      </c>
    </row>
    <row r="86" spans="1:21" ht="15" customHeight="1" x14ac:dyDescent="0.25">
      <c r="A86" s="75"/>
      <c r="B86" s="75"/>
      <c r="C86" s="75"/>
      <c r="D86" s="75"/>
      <c r="E86" s="75"/>
      <c r="F86" s="96"/>
      <c r="G86" s="75"/>
      <c r="H86" s="75"/>
      <c r="I86" s="75"/>
      <c r="J86" s="75"/>
      <c r="K86" s="75"/>
      <c r="L86" s="75"/>
      <c r="M86" s="96"/>
      <c r="O86" s="75"/>
      <c r="P86" s="75"/>
      <c r="Q86" s="75"/>
      <c r="T86" s="78" t="str">
        <f t="shared" si="2"/>
        <v/>
      </c>
      <c r="U86" s="78" t="str">
        <f t="shared" ca="1" si="3"/>
        <v/>
      </c>
    </row>
    <row r="87" spans="1:21" ht="15" customHeight="1" x14ac:dyDescent="0.25">
      <c r="A87" s="75"/>
      <c r="B87" s="75"/>
      <c r="C87" s="75"/>
      <c r="D87" s="75"/>
      <c r="E87" s="75"/>
      <c r="F87" s="96"/>
      <c r="G87" s="75"/>
      <c r="H87" s="75"/>
      <c r="I87" s="75"/>
      <c r="J87" s="75"/>
      <c r="K87" s="75"/>
      <c r="L87" s="75"/>
      <c r="M87" s="96"/>
      <c r="O87" s="75"/>
      <c r="P87" s="75"/>
      <c r="Q87" s="75"/>
      <c r="T87" s="78" t="str">
        <f t="shared" si="2"/>
        <v/>
      </c>
      <c r="U87" s="78" t="str">
        <f t="shared" ca="1" si="3"/>
        <v/>
      </c>
    </row>
    <row r="88" spans="1:21" ht="15" customHeight="1" x14ac:dyDescent="0.25">
      <c r="A88" s="75"/>
      <c r="B88" s="75"/>
      <c r="C88" s="75"/>
      <c r="D88" s="75"/>
      <c r="E88" s="75"/>
      <c r="F88" s="96"/>
      <c r="G88" s="75"/>
      <c r="H88" s="75"/>
      <c r="I88" s="75"/>
      <c r="J88" s="75"/>
      <c r="K88" s="75"/>
      <c r="L88" s="75"/>
      <c r="M88" s="96"/>
      <c r="O88" s="75"/>
      <c r="P88" s="75"/>
      <c r="Q88" s="75"/>
      <c r="T88" s="78" t="str">
        <f t="shared" si="2"/>
        <v/>
      </c>
      <c r="U88" s="78" t="str">
        <f t="shared" ca="1" si="3"/>
        <v/>
      </c>
    </row>
    <row r="89" spans="1:21" ht="15" customHeight="1" x14ac:dyDescent="0.25">
      <c r="A89" s="75"/>
      <c r="B89" s="75"/>
      <c r="C89" s="75"/>
      <c r="D89" s="75"/>
      <c r="E89" s="75"/>
      <c r="F89" s="96"/>
      <c r="G89" s="75"/>
      <c r="H89" s="75"/>
      <c r="I89" s="75"/>
      <c r="J89" s="75"/>
      <c r="K89" s="75"/>
      <c r="L89" s="75"/>
      <c r="M89" s="96"/>
      <c r="O89" s="75"/>
      <c r="P89" s="75"/>
      <c r="Q89" s="75"/>
      <c r="T89" s="78" t="str">
        <f t="shared" si="2"/>
        <v/>
      </c>
      <c r="U89" s="78" t="str">
        <f t="shared" ca="1" si="3"/>
        <v/>
      </c>
    </row>
    <row r="90" spans="1:21" ht="15" customHeight="1" x14ac:dyDescent="0.25">
      <c r="A90" s="75"/>
      <c r="B90" s="75"/>
      <c r="C90" s="75"/>
      <c r="D90" s="75"/>
      <c r="E90" s="75"/>
      <c r="F90" s="96"/>
      <c r="G90" s="75"/>
      <c r="H90" s="75"/>
      <c r="I90" s="75"/>
      <c r="J90" s="75"/>
      <c r="K90" s="75"/>
      <c r="L90" s="75"/>
      <c r="M90" s="96"/>
      <c r="O90" s="75"/>
      <c r="P90" s="75"/>
      <c r="Q90" s="75"/>
      <c r="T90" s="78" t="str">
        <f t="shared" si="2"/>
        <v/>
      </c>
      <c r="U90" s="78" t="str">
        <f t="shared" ca="1" si="3"/>
        <v/>
      </c>
    </row>
    <row r="91" spans="1:21" ht="15" customHeight="1" x14ac:dyDescent="0.25">
      <c r="A91" s="75"/>
      <c r="B91" s="75"/>
      <c r="C91" s="75"/>
      <c r="D91" s="75"/>
      <c r="E91" s="75"/>
      <c r="F91" s="96"/>
      <c r="G91" s="75"/>
      <c r="H91" s="75"/>
      <c r="I91" s="75"/>
      <c r="J91" s="75"/>
      <c r="K91" s="75"/>
      <c r="L91" s="75"/>
      <c r="M91" s="96"/>
      <c r="O91" s="75"/>
      <c r="P91" s="75"/>
      <c r="Q91" s="75"/>
      <c r="T91" s="78" t="str">
        <f t="shared" si="2"/>
        <v/>
      </c>
      <c r="U91" s="78" t="str">
        <f t="shared" ca="1" si="3"/>
        <v/>
      </c>
    </row>
    <row r="92" spans="1:21" ht="15" customHeight="1" x14ac:dyDescent="0.25">
      <c r="A92" s="75"/>
      <c r="B92" s="75"/>
      <c r="C92" s="75"/>
      <c r="D92" s="75"/>
      <c r="E92" s="75"/>
      <c r="F92" s="96"/>
      <c r="G92" s="75"/>
      <c r="H92" s="75"/>
      <c r="I92" s="75"/>
      <c r="J92" s="75"/>
      <c r="K92" s="75"/>
      <c r="L92" s="75"/>
      <c r="M92" s="96"/>
      <c r="O92" s="75"/>
      <c r="P92" s="75"/>
      <c r="Q92" s="75"/>
      <c r="T92" s="78" t="str">
        <f t="shared" si="2"/>
        <v/>
      </c>
      <c r="U92" s="78" t="str">
        <f t="shared" ca="1" si="3"/>
        <v/>
      </c>
    </row>
    <row r="93" spans="1:21" ht="15" customHeight="1" x14ac:dyDescent="0.25">
      <c r="A93" s="75"/>
      <c r="B93" s="75"/>
      <c r="C93" s="75"/>
      <c r="D93" s="75"/>
      <c r="E93" s="75"/>
      <c r="F93" s="96"/>
      <c r="G93" s="75"/>
      <c r="H93" s="75"/>
      <c r="I93" s="75"/>
      <c r="J93" s="75"/>
      <c r="K93" s="75"/>
      <c r="L93" s="75"/>
      <c r="M93" s="96"/>
      <c r="O93" s="75"/>
      <c r="P93" s="75"/>
      <c r="Q93" s="75"/>
      <c r="T93" s="78" t="str">
        <f t="shared" si="2"/>
        <v/>
      </c>
      <c r="U93" s="78" t="str">
        <f t="shared" ca="1" si="3"/>
        <v/>
      </c>
    </row>
    <row r="94" spans="1:21" ht="15" customHeight="1" x14ac:dyDescent="0.25">
      <c r="A94" s="75"/>
      <c r="B94" s="75"/>
      <c r="C94" s="75"/>
      <c r="D94" s="75"/>
      <c r="E94" s="75"/>
      <c r="F94" s="96"/>
      <c r="G94" s="75"/>
      <c r="H94" s="75"/>
      <c r="I94" s="75"/>
      <c r="J94" s="75"/>
      <c r="K94" s="75"/>
      <c r="L94" s="75"/>
      <c r="M94" s="96"/>
      <c r="O94" s="75"/>
      <c r="P94" s="75"/>
      <c r="Q94" s="75"/>
      <c r="T94" s="78" t="str">
        <f t="shared" si="2"/>
        <v/>
      </c>
      <c r="U94" s="78" t="str">
        <f t="shared" ca="1" si="3"/>
        <v/>
      </c>
    </row>
    <row r="95" spans="1:21" ht="15" customHeight="1" x14ac:dyDescent="0.25">
      <c r="A95" s="75"/>
      <c r="B95" s="75"/>
      <c r="C95" s="75"/>
      <c r="D95" s="75"/>
      <c r="E95" s="75"/>
      <c r="F95" s="96"/>
      <c r="G95" s="75"/>
      <c r="H95" s="75"/>
      <c r="I95" s="75"/>
      <c r="J95" s="75"/>
      <c r="K95" s="75"/>
      <c r="L95" s="75"/>
      <c r="M95" s="96"/>
      <c r="O95" s="75"/>
      <c r="P95" s="75"/>
      <c r="Q95" s="75"/>
      <c r="T95" s="78" t="str">
        <f t="shared" si="2"/>
        <v/>
      </c>
      <c r="U95" s="78" t="str">
        <f t="shared" ca="1" si="3"/>
        <v/>
      </c>
    </row>
    <row r="96" spans="1:21" ht="15" customHeight="1" x14ac:dyDescent="0.25">
      <c r="A96" s="75"/>
      <c r="B96" s="75"/>
      <c r="C96" s="75"/>
      <c r="D96" s="75"/>
      <c r="E96" s="75"/>
      <c r="F96" s="96"/>
      <c r="G96" s="75"/>
      <c r="H96" s="75"/>
      <c r="I96" s="75"/>
      <c r="J96" s="75"/>
      <c r="K96" s="75"/>
      <c r="L96" s="75"/>
      <c r="M96" s="96"/>
      <c r="O96" s="75"/>
      <c r="P96" s="75"/>
      <c r="Q96" s="75"/>
      <c r="T96" s="78" t="str">
        <f t="shared" si="2"/>
        <v/>
      </c>
      <c r="U96" s="78" t="str">
        <f t="shared" ca="1" si="3"/>
        <v/>
      </c>
    </row>
    <row r="97" spans="1:21" ht="15" customHeight="1" x14ac:dyDescent="0.25">
      <c r="A97" s="75"/>
      <c r="B97" s="75"/>
      <c r="C97" s="75"/>
      <c r="D97" s="75"/>
      <c r="E97" s="75"/>
      <c r="F97" s="96"/>
      <c r="G97" s="75"/>
      <c r="H97" s="75"/>
      <c r="I97" s="75"/>
      <c r="J97" s="75"/>
      <c r="K97" s="75"/>
      <c r="L97" s="75"/>
      <c r="M97" s="96"/>
      <c r="O97" s="75"/>
      <c r="P97" s="75"/>
      <c r="Q97" s="75"/>
      <c r="T97" s="78" t="str">
        <f t="shared" si="2"/>
        <v/>
      </c>
      <c r="U97" s="78" t="str">
        <f t="shared" ca="1" si="3"/>
        <v/>
      </c>
    </row>
    <row r="98" spans="1:21" ht="15" customHeight="1" x14ac:dyDescent="0.25">
      <c r="A98" s="75"/>
      <c r="B98" s="75"/>
      <c r="C98" s="75"/>
      <c r="D98" s="75"/>
      <c r="E98" s="75"/>
      <c r="F98" s="96"/>
      <c r="G98" s="75"/>
      <c r="H98" s="75"/>
      <c r="I98" s="75"/>
      <c r="J98" s="75"/>
      <c r="K98" s="75"/>
      <c r="L98" s="75"/>
      <c r="M98" s="96"/>
      <c r="O98" s="75"/>
      <c r="P98" s="75"/>
      <c r="Q98" s="75"/>
      <c r="T98" s="78" t="str">
        <f t="shared" si="2"/>
        <v/>
      </c>
      <c r="U98" s="78" t="str">
        <f t="shared" ca="1" si="3"/>
        <v/>
      </c>
    </row>
    <row r="99" spans="1:21" ht="15" customHeight="1" x14ac:dyDescent="0.25">
      <c r="A99" s="75"/>
      <c r="B99" s="75"/>
      <c r="C99" s="75"/>
      <c r="D99" s="75"/>
      <c r="E99" s="75"/>
      <c r="F99" s="96"/>
      <c r="G99" s="75"/>
      <c r="H99" s="75"/>
      <c r="I99" s="75"/>
      <c r="J99" s="75"/>
      <c r="K99" s="75"/>
      <c r="L99" s="75"/>
      <c r="M99" s="96"/>
      <c r="O99" s="75"/>
      <c r="P99" s="75"/>
      <c r="Q99" s="75"/>
      <c r="T99" s="78" t="str">
        <f t="shared" si="2"/>
        <v/>
      </c>
      <c r="U99" s="78" t="str">
        <f t="shared" ca="1" si="3"/>
        <v/>
      </c>
    </row>
    <row r="100" spans="1:21" ht="15" customHeight="1" x14ac:dyDescent="0.25">
      <c r="A100" s="75"/>
      <c r="B100" s="75"/>
      <c r="C100" s="75"/>
      <c r="D100" s="75"/>
      <c r="E100" s="75"/>
      <c r="F100" s="96"/>
      <c r="G100" s="75"/>
      <c r="H100" s="75"/>
      <c r="I100" s="75"/>
      <c r="J100" s="75"/>
      <c r="K100" s="75"/>
      <c r="L100" s="75"/>
      <c r="M100" s="96"/>
      <c r="O100" s="75"/>
      <c r="P100" s="75"/>
      <c r="Q100" s="75"/>
      <c r="T100" s="78" t="str">
        <f t="shared" si="2"/>
        <v/>
      </c>
      <c r="U100" s="78" t="str">
        <f t="shared" ca="1" si="3"/>
        <v/>
      </c>
    </row>
    <row r="101" spans="1:21" ht="15" customHeight="1" x14ac:dyDescent="0.25">
      <c r="A101" s="75"/>
      <c r="B101" s="75"/>
      <c r="C101" s="75"/>
      <c r="D101" s="75"/>
      <c r="E101" s="75"/>
      <c r="F101" s="96"/>
      <c r="G101" s="75"/>
      <c r="H101" s="75"/>
      <c r="I101" s="75"/>
      <c r="J101" s="75"/>
      <c r="K101" s="75"/>
      <c r="L101" s="75"/>
      <c r="M101" s="96"/>
      <c r="O101" s="75"/>
      <c r="P101" s="75"/>
      <c r="Q101" s="75"/>
      <c r="T101" s="78" t="str">
        <f t="shared" si="2"/>
        <v/>
      </c>
      <c r="U101" s="78" t="str">
        <f t="shared" ca="1" si="3"/>
        <v/>
      </c>
    </row>
    <row r="102" spans="1:21" ht="15" customHeight="1" x14ac:dyDescent="0.25">
      <c r="A102" s="75"/>
      <c r="B102" s="75"/>
      <c r="C102" s="75"/>
      <c r="D102" s="75"/>
      <c r="E102" s="75"/>
      <c r="F102" s="96"/>
      <c r="G102" s="75"/>
      <c r="H102" s="75"/>
      <c r="I102" s="75"/>
      <c r="J102" s="75"/>
      <c r="K102" s="75"/>
      <c r="L102" s="75"/>
      <c r="M102" s="96"/>
      <c r="O102" s="75"/>
      <c r="P102" s="75"/>
      <c r="Q102" s="75"/>
      <c r="T102" s="78" t="str">
        <f t="shared" si="2"/>
        <v/>
      </c>
      <c r="U102" s="78" t="str">
        <f t="shared" ca="1" si="3"/>
        <v/>
      </c>
    </row>
    <row r="103" spans="1:21" ht="15" customHeight="1" x14ac:dyDescent="0.25">
      <c r="A103" s="75"/>
      <c r="B103" s="75"/>
      <c r="C103" s="75"/>
      <c r="D103" s="75"/>
      <c r="E103" s="75"/>
      <c r="F103" s="96"/>
      <c r="G103" s="75"/>
      <c r="H103" s="75"/>
      <c r="I103" s="75"/>
      <c r="J103" s="75"/>
      <c r="K103" s="75"/>
      <c r="L103" s="75"/>
      <c r="M103" s="96"/>
      <c r="O103" s="75"/>
      <c r="P103" s="75"/>
      <c r="Q103" s="75"/>
      <c r="T103" s="78" t="str">
        <f t="shared" si="2"/>
        <v/>
      </c>
      <c r="U103" s="78" t="str">
        <f t="shared" ca="1" si="3"/>
        <v/>
      </c>
    </row>
    <row r="104" spans="1:21" ht="15" customHeight="1" x14ac:dyDescent="0.25">
      <c r="A104" s="75"/>
      <c r="B104" s="75"/>
      <c r="C104" s="75"/>
      <c r="D104" s="75"/>
      <c r="E104" s="75"/>
      <c r="F104" s="96"/>
      <c r="G104" s="75"/>
      <c r="H104" s="75"/>
      <c r="I104" s="75"/>
      <c r="J104" s="75"/>
      <c r="K104" s="75"/>
      <c r="L104" s="75"/>
      <c r="M104" s="96"/>
      <c r="O104" s="75"/>
      <c r="P104" s="75"/>
      <c r="Q104" s="75"/>
      <c r="T104" s="78" t="str">
        <f t="shared" si="2"/>
        <v/>
      </c>
      <c r="U104" s="78" t="str">
        <f t="shared" ca="1" si="3"/>
        <v/>
      </c>
    </row>
    <row r="105" spans="1:21" ht="15" customHeight="1" x14ac:dyDescent="0.25">
      <c r="A105" s="75"/>
      <c r="B105" s="75"/>
      <c r="C105" s="75"/>
      <c r="D105" s="75"/>
      <c r="E105" s="75"/>
      <c r="F105" s="96"/>
      <c r="G105" s="75"/>
      <c r="H105" s="75"/>
      <c r="I105" s="75"/>
      <c r="J105" s="75"/>
      <c r="K105" s="75"/>
      <c r="L105" s="75"/>
      <c r="M105" s="96"/>
      <c r="O105" s="75"/>
      <c r="P105" s="75"/>
      <c r="Q105" s="75"/>
      <c r="T105" s="78" t="str">
        <f t="shared" si="2"/>
        <v/>
      </c>
      <c r="U105" s="78" t="str">
        <f t="shared" ca="1" si="3"/>
        <v/>
      </c>
    </row>
    <row r="106" spans="1:21" ht="15" customHeight="1" x14ac:dyDescent="0.25">
      <c r="A106" s="75"/>
      <c r="B106" s="75"/>
      <c r="C106" s="75"/>
      <c r="D106" s="75"/>
      <c r="E106" s="75"/>
      <c r="F106" s="96"/>
      <c r="G106" s="75"/>
      <c r="H106" s="75"/>
      <c r="I106" s="75"/>
      <c r="J106" s="75"/>
      <c r="K106" s="75"/>
      <c r="L106" s="75"/>
      <c r="M106" s="96"/>
      <c r="O106" s="75"/>
      <c r="P106" s="75"/>
      <c r="Q106" s="75"/>
      <c r="T106" s="78" t="str">
        <f t="shared" si="2"/>
        <v/>
      </c>
      <c r="U106" s="78" t="str">
        <f t="shared" ca="1" si="3"/>
        <v/>
      </c>
    </row>
    <row r="107" spans="1:21" ht="15" customHeight="1" x14ac:dyDescent="0.25">
      <c r="A107" s="75"/>
      <c r="B107" s="75"/>
      <c r="C107" s="75"/>
      <c r="D107" s="75"/>
      <c r="E107" s="75"/>
      <c r="F107" s="96"/>
      <c r="G107" s="75"/>
      <c r="H107" s="75"/>
      <c r="I107" s="75"/>
      <c r="J107" s="75"/>
      <c r="K107" s="75"/>
      <c r="L107" s="75"/>
      <c r="M107" s="96"/>
      <c r="O107" s="75"/>
      <c r="P107" s="75"/>
      <c r="Q107" s="75"/>
      <c r="T107" s="78" t="str">
        <f t="shared" si="2"/>
        <v/>
      </c>
      <c r="U107" s="78" t="str">
        <f t="shared" ca="1" si="3"/>
        <v/>
      </c>
    </row>
    <row r="108" spans="1:21" ht="15" customHeight="1" x14ac:dyDescent="0.25">
      <c r="A108" s="75"/>
      <c r="B108" s="75"/>
      <c r="C108" s="75"/>
      <c r="D108" s="75"/>
      <c r="E108" s="75"/>
      <c r="F108" s="96"/>
      <c r="G108" s="75"/>
      <c r="H108" s="75"/>
      <c r="I108" s="75"/>
      <c r="J108" s="75"/>
      <c r="K108" s="75"/>
      <c r="L108" s="75"/>
      <c r="M108" s="96"/>
      <c r="O108" s="75"/>
      <c r="P108" s="75"/>
      <c r="Q108" s="75"/>
      <c r="T108" s="78" t="str">
        <f t="shared" si="2"/>
        <v/>
      </c>
      <c r="U108" s="78" t="str">
        <f t="shared" ca="1" si="3"/>
        <v/>
      </c>
    </row>
    <row r="109" spans="1:21" ht="15" customHeight="1" x14ac:dyDescent="0.25">
      <c r="A109" s="75"/>
      <c r="B109" s="75"/>
      <c r="C109" s="75"/>
      <c r="D109" s="75"/>
      <c r="E109" s="75"/>
      <c r="F109" s="96"/>
      <c r="G109" s="75"/>
      <c r="H109" s="75"/>
      <c r="I109" s="75"/>
      <c r="J109" s="75"/>
      <c r="K109" s="75"/>
      <c r="L109" s="75"/>
      <c r="M109" s="96"/>
      <c r="O109" s="75"/>
      <c r="P109" s="75"/>
      <c r="Q109" s="75"/>
      <c r="T109" s="78" t="str">
        <f t="shared" si="2"/>
        <v/>
      </c>
      <c r="U109" s="78" t="str">
        <f t="shared" ca="1" si="3"/>
        <v/>
      </c>
    </row>
    <row r="110" spans="1:21" ht="15" customHeight="1" x14ac:dyDescent="0.25">
      <c r="A110" s="75"/>
      <c r="B110" s="75"/>
      <c r="C110" s="75"/>
      <c r="D110" s="75"/>
      <c r="E110" s="75"/>
      <c r="F110" s="96"/>
      <c r="G110" s="75"/>
      <c r="H110" s="75"/>
      <c r="I110" s="75"/>
      <c r="J110" s="75"/>
      <c r="K110" s="75"/>
      <c r="L110" s="75"/>
      <c r="M110" s="96"/>
      <c r="O110" s="75"/>
      <c r="P110" s="75"/>
      <c r="Q110" s="75"/>
      <c r="T110" s="78" t="str">
        <f t="shared" si="2"/>
        <v/>
      </c>
      <c r="U110" s="78" t="str">
        <f t="shared" ca="1" si="3"/>
        <v/>
      </c>
    </row>
    <row r="111" spans="1:21" ht="15" customHeight="1" x14ac:dyDescent="0.25">
      <c r="A111" s="75"/>
      <c r="B111" s="75"/>
      <c r="C111" s="75"/>
      <c r="D111" s="75"/>
      <c r="E111" s="75"/>
      <c r="F111" s="96"/>
      <c r="G111" s="75"/>
      <c r="H111" s="75"/>
      <c r="I111" s="75"/>
      <c r="J111" s="75"/>
      <c r="K111" s="75"/>
      <c r="L111" s="75"/>
      <c r="M111" s="96"/>
      <c r="O111" s="75"/>
      <c r="P111" s="75"/>
      <c r="Q111" s="75"/>
      <c r="T111" s="78" t="str">
        <f t="shared" si="2"/>
        <v/>
      </c>
      <c r="U111" s="78" t="str">
        <f t="shared" ca="1" si="3"/>
        <v/>
      </c>
    </row>
    <row r="112" spans="1:21" ht="15" customHeight="1" x14ac:dyDescent="0.25">
      <c r="A112" s="75"/>
      <c r="B112" s="75"/>
      <c r="C112" s="75"/>
      <c r="D112" s="75"/>
      <c r="E112" s="75"/>
      <c r="F112" s="96"/>
      <c r="G112" s="75"/>
      <c r="H112" s="75"/>
      <c r="I112" s="75"/>
      <c r="J112" s="75"/>
      <c r="K112" s="75"/>
      <c r="L112" s="75"/>
      <c r="M112" s="96"/>
      <c r="O112" s="75"/>
      <c r="P112" s="75"/>
      <c r="Q112" s="75"/>
      <c r="T112" s="78" t="str">
        <f t="shared" si="2"/>
        <v/>
      </c>
      <c r="U112" s="78" t="str">
        <f t="shared" ca="1" si="3"/>
        <v/>
      </c>
    </row>
    <row r="113" spans="1:21" ht="15" customHeight="1" x14ac:dyDescent="0.25">
      <c r="A113" s="75"/>
      <c r="B113" s="75"/>
      <c r="C113" s="75"/>
      <c r="D113" s="75"/>
      <c r="E113" s="75"/>
      <c r="F113" s="96"/>
      <c r="G113" s="75"/>
      <c r="H113" s="75"/>
      <c r="I113" s="75"/>
      <c r="J113" s="75"/>
      <c r="K113" s="75"/>
      <c r="L113" s="75"/>
      <c r="M113" s="96"/>
      <c r="O113" s="75"/>
      <c r="P113" s="75"/>
      <c r="Q113" s="75"/>
      <c r="T113" s="78" t="str">
        <f t="shared" si="2"/>
        <v/>
      </c>
      <c r="U113" s="78" t="str">
        <f t="shared" ca="1" si="3"/>
        <v/>
      </c>
    </row>
    <row r="114" spans="1:21" ht="15" customHeight="1" x14ac:dyDescent="0.25">
      <c r="A114" s="75"/>
      <c r="B114" s="75"/>
      <c r="C114" s="75"/>
      <c r="D114" s="75"/>
      <c r="E114" s="75"/>
      <c r="F114" s="96"/>
      <c r="G114" s="75"/>
      <c r="H114" s="75"/>
      <c r="I114" s="75"/>
      <c r="J114" s="75"/>
      <c r="K114" s="75"/>
      <c r="L114" s="75"/>
      <c r="M114" s="96"/>
      <c r="O114" s="75"/>
      <c r="P114" s="75"/>
      <c r="Q114" s="75"/>
      <c r="T114" s="78" t="str">
        <f t="shared" si="2"/>
        <v/>
      </c>
      <c r="U114" s="78" t="str">
        <f t="shared" ca="1" si="3"/>
        <v/>
      </c>
    </row>
    <row r="115" spans="1:21" ht="15" customHeight="1" x14ac:dyDescent="0.25">
      <c r="A115" s="75"/>
      <c r="B115" s="75"/>
      <c r="C115" s="75"/>
      <c r="D115" s="75"/>
      <c r="E115" s="75"/>
      <c r="F115" s="96"/>
      <c r="G115" s="75"/>
      <c r="H115" s="75"/>
      <c r="I115" s="75"/>
      <c r="J115" s="75"/>
      <c r="K115" s="75"/>
      <c r="L115" s="75"/>
      <c r="M115" s="96"/>
      <c r="O115" s="75"/>
      <c r="P115" s="75"/>
      <c r="Q115" s="75"/>
      <c r="T115" s="78" t="str">
        <f t="shared" si="2"/>
        <v/>
      </c>
      <c r="U115" s="78" t="str">
        <f t="shared" ca="1" si="3"/>
        <v/>
      </c>
    </row>
    <row r="116" spans="1:21" ht="15" customHeight="1" x14ac:dyDescent="0.25">
      <c r="A116" s="75"/>
      <c r="B116" s="75"/>
      <c r="C116" s="75"/>
      <c r="D116" s="75"/>
      <c r="E116" s="75"/>
      <c r="F116" s="96"/>
      <c r="G116" s="75"/>
      <c r="H116" s="75"/>
      <c r="I116" s="75"/>
      <c r="J116" s="75"/>
      <c r="K116" s="75"/>
      <c r="L116" s="75"/>
      <c r="M116" s="96"/>
      <c r="O116" s="75"/>
      <c r="P116" s="75"/>
      <c r="Q116" s="75"/>
      <c r="T116" s="78" t="str">
        <f t="shared" si="2"/>
        <v/>
      </c>
      <c r="U116" s="78" t="str">
        <f t="shared" ca="1" si="3"/>
        <v/>
      </c>
    </row>
    <row r="117" spans="1:21" ht="15" customHeight="1" x14ac:dyDescent="0.25">
      <c r="A117" s="75"/>
      <c r="B117" s="75"/>
      <c r="C117" s="75"/>
      <c r="D117" s="75"/>
      <c r="E117" s="75"/>
      <c r="F117" s="96"/>
      <c r="G117" s="75"/>
      <c r="H117" s="75"/>
      <c r="I117" s="75"/>
      <c r="J117" s="75"/>
      <c r="K117" s="75"/>
      <c r="L117" s="75"/>
      <c r="M117" s="96"/>
      <c r="O117" s="75"/>
      <c r="P117" s="75"/>
      <c r="Q117" s="75"/>
      <c r="T117" s="78" t="str">
        <f t="shared" si="2"/>
        <v/>
      </c>
      <c r="U117" s="78" t="str">
        <f t="shared" ca="1" si="3"/>
        <v/>
      </c>
    </row>
    <row r="118" spans="1:21" ht="15" customHeight="1" x14ac:dyDescent="0.25">
      <c r="A118" s="75"/>
      <c r="B118" s="75"/>
      <c r="C118" s="75"/>
      <c r="D118" s="75"/>
      <c r="E118" s="75"/>
      <c r="F118" s="96"/>
      <c r="G118" s="75"/>
      <c r="H118" s="75"/>
      <c r="I118" s="75"/>
      <c r="J118" s="75"/>
      <c r="K118" s="75"/>
      <c r="L118" s="75"/>
      <c r="M118" s="96"/>
      <c r="O118" s="75"/>
      <c r="P118" s="75"/>
      <c r="Q118" s="75"/>
      <c r="T118" s="78" t="str">
        <f t="shared" si="2"/>
        <v/>
      </c>
      <c r="U118" s="78" t="str">
        <f t="shared" ca="1" si="3"/>
        <v/>
      </c>
    </row>
    <row r="119" spans="1:21" ht="15" customHeight="1" x14ac:dyDescent="0.25">
      <c r="A119" s="75"/>
      <c r="B119" s="75"/>
      <c r="C119" s="75"/>
      <c r="D119" s="75"/>
      <c r="E119" s="75"/>
      <c r="F119" s="96"/>
      <c r="G119" s="75"/>
      <c r="H119" s="75"/>
      <c r="I119" s="75"/>
      <c r="J119" s="75"/>
      <c r="K119" s="75"/>
      <c r="L119" s="75"/>
      <c r="M119" s="96"/>
      <c r="O119" s="75"/>
      <c r="P119" s="75"/>
      <c r="Q119" s="75"/>
      <c r="T119" s="78" t="str">
        <f t="shared" si="2"/>
        <v/>
      </c>
      <c r="U119" s="78" t="str">
        <f t="shared" ca="1" si="3"/>
        <v/>
      </c>
    </row>
    <row r="120" spans="1:21" ht="15" customHeight="1" x14ac:dyDescent="0.25">
      <c r="A120" s="75"/>
      <c r="B120" s="75"/>
      <c r="C120" s="75"/>
      <c r="D120" s="75"/>
      <c r="E120" s="75"/>
      <c r="F120" s="96"/>
      <c r="G120" s="75"/>
      <c r="H120" s="75"/>
      <c r="I120" s="75"/>
      <c r="J120" s="75"/>
      <c r="K120" s="75"/>
      <c r="L120" s="75"/>
      <c r="M120" s="96"/>
      <c r="O120" s="75"/>
      <c r="P120" s="75"/>
      <c r="Q120" s="75"/>
      <c r="T120" s="78" t="str">
        <f t="shared" si="2"/>
        <v/>
      </c>
      <c r="U120" s="78" t="str">
        <f t="shared" ca="1" si="3"/>
        <v/>
      </c>
    </row>
    <row r="121" spans="1:21" ht="15" customHeight="1" x14ac:dyDescent="0.25">
      <c r="A121" s="75"/>
      <c r="B121" s="75"/>
      <c r="C121" s="75"/>
      <c r="D121" s="75"/>
      <c r="E121" s="75"/>
      <c r="F121" s="96"/>
      <c r="G121" s="75"/>
      <c r="H121" s="75"/>
      <c r="I121" s="75"/>
      <c r="J121" s="75"/>
      <c r="K121" s="75"/>
      <c r="L121" s="75"/>
      <c r="M121" s="96"/>
      <c r="O121" s="75"/>
      <c r="P121" s="75"/>
      <c r="Q121" s="75"/>
      <c r="T121" s="78" t="str">
        <f t="shared" si="2"/>
        <v/>
      </c>
      <c r="U121" s="78" t="str">
        <f t="shared" ca="1" si="3"/>
        <v/>
      </c>
    </row>
    <row r="122" spans="1:21" ht="15" customHeight="1" x14ac:dyDescent="0.25">
      <c r="A122" s="75"/>
      <c r="B122" s="75"/>
      <c r="C122" s="75"/>
      <c r="D122" s="75"/>
      <c r="E122" s="75"/>
      <c r="F122" s="96"/>
      <c r="G122" s="75"/>
      <c r="H122" s="75"/>
      <c r="I122" s="75"/>
      <c r="J122" s="75"/>
      <c r="K122" s="75"/>
      <c r="L122" s="75"/>
      <c r="M122" s="96"/>
      <c r="O122" s="75"/>
      <c r="P122" s="75"/>
      <c r="Q122" s="75"/>
      <c r="T122" s="78" t="str">
        <f t="shared" si="2"/>
        <v/>
      </c>
      <c r="U122" s="78" t="str">
        <f t="shared" ca="1" si="3"/>
        <v/>
      </c>
    </row>
    <row r="123" spans="1:21" ht="15" customHeight="1" x14ac:dyDescent="0.25">
      <c r="A123" s="75"/>
      <c r="B123" s="75"/>
      <c r="C123" s="75"/>
      <c r="D123" s="75"/>
      <c r="E123" s="75"/>
      <c r="F123" s="96"/>
      <c r="G123" s="75"/>
      <c r="H123" s="75"/>
      <c r="I123" s="75"/>
      <c r="J123" s="75"/>
      <c r="K123" s="75"/>
      <c r="L123" s="75"/>
      <c r="M123" s="96"/>
      <c r="O123" s="75"/>
      <c r="P123" s="75"/>
      <c r="Q123" s="75"/>
      <c r="T123" s="78" t="str">
        <f t="shared" si="2"/>
        <v/>
      </c>
      <c r="U123" s="78" t="str">
        <f t="shared" ca="1" si="3"/>
        <v/>
      </c>
    </row>
    <row r="124" spans="1:21" ht="15" customHeight="1" x14ac:dyDescent="0.25">
      <c r="A124" s="75"/>
      <c r="B124" s="75"/>
      <c r="C124" s="75"/>
      <c r="D124" s="75"/>
      <c r="E124" s="75"/>
      <c r="F124" s="96"/>
      <c r="G124" s="75"/>
      <c r="H124" s="75"/>
      <c r="I124" s="75"/>
      <c r="J124" s="75"/>
      <c r="K124" s="75"/>
      <c r="L124" s="75"/>
      <c r="M124" s="96"/>
      <c r="O124" s="75"/>
      <c r="P124" s="75"/>
      <c r="Q124" s="75"/>
      <c r="T124" s="78" t="str">
        <f t="shared" si="2"/>
        <v/>
      </c>
      <c r="U124" s="78" t="str">
        <f t="shared" ca="1" si="3"/>
        <v/>
      </c>
    </row>
    <row r="125" spans="1:21" ht="15" customHeight="1" x14ac:dyDescent="0.25">
      <c r="A125" s="75"/>
      <c r="B125" s="75"/>
      <c r="C125" s="75"/>
      <c r="D125" s="75"/>
      <c r="E125" s="75"/>
      <c r="F125" s="96"/>
      <c r="G125" s="75"/>
      <c r="H125" s="75"/>
      <c r="I125" s="75"/>
      <c r="J125" s="75"/>
      <c r="K125" s="75"/>
      <c r="L125" s="75"/>
      <c r="M125" s="96"/>
      <c r="O125" s="75"/>
      <c r="P125" s="75"/>
      <c r="Q125" s="75"/>
      <c r="T125" s="78" t="str">
        <f t="shared" si="2"/>
        <v/>
      </c>
      <c r="U125" s="78" t="str">
        <f t="shared" ca="1" si="3"/>
        <v/>
      </c>
    </row>
    <row r="126" spans="1:21" ht="15" customHeight="1" x14ac:dyDescent="0.25">
      <c r="A126" s="75"/>
      <c r="B126" s="75"/>
      <c r="C126" s="75"/>
      <c r="D126" s="75"/>
      <c r="E126" s="75"/>
      <c r="F126" s="96"/>
      <c r="G126" s="75"/>
      <c r="H126" s="75"/>
      <c r="I126" s="75"/>
      <c r="J126" s="75"/>
      <c r="K126" s="75"/>
      <c r="L126" s="75"/>
      <c r="M126" s="96"/>
      <c r="O126" s="75"/>
      <c r="P126" s="75"/>
      <c r="Q126" s="75"/>
      <c r="T126" s="78" t="str">
        <f t="shared" si="2"/>
        <v/>
      </c>
      <c r="U126" s="78" t="str">
        <f t="shared" ca="1" si="3"/>
        <v/>
      </c>
    </row>
    <row r="127" spans="1:21" ht="15" customHeight="1" x14ac:dyDescent="0.25">
      <c r="A127" s="75"/>
      <c r="B127" s="75"/>
      <c r="C127" s="75"/>
      <c r="D127" s="75"/>
      <c r="E127" s="75"/>
      <c r="F127" s="96"/>
      <c r="G127" s="75"/>
      <c r="H127" s="75"/>
      <c r="I127" s="75"/>
      <c r="J127" s="75"/>
      <c r="K127" s="75"/>
      <c r="L127" s="75"/>
      <c r="M127" s="96"/>
      <c r="O127" s="75"/>
      <c r="P127" s="75"/>
      <c r="Q127" s="75"/>
      <c r="T127" s="78" t="str">
        <f t="shared" si="2"/>
        <v/>
      </c>
      <c r="U127" s="78" t="str">
        <f t="shared" ca="1" si="3"/>
        <v/>
      </c>
    </row>
    <row r="128" spans="1:21" ht="15" customHeight="1" x14ac:dyDescent="0.25">
      <c r="A128" s="75"/>
      <c r="B128" s="75"/>
      <c r="C128" s="75"/>
      <c r="D128" s="75"/>
      <c r="E128" s="75"/>
      <c r="F128" s="96"/>
      <c r="G128" s="75"/>
      <c r="H128" s="75"/>
      <c r="I128" s="75"/>
      <c r="J128" s="75"/>
      <c r="K128" s="75"/>
      <c r="L128" s="75"/>
      <c r="M128" s="96"/>
      <c r="O128" s="75"/>
      <c r="P128" s="75"/>
      <c r="Q128" s="75"/>
      <c r="T128" s="78" t="str">
        <f t="shared" si="2"/>
        <v/>
      </c>
      <c r="U128" s="78" t="str">
        <f t="shared" ca="1" si="3"/>
        <v/>
      </c>
    </row>
    <row r="129" spans="1:21" ht="15" customHeight="1" x14ac:dyDescent="0.25">
      <c r="A129" s="75"/>
      <c r="B129" s="75"/>
      <c r="C129" s="75"/>
      <c r="D129" s="75"/>
      <c r="E129" s="75"/>
      <c r="F129" s="96"/>
      <c r="G129" s="75"/>
      <c r="H129" s="75"/>
      <c r="I129" s="75"/>
      <c r="J129" s="75"/>
      <c r="K129" s="75"/>
      <c r="L129" s="75"/>
      <c r="M129" s="96"/>
      <c r="O129" s="75"/>
      <c r="P129" s="75"/>
      <c r="Q129" s="75"/>
      <c r="T129" s="78" t="str">
        <f t="shared" si="2"/>
        <v/>
      </c>
      <c r="U129" s="78" t="str">
        <f t="shared" ca="1" si="3"/>
        <v/>
      </c>
    </row>
    <row r="130" spans="1:21" ht="15" customHeight="1" x14ac:dyDescent="0.25">
      <c r="A130" s="75"/>
      <c r="B130" s="75"/>
      <c r="C130" s="75"/>
      <c r="D130" s="75"/>
      <c r="E130" s="75"/>
      <c r="F130" s="96"/>
      <c r="G130" s="75"/>
      <c r="H130" s="75"/>
      <c r="I130" s="75"/>
      <c r="J130" s="75"/>
      <c r="K130" s="75"/>
      <c r="L130" s="75"/>
      <c r="M130" s="96"/>
      <c r="O130" s="75"/>
      <c r="P130" s="75"/>
      <c r="Q130" s="75"/>
      <c r="T130" s="78" t="str">
        <f t="shared" ref="T130:T193" si="4">IF(H:H&lt;&gt;"",(H130&amp;"-"&amp;I130),"")</f>
        <v/>
      </c>
      <c r="U130" s="78" t="str">
        <f t="shared" ref="U130:U193" ca="1" si="5">IF(F:F&lt;&gt;"",(IF(E130&lt;&gt;"Closed",DATEDIF(F130,TODAY(),"d"),"")),"")</f>
        <v/>
      </c>
    </row>
    <row r="131" spans="1:21" ht="15" customHeight="1" x14ac:dyDescent="0.25">
      <c r="A131" s="75"/>
      <c r="B131" s="75"/>
      <c r="C131" s="75"/>
      <c r="D131" s="75"/>
      <c r="E131" s="75"/>
      <c r="F131" s="96"/>
      <c r="G131" s="75"/>
      <c r="H131" s="75"/>
      <c r="I131" s="75"/>
      <c r="J131" s="75"/>
      <c r="K131" s="75"/>
      <c r="L131" s="75"/>
      <c r="M131" s="96"/>
      <c r="O131" s="75"/>
      <c r="P131" s="75"/>
      <c r="Q131" s="75"/>
      <c r="T131" s="78" t="str">
        <f t="shared" si="4"/>
        <v/>
      </c>
      <c r="U131" s="78" t="str">
        <f t="shared" ca="1" si="5"/>
        <v/>
      </c>
    </row>
    <row r="132" spans="1:21" ht="15" customHeight="1" x14ac:dyDescent="0.25">
      <c r="A132" s="75"/>
      <c r="B132" s="75"/>
      <c r="C132" s="75"/>
      <c r="D132" s="75"/>
      <c r="E132" s="75"/>
      <c r="F132" s="96"/>
      <c r="G132" s="75"/>
      <c r="H132" s="75"/>
      <c r="I132" s="75"/>
      <c r="J132" s="75"/>
      <c r="K132" s="75"/>
      <c r="L132" s="75"/>
      <c r="M132" s="96"/>
      <c r="O132" s="75"/>
      <c r="P132" s="75"/>
      <c r="Q132" s="75"/>
      <c r="T132" s="78" t="str">
        <f t="shared" si="4"/>
        <v/>
      </c>
      <c r="U132" s="78" t="str">
        <f t="shared" ca="1" si="5"/>
        <v/>
      </c>
    </row>
    <row r="133" spans="1:21" ht="15" customHeight="1" x14ac:dyDescent="0.25">
      <c r="A133" s="75"/>
      <c r="B133" s="75"/>
      <c r="C133" s="75"/>
      <c r="D133" s="75"/>
      <c r="E133" s="75"/>
      <c r="F133" s="96"/>
      <c r="G133" s="75"/>
      <c r="H133" s="75"/>
      <c r="I133" s="75"/>
      <c r="J133" s="75"/>
      <c r="K133" s="75"/>
      <c r="L133" s="75"/>
      <c r="M133" s="96"/>
      <c r="O133" s="75"/>
      <c r="P133" s="75"/>
      <c r="Q133" s="75"/>
      <c r="T133" s="78" t="str">
        <f t="shared" si="4"/>
        <v/>
      </c>
      <c r="U133" s="78" t="str">
        <f t="shared" ca="1" si="5"/>
        <v/>
      </c>
    </row>
    <row r="134" spans="1:21" ht="15" customHeight="1" x14ac:dyDescent="0.25">
      <c r="A134" s="75"/>
      <c r="B134" s="75"/>
      <c r="C134" s="75"/>
      <c r="D134" s="75"/>
      <c r="E134" s="75"/>
      <c r="F134" s="96"/>
      <c r="G134" s="75"/>
      <c r="H134" s="75"/>
      <c r="I134" s="75"/>
      <c r="J134" s="75"/>
      <c r="K134" s="75"/>
      <c r="L134" s="75"/>
      <c r="M134" s="96"/>
      <c r="O134" s="75"/>
      <c r="P134" s="75"/>
      <c r="Q134" s="75"/>
      <c r="T134" s="78" t="str">
        <f t="shared" si="4"/>
        <v/>
      </c>
      <c r="U134" s="78" t="str">
        <f t="shared" ca="1" si="5"/>
        <v/>
      </c>
    </row>
    <row r="135" spans="1:21" ht="15" customHeight="1" x14ac:dyDescent="0.25">
      <c r="A135" s="75"/>
      <c r="B135" s="75"/>
      <c r="C135" s="75"/>
      <c r="D135" s="75"/>
      <c r="E135" s="75"/>
      <c r="F135" s="96"/>
      <c r="G135" s="75"/>
      <c r="H135" s="75"/>
      <c r="I135" s="75"/>
      <c r="J135" s="75"/>
      <c r="K135" s="75"/>
      <c r="L135" s="75"/>
      <c r="M135" s="96"/>
      <c r="O135" s="75"/>
      <c r="P135" s="75"/>
      <c r="Q135" s="75"/>
      <c r="T135" s="78" t="str">
        <f t="shared" si="4"/>
        <v/>
      </c>
      <c r="U135" s="78" t="str">
        <f t="shared" ca="1" si="5"/>
        <v/>
      </c>
    </row>
    <row r="136" spans="1:21" ht="15" customHeight="1" x14ac:dyDescent="0.25">
      <c r="A136" s="75"/>
      <c r="B136" s="75"/>
      <c r="C136" s="75"/>
      <c r="D136" s="75"/>
      <c r="E136" s="75"/>
      <c r="F136" s="96"/>
      <c r="G136" s="75"/>
      <c r="H136" s="75"/>
      <c r="I136" s="75"/>
      <c r="J136" s="75"/>
      <c r="K136" s="75"/>
      <c r="L136" s="75"/>
      <c r="M136" s="96"/>
      <c r="O136" s="75"/>
      <c r="P136" s="75"/>
      <c r="Q136" s="75"/>
      <c r="T136" s="78" t="str">
        <f t="shared" si="4"/>
        <v/>
      </c>
      <c r="U136" s="78" t="str">
        <f t="shared" ca="1" si="5"/>
        <v/>
      </c>
    </row>
    <row r="137" spans="1:21" ht="15" customHeight="1" x14ac:dyDescent="0.25">
      <c r="A137" s="75"/>
      <c r="B137" s="75"/>
      <c r="C137" s="75"/>
      <c r="D137" s="75"/>
      <c r="E137" s="75"/>
      <c r="F137" s="96"/>
      <c r="G137" s="75"/>
      <c r="H137" s="75"/>
      <c r="I137" s="75"/>
      <c r="J137" s="75"/>
      <c r="K137" s="75"/>
      <c r="L137" s="75"/>
      <c r="M137" s="96"/>
      <c r="O137" s="75"/>
      <c r="P137" s="75"/>
      <c r="Q137" s="75"/>
      <c r="T137" s="78" t="str">
        <f t="shared" si="4"/>
        <v/>
      </c>
      <c r="U137" s="78" t="str">
        <f t="shared" ca="1" si="5"/>
        <v/>
      </c>
    </row>
    <row r="138" spans="1:21" ht="15" customHeight="1" x14ac:dyDescent="0.25">
      <c r="A138" s="75"/>
      <c r="B138" s="75"/>
      <c r="C138" s="75"/>
      <c r="D138" s="75"/>
      <c r="E138" s="75"/>
      <c r="F138" s="96"/>
      <c r="G138" s="75"/>
      <c r="H138" s="75"/>
      <c r="I138" s="75"/>
      <c r="J138" s="75"/>
      <c r="K138" s="75"/>
      <c r="L138" s="75"/>
      <c r="M138" s="96"/>
      <c r="O138" s="75"/>
      <c r="P138" s="75"/>
      <c r="Q138" s="75"/>
      <c r="T138" s="78" t="str">
        <f t="shared" si="4"/>
        <v/>
      </c>
      <c r="U138" s="78" t="str">
        <f t="shared" ca="1" si="5"/>
        <v/>
      </c>
    </row>
    <row r="139" spans="1:21" ht="15" customHeight="1" x14ac:dyDescent="0.25">
      <c r="A139" s="75"/>
      <c r="B139" s="75"/>
      <c r="C139" s="75"/>
      <c r="D139" s="75"/>
      <c r="E139" s="75"/>
      <c r="F139" s="96"/>
      <c r="G139" s="75"/>
      <c r="H139" s="75"/>
      <c r="I139" s="75"/>
      <c r="J139" s="75"/>
      <c r="K139" s="75"/>
      <c r="L139" s="75"/>
      <c r="M139" s="96"/>
      <c r="O139" s="75"/>
      <c r="P139" s="75"/>
      <c r="Q139" s="75"/>
      <c r="T139" s="78" t="str">
        <f t="shared" si="4"/>
        <v/>
      </c>
      <c r="U139" s="78" t="str">
        <f t="shared" ca="1" si="5"/>
        <v/>
      </c>
    </row>
    <row r="140" spans="1:21" ht="15" customHeight="1" x14ac:dyDescent="0.25">
      <c r="A140" s="75"/>
      <c r="B140" s="75"/>
      <c r="C140" s="75"/>
      <c r="D140" s="75"/>
      <c r="E140" s="75"/>
      <c r="F140" s="96"/>
      <c r="G140" s="75"/>
      <c r="H140" s="75"/>
      <c r="I140" s="75"/>
      <c r="J140" s="75"/>
      <c r="K140" s="75"/>
      <c r="L140" s="75"/>
      <c r="M140" s="96"/>
      <c r="O140" s="75"/>
      <c r="P140" s="75"/>
      <c r="Q140" s="75"/>
      <c r="T140" s="78" t="str">
        <f t="shared" si="4"/>
        <v/>
      </c>
      <c r="U140" s="78" t="str">
        <f t="shared" ca="1" si="5"/>
        <v/>
      </c>
    </row>
    <row r="141" spans="1:21" ht="15" customHeight="1" x14ac:dyDescent="0.25">
      <c r="A141" s="75"/>
      <c r="B141" s="75"/>
      <c r="C141" s="75"/>
      <c r="D141" s="75"/>
      <c r="E141" s="75"/>
      <c r="F141" s="96"/>
      <c r="G141" s="75"/>
      <c r="H141" s="75"/>
      <c r="I141" s="75"/>
      <c r="J141" s="75"/>
      <c r="K141" s="75"/>
      <c r="L141" s="75"/>
      <c r="M141" s="96"/>
      <c r="O141" s="75"/>
      <c r="P141" s="75"/>
      <c r="Q141" s="75"/>
      <c r="T141" s="78" t="str">
        <f t="shared" si="4"/>
        <v/>
      </c>
      <c r="U141" s="78" t="str">
        <f t="shared" ca="1" si="5"/>
        <v/>
      </c>
    </row>
    <row r="142" spans="1:21" ht="15" customHeight="1" x14ac:dyDescent="0.25">
      <c r="A142" s="75"/>
      <c r="B142" s="75"/>
      <c r="C142" s="75"/>
      <c r="D142" s="75"/>
      <c r="E142" s="75"/>
      <c r="F142" s="96"/>
      <c r="G142" s="75"/>
      <c r="H142" s="75"/>
      <c r="I142" s="75"/>
      <c r="J142" s="75"/>
      <c r="K142" s="75"/>
      <c r="L142" s="75"/>
      <c r="M142" s="96"/>
      <c r="O142" s="75"/>
      <c r="P142" s="75"/>
      <c r="Q142" s="75"/>
      <c r="T142" s="78" t="str">
        <f t="shared" si="4"/>
        <v/>
      </c>
      <c r="U142" s="78" t="str">
        <f t="shared" ca="1" si="5"/>
        <v/>
      </c>
    </row>
    <row r="143" spans="1:21" ht="15" customHeight="1" x14ac:dyDescent="0.25">
      <c r="A143" s="75"/>
      <c r="B143" s="75"/>
      <c r="C143" s="75"/>
      <c r="D143" s="75"/>
      <c r="E143" s="75"/>
      <c r="F143" s="96"/>
      <c r="G143" s="75"/>
      <c r="H143" s="75"/>
      <c r="I143" s="75"/>
      <c r="J143" s="75"/>
      <c r="K143" s="75"/>
      <c r="L143" s="75"/>
      <c r="M143" s="96"/>
      <c r="O143" s="75"/>
      <c r="P143" s="75"/>
      <c r="Q143" s="75"/>
      <c r="T143" s="78" t="str">
        <f t="shared" si="4"/>
        <v/>
      </c>
      <c r="U143" s="78" t="str">
        <f t="shared" ca="1" si="5"/>
        <v/>
      </c>
    </row>
    <row r="144" spans="1:21" ht="15" customHeight="1" x14ac:dyDescent="0.25">
      <c r="A144" s="75"/>
      <c r="B144" s="75"/>
      <c r="C144" s="75"/>
      <c r="D144" s="75"/>
      <c r="E144" s="75"/>
      <c r="F144" s="96"/>
      <c r="G144" s="75"/>
      <c r="H144" s="75"/>
      <c r="I144" s="75"/>
      <c r="J144" s="75"/>
      <c r="K144" s="75"/>
      <c r="L144" s="75"/>
      <c r="M144" s="96"/>
      <c r="O144" s="75"/>
      <c r="P144" s="75"/>
      <c r="Q144" s="75"/>
      <c r="T144" s="78" t="str">
        <f t="shared" si="4"/>
        <v/>
      </c>
      <c r="U144" s="78" t="str">
        <f t="shared" ca="1" si="5"/>
        <v/>
      </c>
    </row>
    <row r="145" spans="1:21" ht="15" customHeight="1" x14ac:dyDescent="0.25">
      <c r="A145" s="75"/>
      <c r="B145" s="75"/>
      <c r="C145" s="75"/>
      <c r="D145" s="75"/>
      <c r="E145" s="75"/>
      <c r="F145" s="96"/>
      <c r="G145" s="75"/>
      <c r="H145" s="75"/>
      <c r="I145" s="75"/>
      <c r="J145" s="75"/>
      <c r="K145" s="75"/>
      <c r="L145" s="75"/>
      <c r="M145" s="96"/>
      <c r="O145" s="75"/>
      <c r="P145" s="75"/>
      <c r="Q145" s="75"/>
      <c r="T145" s="78" t="str">
        <f t="shared" si="4"/>
        <v/>
      </c>
      <c r="U145" s="78" t="str">
        <f t="shared" ca="1" si="5"/>
        <v/>
      </c>
    </row>
    <row r="146" spans="1:21" ht="15" customHeight="1" x14ac:dyDescent="0.25">
      <c r="A146" s="75"/>
      <c r="B146" s="75"/>
      <c r="C146" s="75"/>
      <c r="D146" s="75"/>
      <c r="E146" s="75"/>
      <c r="F146" s="96"/>
      <c r="G146" s="75"/>
      <c r="H146" s="75"/>
      <c r="I146" s="75"/>
      <c r="J146" s="75"/>
      <c r="K146" s="75"/>
      <c r="L146" s="75"/>
      <c r="M146" s="96"/>
      <c r="O146" s="75"/>
      <c r="P146" s="75"/>
      <c r="Q146" s="75"/>
      <c r="T146" s="78" t="str">
        <f t="shared" si="4"/>
        <v/>
      </c>
      <c r="U146" s="78" t="str">
        <f t="shared" ca="1" si="5"/>
        <v/>
      </c>
    </row>
    <row r="147" spans="1:21" ht="15" customHeight="1" x14ac:dyDescent="0.25">
      <c r="A147" s="75"/>
      <c r="B147" s="75"/>
      <c r="C147" s="75"/>
      <c r="D147" s="75"/>
      <c r="E147" s="75"/>
      <c r="F147" s="96"/>
      <c r="G147" s="75"/>
      <c r="H147" s="75"/>
      <c r="I147" s="75"/>
      <c r="J147" s="75"/>
      <c r="K147" s="75"/>
      <c r="L147" s="75"/>
      <c r="M147" s="96"/>
      <c r="O147" s="75"/>
      <c r="P147" s="75"/>
      <c r="Q147" s="75"/>
      <c r="T147" s="78" t="str">
        <f t="shared" si="4"/>
        <v/>
      </c>
      <c r="U147" s="78" t="str">
        <f t="shared" ca="1" si="5"/>
        <v/>
      </c>
    </row>
    <row r="148" spans="1:21" ht="15" customHeight="1" x14ac:dyDescent="0.25">
      <c r="A148" s="75"/>
      <c r="B148" s="75"/>
      <c r="C148" s="75"/>
      <c r="D148" s="75"/>
      <c r="E148" s="75"/>
      <c r="F148" s="96"/>
      <c r="G148" s="75"/>
      <c r="H148" s="75"/>
      <c r="I148" s="75"/>
      <c r="J148" s="75"/>
      <c r="K148" s="75"/>
      <c r="L148" s="75"/>
      <c r="M148" s="96"/>
      <c r="O148" s="75"/>
      <c r="P148" s="75"/>
      <c r="Q148" s="75"/>
      <c r="T148" s="78" t="str">
        <f t="shared" si="4"/>
        <v/>
      </c>
      <c r="U148" s="78" t="str">
        <f t="shared" ca="1" si="5"/>
        <v/>
      </c>
    </row>
    <row r="149" spans="1:21" ht="15" customHeight="1" x14ac:dyDescent="0.25">
      <c r="A149" s="75"/>
      <c r="B149" s="75"/>
      <c r="C149" s="75"/>
      <c r="D149" s="75"/>
      <c r="E149" s="75"/>
      <c r="F149" s="96"/>
      <c r="G149" s="75"/>
      <c r="H149" s="75"/>
      <c r="I149" s="75"/>
      <c r="J149" s="75"/>
      <c r="K149" s="75"/>
      <c r="L149" s="75"/>
      <c r="M149" s="96"/>
      <c r="O149" s="75"/>
      <c r="P149" s="75"/>
      <c r="Q149" s="75"/>
      <c r="T149" s="78" t="str">
        <f t="shared" si="4"/>
        <v/>
      </c>
      <c r="U149" s="78" t="str">
        <f t="shared" ca="1" si="5"/>
        <v/>
      </c>
    </row>
    <row r="150" spans="1:21" ht="15" customHeight="1" x14ac:dyDescent="0.25">
      <c r="A150" s="75"/>
      <c r="B150" s="75"/>
      <c r="C150" s="75"/>
      <c r="D150" s="75"/>
      <c r="E150" s="75"/>
      <c r="F150" s="96"/>
      <c r="G150" s="75"/>
      <c r="H150" s="75"/>
      <c r="I150" s="75"/>
      <c r="J150" s="75"/>
      <c r="K150" s="75"/>
      <c r="L150" s="75"/>
      <c r="M150" s="96"/>
      <c r="O150" s="75"/>
      <c r="P150" s="75"/>
      <c r="Q150" s="75"/>
      <c r="T150" s="78" t="str">
        <f t="shared" si="4"/>
        <v/>
      </c>
      <c r="U150" s="78" t="str">
        <f t="shared" ca="1" si="5"/>
        <v/>
      </c>
    </row>
    <row r="151" spans="1:21" ht="15" customHeight="1" x14ac:dyDescent="0.25">
      <c r="A151" s="75"/>
      <c r="B151" s="75"/>
      <c r="C151" s="75"/>
      <c r="D151" s="75"/>
      <c r="E151" s="75"/>
      <c r="F151" s="96"/>
      <c r="G151" s="75"/>
      <c r="H151" s="75"/>
      <c r="I151" s="75"/>
      <c r="J151" s="75"/>
      <c r="K151" s="75"/>
      <c r="L151" s="75"/>
      <c r="M151" s="96"/>
      <c r="O151" s="75"/>
      <c r="P151" s="75"/>
      <c r="Q151" s="75"/>
      <c r="T151" s="78" t="str">
        <f t="shared" si="4"/>
        <v/>
      </c>
      <c r="U151" s="78" t="str">
        <f t="shared" ca="1" si="5"/>
        <v/>
      </c>
    </row>
    <row r="152" spans="1:21" ht="15" customHeight="1" x14ac:dyDescent="0.25">
      <c r="A152" s="75"/>
      <c r="B152" s="75"/>
      <c r="C152" s="75"/>
      <c r="D152" s="75"/>
      <c r="E152" s="75"/>
      <c r="F152" s="96"/>
      <c r="G152" s="75"/>
      <c r="H152" s="75"/>
      <c r="I152" s="75"/>
      <c r="J152" s="75"/>
      <c r="K152" s="75"/>
      <c r="L152" s="75"/>
      <c r="M152" s="96"/>
      <c r="O152" s="75"/>
      <c r="P152" s="75"/>
      <c r="Q152" s="75"/>
      <c r="T152" s="78" t="str">
        <f t="shared" si="4"/>
        <v/>
      </c>
      <c r="U152" s="78" t="str">
        <f t="shared" ca="1" si="5"/>
        <v/>
      </c>
    </row>
    <row r="153" spans="1:21" ht="15" customHeight="1" x14ac:dyDescent="0.25">
      <c r="A153" s="75"/>
      <c r="B153" s="75"/>
      <c r="C153" s="75"/>
      <c r="D153" s="75"/>
      <c r="E153" s="75"/>
      <c r="F153" s="96"/>
      <c r="G153" s="75"/>
      <c r="H153" s="75"/>
      <c r="I153" s="75"/>
      <c r="J153" s="75"/>
      <c r="K153" s="75"/>
      <c r="L153" s="75"/>
      <c r="M153" s="96"/>
      <c r="O153" s="75"/>
      <c r="P153" s="75"/>
      <c r="Q153" s="75"/>
      <c r="T153" s="78" t="str">
        <f t="shared" si="4"/>
        <v/>
      </c>
      <c r="U153" s="78" t="str">
        <f t="shared" ca="1" si="5"/>
        <v/>
      </c>
    </row>
    <row r="154" spans="1:21" ht="15" customHeight="1" x14ac:dyDescent="0.25">
      <c r="A154" s="75"/>
      <c r="B154" s="75"/>
      <c r="C154" s="75"/>
      <c r="D154" s="75"/>
      <c r="E154" s="75"/>
      <c r="F154" s="96"/>
      <c r="G154" s="75"/>
      <c r="H154" s="75"/>
      <c r="I154" s="75"/>
      <c r="J154" s="75"/>
      <c r="K154" s="75"/>
      <c r="L154" s="75"/>
      <c r="M154" s="96"/>
      <c r="O154" s="75"/>
      <c r="P154" s="75"/>
      <c r="Q154" s="75"/>
      <c r="T154" s="78" t="str">
        <f t="shared" si="4"/>
        <v/>
      </c>
      <c r="U154" s="78" t="str">
        <f t="shared" ca="1" si="5"/>
        <v/>
      </c>
    </row>
    <row r="155" spans="1:21" ht="15" customHeight="1" x14ac:dyDescent="0.25">
      <c r="A155" s="75"/>
      <c r="B155" s="75"/>
      <c r="C155" s="75"/>
      <c r="D155" s="75"/>
      <c r="E155" s="75"/>
      <c r="F155" s="96"/>
      <c r="G155" s="75"/>
      <c r="H155" s="75"/>
      <c r="I155" s="75"/>
      <c r="J155" s="75"/>
      <c r="K155" s="75"/>
      <c r="L155" s="75"/>
      <c r="M155" s="96"/>
      <c r="O155" s="75"/>
      <c r="P155" s="75"/>
      <c r="Q155" s="75"/>
      <c r="T155" s="78" t="str">
        <f t="shared" si="4"/>
        <v/>
      </c>
      <c r="U155" s="78" t="str">
        <f t="shared" ca="1" si="5"/>
        <v/>
      </c>
    </row>
    <row r="156" spans="1:21" ht="15" customHeight="1" x14ac:dyDescent="0.25">
      <c r="A156" s="75"/>
      <c r="B156" s="75"/>
      <c r="C156" s="75"/>
      <c r="D156" s="75"/>
      <c r="E156" s="75"/>
      <c r="F156" s="96"/>
      <c r="G156" s="75"/>
      <c r="H156" s="75"/>
      <c r="I156" s="75"/>
      <c r="J156" s="75"/>
      <c r="K156" s="75"/>
      <c r="L156" s="75"/>
      <c r="M156" s="96"/>
      <c r="O156" s="75"/>
      <c r="P156" s="75"/>
      <c r="Q156" s="75"/>
      <c r="T156" s="78" t="str">
        <f t="shared" si="4"/>
        <v/>
      </c>
      <c r="U156" s="78" t="str">
        <f t="shared" ca="1" si="5"/>
        <v/>
      </c>
    </row>
    <row r="157" spans="1:21" ht="15" customHeight="1" x14ac:dyDescent="0.25">
      <c r="A157" s="75"/>
      <c r="B157" s="75"/>
      <c r="C157" s="75"/>
      <c r="D157" s="75"/>
      <c r="E157" s="75"/>
      <c r="F157" s="96"/>
      <c r="G157" s="75"/>
      <c r="H157" s="75"/>
      <c r="I157" s="75"/>
      <c r="J157" s="75"/>
      <c r="K157" s="75"/>
      <c r="L157" s="75"/>
      <c r="M157" s="96"/>
      <c r="O157" s="75"/>
      <c r="P157" s="75"/>
      <c r="Q157" s="75"/>
      <c r="T157" s="78" t="str">
        <f t="shared" si="4"/>
        <v/>
      </c>
      <c r="U157" s="78" t="str">
        <f t="shared" ca="1" si="5"/>
        <v/>
      </c>
    </row>
    <row r="158" spans="1:21" ht="15" customHeight="1" x14ac:dyDescent="0.25">
      <c r="A158" s="75"/>
      <c r="B158" s="75"/>
      <c r="C158" s="75"/>
      <c r="D158" s="75"/>
      <c r="E158" s="75"/>
      <c r="F158" s="96"/>
      <c r="G158" s="75"/>
      <c r="H158" s="75"/>
      <c r="I158" s="75"/>
      <c r="J158" s="75"/>
      <c r="K158" s="75"/>
      <c r="L158" s="75"/>
      <c r="M158" s="96"/>
      <c r="O158" s="75"/>
      <c r="P158" s="75"/>
      <c r="Q158" s="75"/>
      <c r="T158" s="78" t="str">
        <f t="shared" si="4"/>
        <v/>
      </c>
      <c r="U158" s="78" t="str">
        <f t="shared" ca="1" si="5"/>
        <v/>
      </c>
    </row>
    <row r="159" spans="1:21" ht="15" customHeight="1" x14ac:dyDescent="0.25">
      <c r="A159" s="75"/>
      <c r="B159" s="75"/>
      <c r="C159" s="75"/>
      <c r="D159" s="75"/>
      <c r="E159" s="75"/>
      <c r="F159" s="96"/>
      <c r="G159" s="75"/>
      <c r="H159" s="75"/>
      <c r="I159" s="75"/>
      <c r="J159" s="75"/>
      <c r="K159" s="75"/>
      <c r="L159" s="75"/>
      <c r="M159" s="96"/>
      <c r="O159" s="75"/>
      <c r="P159" s="75"/>
      <c r="Q159" s="75"/>
      <c r="T159" s="78" t="str">
        <f t="shared" si="4"/>
        <v/>
      </c>
      <c r="U159" s="78" t="str">
        <f t="shared" ca="1" si="5"/>
        <v/>
      </c>
    </row>
    <row r="160" spans="1:21" ht="15" customHeight="1" x14ac:dyDescent="0.25">
      <c r="A160" s="75"/>
      <c r="B160" s="75"/>
      <c r="C160" s="75"/>
      <c r="D160" s="75"/>
      <c r="E160" s="75"/>
      <c r="F160" s="96"/>
      <c r="G160" s="75"/>
      <c r="H160" s="75"/>
      <c r="I160" s="75"/>
      <c r="J160" s="75"/>
      <c r="K160" s="75"/>
      <c r="L160" s="75"/>
      <c r="M160" s="96"/>
      <c r="O160" s="75"/>
      <c r="P160" s="75"/>
      <c r="Q160" s="75"/>
      <c r="T160" s="78" t="str">
        <f t="shared" si="4"/>
        <v/>
      </c>
      <c r="U160" s="78" t="str">
        <f t="shared" ca="1" si="5"/>
        <v/>
      </c>
    </row>
    <row r="161" spans="1:21" ht="15" customHeight="1" x14ac:dyDescent="0.25">
      <c r="A161" s="75"/>
      <c r="B161" s="75"/>
      <c r="C161" s="75"/>
      <c r="D161" s="75"/>
      <c r="E161" s="75"/>
      <c r="F161" s="96"/>
      <c r="G161" s="75"/>
      <c r="H161" s="75"/>
      <c r="I161" s="75"/>
      <c r="J161" s="75"/>
      <c r="K161" s="75"/>
      <c r="L161" s="75"/>
      <c r="M161" s="96"/>
      <c r="O161" s="75"/>
      <c r="P161" s="75"/>
      <c r="Q161" s="75"/>
      <c r="T161" s="78" t="str">
        <f t="shared" si="4"/>
        <v/>
      </c>
      <c r="U161" s="78" t="str">
        <f t="shared" ca="1" si="5"/>
        <v/>
      </c>
    </row>
    <row r="162" spans="1:21" ht="15" customHeight="1" x14ac:dyDescent="0.25">
      <c r="A162" s="75"/>
      <c r="B162" s="75"/>
      <c r="C162" s="75"/>
      <c r="D162" s="75"/>
      <c r="E162" s="75"/>
      <c r="F162" s="96"/>
      <c r="G162" s="75"/>
      <c r="H162" s="75"/>
      <c r="I162" s="75"/>
      <c r="J162" s="75"/>
      <c r="K162" s="75"/>
      <c r="L162" s="75"/>
      <c r="M162" s="96"/>
      <c r="O162" s="75"/>
      <c r="P162" s="75"/>
      <c r="Q162" s="75"/>
      <c r="T162" s="78" t="str">
        <f t="shared" si="4"/>
        <v/>
      </c>
      <c r="U162" s="78" t="str">
        <f t="shared" ca="1" si="5"/>
        <v/>
      </c>
    </row>
    <row r="163" spans="1:21" ht="15" customHeight="1" x14ac:dyDescent="0.25">
      <c r="A163" s="75"/>
      <c r="B163" s="75"/>
      <c r="C163" s="75"/>
      <c r="D163" s="75"/>
      <c r="E163" s="75"/>
      <c r="F163" s="96"/>
      <c r="G163" s="75"/>
      <c r="H163" s="75"/>
      <c r="I163" s="75"/>
      <c r="J163" s="75"/>
      <c r="K163" s="75"/>
      <c r="L163" s="75"/>
      <c r="M163" s="96"/>
      <c r="O163" s="75"/>
      <c r="P163" s="75"/>
      <c r="Q163" s="75"/>
      <c r="T163" s="78" t="str">
        <f t="shared" si="4"/>
        <v/>
      </c>
      <c r="U163" s="78" t="str">
        <f t="shared" ca="1" si="5"/>
        <v/>
      </c>
    </row>
    <row r="164" spans="1:21" ht="15" customHeight="1" x14ac:dyDescent="0.25">
      <c r="A164" s="75"/>
      <c r="B164" s="75"/>
      <c r="C164" s="75"/>
      <c r="D164" s="75"/>
      <c r="E164" s="75"/>
      <c r="F164" s="96"/>
      <c r="G164" s="75"/>
      <c r="H164" s="75"/>
      <c r="I164" s="75"/>
      <c r="J164" s="75"/>
      <c r="K164" s="75"/>
      <c r="L164" s="75"/>
      <c r="M164" s="96"/>
      <c r="O164" s="75"/>
      <c r="P164" s="75"/>
      <c r="Q164" s="75"/>
      <c r="T164" s="78" t="str">
        <f t="shared" si="4"/>
        <v/>
      </c>
      <c r="U164" s="78" t="str">
        <f t="shared" ca="1" si="5"/>
        <v/>
      </c>
    </row>
    <row r="165" spans="1:21" ht="15" customHeight="1" x14ac:dyDescent="0.25">
      <c r="A165" s="75"/>
      <c r="B165" s="75"/>
      <c r="C165" s="75"/>
      <c r="D165" s="75"/>
      <c r="E165" s="75"/>
      <c r="F165" s="96"/>
      <c r="G165" s="75"/>
      <c r="H165" s="75"/>
      <c r="I165" s="75"/>
      <c r="J165" s="75"/>
      <c r="K165" s="75"/>
      <c r="L165" s="75"/>
      <c r="M165" s="96"/>
      <c r="O165" s="75"/>
      <c r="P165" s="75"/>
      <c r="Q165" s="75"/>
      <c r="T165" s="78" t="str">
        <f t="shared" si="4"/>
        <v/>
      </c>
      <c r="U165" s="78" t="str">
        <f t="shared" ca="1" si="5"/>
        <v/>
      </c>
    </row>
    <row r="166" spans="1:21" ht="15" customHeight="1" x14ac:dyDescent="0.25">
      <c r="A166" s="75"/>
      <c r="B166" s="75"/>
      <c r="C166" s="75"/>
      <c r="D166" s="75"/>
      <c r="E166" s="75"/>
      <c r="F166" s="96"/>
      <c r="G166" s="75"/>
      <c r="H166" s="75"/>
      <c r="I166" s="75"/>
      <c r="J166" s="75"/>
      <c r="K166" s="75"/>
      <c r="L166" s="75"/>
      <c r="M166" s="96"/>
      <c r="O166" s="75"/>
      <c r="P166" s="75"/>
      <c r="Q166" s="75"/>
      <c r="T166" s="78" t="str">
        <f t="shared" si="4"/>
        <v/>
      </c>
      <c r="U166" s="78" t="str">
        <f t="shared" ca="1" si="5"/>
        <v/>
      </c>
    </row>
    <row r="167" spans="1:21" ht="15" customHeight="1" x14ac:dyDescent="0.25">
      <c r="A167" s="75"/>
      <c r="B167" s="75"/>
      <c r="C167" s="75"/>
      <c r="D167" s="75"/>
      <c r="E167" s="75"/>
      <c r="F167" s="96"/>
      <c r="G167" s="75"/>
      <c r="H167" s="75"/>
      <c r="I167" s="75"/>
      <c r="J167" s="75"/>
      <c r="K167" s="75"/>
      <c r="L167" s="75"/>
      <c r="M167" s="96"/>
      <c r="O167" s="75"/>
      <c r="P167" s="75"/>
      <c r="Q167" s="75"/>
      <c r="T167" s="78" t="str">
        <f t="shared" si="4"/>
        <v/>
      </c>
      <c r="U167" s="78" t="str">
        <f t="shared" ca="1" si="5"/>
        <v/>
      </c>
    </row>
    <row r="168" spans="1:21" ht="15" customHeight="1" x14ac:dyDescent="0.25">
      <c r="F168" s="80"/>
      <c r="M168" s="80"/>
      <c r="O168" s="75"/>
      <c r="T168" s="78" t="str">
        <f t="shared" si="4"/>
        <v/>
      </c>
      <c r="U168" s="78" t="str">
        <f t="shared" ca="1" si="5"/>
        <v/>
      </c>
    </row>
    <row r="169" spans="1:21" ht="15" customHeight="1" x14ac:dyDescent="0.25">
      <c r="F169" s="80"/>
      <c r="M169" s="80"/>
      <c r="O169" s="75"/>
      <c r="T169" s="78" t="str">
        <f t="shared" si="4"/>
        <v/>
      </c>
      <c r="U169" s="78" t="str">
        <f t="shared" ca="1" si="5"/>
        <v/>
      </c>
    </row>
    <row r="170" spans="1:21" ht="15" customHeight="1" x14ac:dyDescent="0.25">
      <c r="F170" s="80"/>
      <c r="O170" s="75"/>
      <c r="T170" s="78" t="str">
        <f t="shared" si="4"/>
        <v/>
      </c>
      <c r="U170" s="78" t="str">
        <f t="shared" ca="1" si="5"/>
        <v/>
      </c>
    </row>
    <row r="171" spans="1:21" ht="15" customHeight="1" x14ac:dyDescent="0.25">
      <c r="F171" s="80"/>
      <c r="O171" s="75"/>
      <c r="T171" s="78" t="str">
        <f t="shared" si="4"/>
        <v/>
      </c>
      <c r="U171" s="78" t="str">
        <f t="shared" ca="1" si="5"/>
        <v/>
      </c>
    </row>
    <row r="172" spans="1:21" ht="15" customHeight="1" x14ac:dyDescent="0.25">
      <c r="F172" s="80"/>
      <c r="O172" s="75"/>
      <c r="T172" s="78" t="str">
        <f t="shared" si="4"/>
        <v/>
      </c>
      <c r="U172" s="78" t="str">
        <f t="shared" ca="1" si="5"/>
        <v/>
      </c>
    </row>
    <row r="173" spans="1:21" ht="15" customHeight="1" x14ac:dyDescent="0.25">
      <c r="F173" s="80"/>
      <c r="O173" s="75"/>
      <c r="T173" s="78" t="str">
        <f t="shared" si="4"/>
        <v/>
      </c>
      <c r="U173" s="78" t="str">
        <f t="shared" ca="1" si="5"/>
        <v/>
      </c>
    </row>
    <row r="174" spans="1:21" ht="15" customHeight="1" x14ac:dyDescent="0.25">
      <c r="F174" s="80"/>
      <c r="O174" s="75"/>
      <c r="T174" s="78" t="str">
        <f t="shared" si="4"/>
        <v/>
      </c>
      <c r="U174" s="78" t="str">
        <f t="shared" ca="1" si="5"/>
        <v/>
      </c>
    </row>
    <row r="175" spans="1:21" ht="15" customHeight="1" x14ac:dyDescent="0.25">
      <c r="F175" s="80"/>
      <c r="O175" s="75"/>
      <c r="T175" s="78" t="str">
        <f t="shared" si="4"/>
        <v/>
      </c>
      <c r="U175" s="78" t="str">
        <f t="shared" ca="1" si="5"/>
        <v/>
      </c>
    </row>
    <row r="176" spans="1:21" ht="15" customHeight="1" x14ac:dyDescent="0.25">
      <c r="F176" s="80"/>
      <c r="O176" s="75"/>
      <c r="T176" s="78" t="str">
        <f t="shared" si="4"/>
        <v/>
      </c>
      <c r="U176" s="78" t="str">
        <f t="shared" ca="1" si="5"/>
        <v/>
      </c>
    </row>
    <row r="177" spans="6:21" ht="15" customHeight="1" x14ac:dyDescent="0.25">
      <c r="F177" s="80"/>
      <c r="O177" s="75"/>
      <c r="T177" s="78" t="str">
        <f t="shared" si="4"/>
        <v/>
      </c>
      <c r="U177" s="78" t="str">
        <f t="shared" ca="1" si="5"/>
        <v/>
      </c>
    </row>
    <row r="178" spans="6:21" ht="15" customHeight="1" x14ac:dyDescent="0.25">
      <c r="F178" s="80"/>
      <c r="M178" s="80"/>
      <c r="O178" s="75"/>
      <c r="T178" s="78" t="str">
        <f t="shared" si="4"/>
        <v/>
      </c>
      <c r="U178" s="78" t="str">
        <f t="shared" ca="1" si="5"/>
        <v/>
      </c>
    </row>
    <row r="179" spans="6:21" ht="15" customHeight="1" x14ac:dyDescent="0.25">
      <c r="F179" s="80"/>
      <c r="M179" s="80"/>
      <c r="O179" s="75"/>
      <c r="T179" s="78" t="str">
        <f t="shared" si="4"/>
        <v/>
      </c>
      <c r="U179" s="78" t="str">
        <f t="shared" ca="1" si="5"/>
        <v/>
      </c>
    </row>
    <row r="180" spans="6:21" ht="15" customHeight="1" x14ac:dyDescent="0.25">
      <c r="F180" s="80"/>
      <c r="O180" s="75"/>
      <c r="T180" s="78" t="str">
        <f t="shared" si="4"/>
        <v/>
      </c>
      <c r="U180" s="78" t="str">
        <f t="shared" ca="1" si="5"/>
        <v/>
      </c>
    </row>
    <row r="181" spans="6:21" ht="15" customHeight="1" x14ac:dyDescent="0.25">
      <c r="F181" s="80"/>
      <c r="O181" s="75"/>
      <c r="T181" s="78" t="str">
        <f t="shared" si="4"/>
        <v/>
      </c>
      <c r="U181" s="78" t="str">
        <f t="shared" ca="1" si="5"/>
        <v/>
      </c>
    </row>
    <row r="182" spans="6:21" ht="15" customHeight="1" x14ac:dyDescent="0.25">
      <c r="F182" s="80"/>
      <c r="M182" s="80"/>
      <c r="O182" s="75"/>
      <c r="T182" s="78" t="str">
        <f t="shared" si="4"/>
        <v/>
      </c>
      <c r="U182" s="78" t="str">
        <f t="shared" ca="1" si="5"/>
        <v/>
      </c>
    </row>
    <row r="183" spans="6:21" ht="15" customHeight="1" x14ac:dyDescent="0.25">
      <c r="F183" s="80"/>
      <c r="O183" s="75"/>
      <c r="T183" s="78" t="str">
        <f t="shared" si="4"/>
        <v/>
      </c>
      <c r="U183" s="78" t="str">
        <f t="shared" ca="1" si="5"/>
        <v/>
      </c>
    </row>
    <row r="184" spans="6:21" ht="15" customHeight="1" x14ac:dyDescent="0.25">
      <c r="F184" s="80"/>
      <c r="O184" s="75"/>
      <c r="T184" s="78" t="str">
        <f t="shared" si="4"/>
        <v/>
      </c>
      <c r="U184" s="78" t="str">
        <f t="shared" ca="1" si="5"/>
        <v/>
      </c>
    </row>
    <row r="185" spans="6:21" ht="15" customHeight="1" x14ac:dyDescent="0.25">
      <c r="F185" s="80"/>
      <c r="O185" s="75"/>
      <c r="T185" s="78" t="str">
        <f t="shared" si="4"/>
        <v/>
      </c>
      <c r="U185" s="78" t="str">
        <f t="shared" ca="1" si="5"/>
        <v/>
      </c>
    </row>
    <row r="186" spans="6:21" ht="15" customHeight="1" x14ac:dyDescent="0.25">
      <c r="F186" s="80"/>
      <c r="O186" s="75"/>
      <c r="T186" s="78" t="str">
        <f t="shared" si="4"/>
        <v/>
      </c>
      <c r="U186" s="78" t="str">
        <f t="shared" ca="1" si="5"/>
        <v/>
      </c>
    </row>
    <row r="187" spans="6:21" ht="15" customHeight="1" x14ac:dyDescent="0.25">
      <c r="F187" s="80"/>
      <c r="M187" s="80"/>
      <c r="O187" s="75"/>
      <c r="T187" s="78" t="str">
        <f t="shared" si="4"/>
        <v/>
      </c>
      <c r="U187" s="78" t="str">
        <f t="shared" ca="1" si="5"/>
        <v/>
      </c>
    </row>
    <row r="188" spans="6:21" ht="15" customHeight="1" x14ac:dyDescent="0.25">
      <c r="F188" s="80"/>
      <c r="M188" s="80"/>
      <c r="O188" s="75"/>
      <c r="T188" s="78" t="str">
        <f t="shared" si="4"/>
        <v/>
      </c>
      <c r="U188" s="78" t="str">
        <f t="shared" ca="1" si="5"/>
        <v/>
      </c>
    </row>
    <row r="189" spans="6:21" ht="15" customHeight="1" x14ac:dyDescent="0.25">
      <c r="F189" s="80"/>
      <c r="M189" s="80"/>
      <c r="O189" s="75"/>
      <c r="T189" s="78" t="str">
        <f t="shared" si="4"/>
        <v/>
      </c>
      <c r="U189" s="78" t="str">
        <f t="shared" ca="1" si="5"/>
        <v/>
      </c>
    </row>
    <row r="190" spans="6:21" ht="15" customHeight="1" x14ac:dyDescent="0.25">
      <c r="F190" s="80"/>
      <c r="M190" s="80"/>
      <c r="O190" s="75"/>
      <c r="T190" s="78" t="str">
        <f t="shared" si="4"/>
        <v/>
      </c>
      <c r="U190" s="78" t="str">
        <f t="shared" ca="1" si="5"/>
        <v/>
      </c>
    </row>
    <row r="191" spans="6:21" ht="15" customHeight="1" x14ac:dyDescent="0.25">
      <c r="F191" s="80"/>
      <c r="O191" s="75"/>
      <c r="T191" s="78" t="str">
        <f t="shared" si="4"/>
        <v/>
      </c>
      <c r="U191" s="78" t="str">
        <f t="shared" ca="1" si="5"/>
        <v/>
      </c>
    </row>
    <row r="192" spans="6:21" ht="15" customHeight="1" x14ac:dyDescent="0.25">
      <c r="F192" s="80"/>
      <c r="M192" s="80"/>
      <c r="O192" s="75"/>
      <c r="T192" s="78" t="str">
        <f t="shared" si="4"/>
        <v/>
      </c>
      <c r="U192" s="78" t="str">
        <f t="shared" ca="1" si="5"/>
        <v/>
      </c>
    </row>
    <row r="193" spans="6:21" ht="15" customHeight="1" x14ac:dyDescent="0.25">
      <c r="F193" s="80"/>
      <c r="M193" s="80"/>
      <c r="O193" s="75"/>
      <c r="T193" s="78" t="str">
        <f t="shared" si="4"/>
        <v/>
      </c>
      <c r="U193" s="78" t="str">
        <f t="shared" ca="1" si="5"/>
        <v/>
      </c>
    </row>
    <row r="194" spans="6:21" ht="15" customHeight="1" x14ac:dyDescent="0.25">
      <c r="F194" s="80"/>
      <c r="O194" s="75"/>
      <c r="T194" s="78" t="str">
        <f t="shared" ref="T194:T257" si="6">IF(H:H&lt;&gt;"",(H194&amp;"-"&amp;I194),"")</f>
        <v/>
      </c>
      <c r="U194" s="78" t="str">
        <f t="shared" ref="U194:U257" ca="1" si="7">IF(F:F&lt;&gt;"",(IF(E194&lt;&gt;"Closed",DATEDIF(F194,TODAY(),"d"),"")),"")</f>
        <v/>
      </c>
    </row>
    <row r="195" spans="6:21" ht="15" customHeight="1" x14ac:dyDescent="0.25">
      <c r="F195" s="80"/>
      <c r="O195" s="75"/>
      <c r="T195" s="78" t="str">
        <f t="shared" si="6"/>
        <v/>
      </c>
      <c r="U195" s="78" t="str">
        <f t="shared" ca="1" si="7"/>
        <v/>
      </c>
    </row>
    <row r="196" spans="6:21" ht="15" customHeight="1" x14ac:dyDescent="0.25">
      <c r="F196" s="80"/>
      <c r="M196" s="80"/>
      <c r="O196" s="75"/>
      <c r="T196" s="78" t="str">
        <f t="shared" si="6"/>
        <v/>
      </c>
      <c r="U196" s="78" t="str">
        <f t="shared" ca="1" si="7"/>
        <v/>
      </c>
    </row>
    <row r="197" spans="6:21" ht="15" customHeight="1" x14ac:dyDescent="0.25">
      <c r="F197" s="80"/>
      <c r="O197" s="75"/>
      <c r="T197" s="78" t="str">
        <f t="shared" si="6"/>
        <v/>
      </c>
      <c r="U197" s="78" t="str">
        <f t="shared" ca="1" si="7"/>
        <v/>
      </c>
    </row>
    <row r="198" spans="6:21" ht="15" customHeight="1" x14ac:dyDescent="0.25">
      <c r="F198" s="80"/>
      <c r="O198" s="75"/>
      <c r="T198" s="78" t="str">
        <f t="shared" si="6"/>
        <v/>
      </c>
      <c r="U198" s="78" t="str">
        <f t="shared" ca="1" si="7"/>
        <v/>
      </c>
    </row>
    <row r="199" spans="6:21" ht="15" customHeight="1" x14ac:dyDescent="0.25">
      <c r="F199" s="80"/>
      <c r="O199" s="75"/>
      <c r="T199" s="78" t="str">
        <f t="shared" si="6"/>
        <v/>
      </c>
      <c r="U199" s="78" t="str">
        <f t="shared" ca="1" si="7"/>
        <v/>
      </c>
    </row>
    <row r="200" spans="6:21" ht="15" customHeight="1" x14ac:dyDescent="0.25">
      <c r="F200" s="80"/>
      <c r="M200" s="80"/>
      <c r="O200" s="75"/>
      <c r="T200" s="78" t="str">
        <f t="shared" si="6"/>
        <v/>
      </c>
      <c r="U200" s="78" t="str">
        <f t="shared" ca="1" si="7"/>
        <v/>
      </c>
    </row>
    <row r="201" spans="6:21" ht="15" customHeight="1" x14ac:dyDescent="0.25">
      <c r="F201" s="80"/>
      <c r="O201" s="75"/>
      <c r="T201" s="78" t="str">
        <f t="shared" si="6"/>
        <v/>
      </c>
      <c r="U201" s="78" t="str">
        <f t="shared" ca="1" si="7"/>
        <v/>
      </c>
    </row>
    <row r="202" spans="6:21" ht="15" customHeight="1" x14ac:dyDescent="0.25">
      <c r="F202" s="80"/>
      <c r="M202" s="80"/>
      <c r="O202" s="75"/>
      <c r="T202" s="78" t="str">
        <f t="shared" si="6"/>
        <v/>
      </c>
      <c r="U202" s="78" t="str">
        <f t="shared" ca="1" si="7"/>
        <v/>
      </c>
    </row>
    <row r="203" spans="6:21" ht="15" customHeight="1" x14ac:dyDescent="0.25">
      <c r="F203" s="80"/>
      <c r="M203" s="80"/>
      <c r="O203" s="75"/>
      <c r="T203" s="78" t="str">
        <f t="shared" si="6"/>
        <v/>
      </c>
      <c r="U203" s="78" t="str">
        <f t="shared" ca="1" si="7"/>
        <v/>
      </c>
    </row>
    <row r="204" spans="6:21" ht="15" customHeight="1" x14ac:dyDescent="0.25">
      <c r="F204" s="80"/>
      <c r="M204" s="80"/>
      <c r="O204" s="75"/>
      <c r="T204" s="78" t="str">
        <f t="shared" si="6"/>
        <v/>
      </c>
      <c r="U204" s="78" t="str">
        <f t="shared" ca="1" si="7"/>
        <v/>
      </c>
    </row>
    <row r="205" spans="6:21" ht="15" customHeight="1" x14ac:dyDescent="0.25">
      <c r="F205" s="80"/>
      <c r="O205" s="75"/>
      <c r="T205" s="78" t="str">
        <f t="shared" si="6"/>
        <v/>
      </c>
      <c r="U205" s="78" t="str">
        <f t="shared" ca="1" si="7"/>
        <v/>
      </c>
    </row>
    <row r="206" spans="6:21" ht="15" customHeight="1" x14ac:dyDescent="0.25">
      <c r="F206" s="80"/>
      <c r="M206" s="80"/>
      <c r="O206" s="75"/>
      <c r="T206" s="78" t="str">
        <f t="shared" si="6"/>
        <v/>
      </c>
      <c r="U206" s="78" t="str">
        <f t="shared" ca="1" si="7"/>
        <v/>
      </c>
    </row>
    <row r="207" spans="6:21" ht="15" customHeight="1" x14ac:dyDescent="0.25">
      <c r="F207" s="80"/>
      <c r="M207" s="80"/>
      <c r="O207" s="75"/>
      <c r="T207" s="78" t="str">
        <f t="shared" si="6"/>
        <v/>
      </c>
      <c r="U207" s="78" t="str">
        <f t="shared" ca="1" si="7"/>
        <v/>
      </c>
    </row>
    <row r="208" spans="6:21" ht="15" customHeight="1" x14ac:dyDescent="0.25">
      <c r="F208" s="80"/>
      <c r="M208" s="80"/>
      <c r="O208" s="75"/>
      <c r="T208" s="78" t="str">
        <f t="shared" si="6"/>
        <v/>
      </c>
      <c r="U208" s="78" t="str">
        <f t="shared" ca="1" si="7"/>
        <v/>
      </c>
    </row>
    <row r="209" spans="6:21" ht="15" customHeight="1" x14ac:dyDescent="0.25">
      <c r="F209" s="80"/>
      <c r="M209" s="80"/>
      <c r="O209" s="75"/>
      <c r="T209" s="78" t="str">
        <f t="shared" si="6"/>
        <v/>
      </c>
      <c r="U209" s="78" t="str">
        <f t="shared" ca="1" si="7"/>
        <v/>
      </c>
    </row>
    <row r="210" spans="6:21" ht="15" customHeight="1" x14ac:dyDescent="0.25">
      <c r="F210" s="80"/>
      <c r="M210" s="80"/>
      <c r="O210" s="75"/>
      <c r="T210" s="78" t="str">
        <f t="shared" si="6"/>
        <v/>
      </c>
      <c r="U210" s="78" t="str">
        <f t="shared" ca="1" si="7"/>
        <v/>
      </c>
    </row>
    <row r="211" spans="6:21" ht="15" customHeight="1" x14ac:dyDescent="0.25">
      <c r="F211" s="80"/>
      <c r="M211" s="80"/>
      <c r="O211" s="75"/>
      <c r="T211" s="78" t="str">
        <f t="shared" si="6"/>
        <v/>
      </c>
      <c r="U211" s="78" t="str">
        <f t="shared" ca="1" si="7"/>
        <v/>
      </c>
    </row>
    <row r="212" spans="6:21" ht="15" customHeight="1" x14ac:dyDescent="0.25">
      <c r="F212" s="80"/>
      <c r="M212" s="80"/>
      <c r="O212" s="75"/>
      <c r="T212" s="78" t="str">
        <f t="shared" si="6"/>
        <v/>
      </c>
      <c r="U212" s="78" t="str">
        <f t="shared" ca="1" si="7"/>
        <v/>
      </c>
    </row>
    <row r="213" spans="6:21" ht="15" customHeight="1" x14ac:dyDescent="0.25">
      <c r="F213" s="80"/>
      <c r="M213" s="80"/>
      <c r="O213" s="75"/>
      <c r="T213" s="78" t="str">
        <f t="shared" si="6"/>
        <v/>
      </c>
      <c r="U213" s="78" t="str">
        <f t="shared" ca="1" si="7"/>
        <v/>
      </c>
    </row>
    <row r="214" spans="6:21" ht="15" customHeight="1" x14ac:dyDescent="0.25">
      <c r="F214" s="80"/>
      <c r="M214" s="80"/>
      <c r="O214" s="75"/>
      <c r="T214" s="78" t="str">
        <f t="shared" si="6"/>
        <v/>
      </c>
      <c r="U214" s="78" t="str">
        <f t="shared" ca="1" si="7"/>
        <v/>
      </c>
    </row>
    <row r="215" spans="6:21" ht="15" customHeight="1" x14ac:dyDescent="0.25">
      <c r="F215" s="80"/>
      <c r="O215" s="75"/>
      <c r="T215" s="78" t="str">
        <f t="shared" si="6"/>
        <v/>
      </c>
      <c r="U215" s="78" t="str">
        <f t="shared" ca="1" si="7"/>
        <v/>
      </c>
    </row>
    <row r="216" spans="6:21" ht="15" customHeight="1" x14ac:dyDescent="0.25">
      <c r="F216" s="80"/>
      <c r="M216" s="80"/>
      <c r="O216" s="75"/>
      <c r="T216" s="78" t="str">
        <f t="shared" si="6"/>
        <v/>
      </c>
      <c r="U216" s="78" t="str">
        <f t="shared" ca="1" si="7"/>
        <v/>
      </c>
    </row>
    <row r="217" spans="6:21" ht="15" customHeight="1" x14ac:dyDescent="0.25">
      <c r="F217" s="80"/>
      <c r="M217" s="80"/>
      <c r="O217" s="75"/>
      <c r="T217" s="78" t="str">
        <f t="shared" si="6"/>
        <v/>
      </c>
      <c r="U217" s="78" t="str">
        <f t="shared" ca="1" si="7"/>
        <v/>
      </c>
    </row>
    <row r="218" spans="6:21" ht="15" customHeight="1" x14ac:dyDescent="0.25">
      <c r="F218" s="80"/>
      <c r="O218" s="75"/>
      <c r="T218" s="78" t="str">
        <f t="shared" si="6"/>
        <v/>
      </c>
      <c r="U218" s="78" t="str">
        <f t="shared" ca="1" si="7"/>
        <v/>
      </c>
    </row>
    <row r="219" spans="6:21" ht="15" customHeight="1" x14ac:dyDescent="0.25">
      <c r="F219" s="80"/>
      <c r="M219" s="80"/>
      <c r="O219" s="75"/>
      <c r="T219" s="78" t="str">
        <f t="shared" si="6"/>
        <v/>
      </c>
      <c r="U219" s="78" t="str">
        <f t="shared" ca="1" si="7"/>
        <v/>
      </c>
    </row>
    <row r="220" spans="6:21" ht="15" customHeight="1" x14ac:dyDescent="0.25">
      <c r="F220" s="80"/>
      <c r="M220" s="80"/>
      <c r="O220" s="75"/>
      <c r="T220" s="78" t="str">
        <f t="shared" si="6"/>
        <v/>
      </c>
      <c r="U220" s="78" t="str">
        <f t="shared" ca="1" si="7"/>
        <v/>
      </c>
    </row>
    <row r="221" spans="6:21" ht="15" customHeight="1" x14ac:dyDescent="0.25">
      <c r="F221" s="80"/>
      <c r="O221" s="75"/>
      <c r="T221" s="78" t="str">
        <f t="shared" si="6"/>
        <v/>
      </c>
      <c r="U221" s="78" t="str">
        <f t="shared" ca="1" si="7"/>
        <v/>
      </c>
    </row>
    <row r="222" spans="6:21" ht="15" customHeight="1" x14ac:dyDescent="0.25">
      <c r="F222" s="80"/>
      <c r="M222" s="80"/>
      <c r="O222" s="75"/>
      <c r="T222" s="78" t="str">
        <f t="shared" si="6"/>
        <v/>
      </c>
      <c r="U222" s="78" t="str">
        <f t="shared" ca="1" si="7"/>
        <v/>
      </c>
    </row>
    <row r="223" spans="6:21" ht="15" customHeight="1" x14ac:dyDescent="0.25">
      <c r="F223" s="80"/>
      <c r="O223" s="75"/>
      <c r="T223" s="78" t="str">
        <f t="shared" si="6"/>
        <v/>
      </c>
      <c r="U223" s="78" t="str">
        <f t="shared" ca="1" si="7"/>
        <v/>
      </c>
    </row>
    <row r="224" spans="6:21" ht="15" customHeight="1" x14ac:dyDescent="0.25">
      <c r="F224" s="80"/>
      <c r="M224" s="80"/>
      <c r="O224" s="75"/>
      <c r="T224" s="78" t="str">
        <f t="shared" si="6"/>
        <v/>
      </c>
      <c r="U224" s="78" t="str">
        <f t="shared" ca="1" si="7"/>
        <v/>
      </c>
    </row>
    <row r="225" spans="6:21" ht="15" customHeight="1" x14ac:dyDescent="0.25">
      <c r="F225" s="80"/>
      <c r="M225" s="80"/>
      <c r="O225" s="75"/>
      <c r="T225" s="78" t="str">
        <f t="shared" si="6"/>
        <v/>
      </c>
      <c r="U225" s="78" t="str">
        <f t="shared" ca="1" si="7"/>
        <v/>
      </c>
    </row>
    <row r="226" spans="6:21" ht="15" customHeight="1" x14ac:dyDescent="0.25">
      <c r="F226" s="80"/>
      <c r="M226" s="80"/>
      <c r="O226" s="75"/>
      <c r="T226" s="78" t="str">
        <f t="shared" si="6"/>
        <v/>
      </c>
      <c r="U226" s="78" t="str">
        <f t="shared" ca="1" si="7"/>
        <v/>
      </c>
    </row>
    <row r="227" spans="6:21" ht="15" customHeight="1" x14ac:dyDescent="0.25">
      <c r="F227" s="80"/>
      <c r="M227" s="80"/>
      <c r="O227" s="75"/>
      <c r="T227" s="78" t="str">
        <f t="shared" si="6"/>
        <v/>
      </c>
      <c r="U227" s="78" t="str">
        <f t="shared" ca="1" si="7"/>
        <v/>
      </c>
    </row>
    <row r="228" spans="6:21" ht="15" customHeight="1" x14ac:dyDescent="0.25">
      <c r="F228" s="80"/>
      <c r="O228" s="75"/>
      <c r="T228" s="78" t="str">
        <f t="shared" si="6"/>
        <v/>
      </c>
      <c r="U228" s="78" t="str">
        <f t="shared" ca="1" si="7"/>
        <v/>
      </c>
    </row>
    <row r="229" spans="6:21" ht="15" customHeight="1" x14ac:dyDescent="0.25">
      <c r="F229" s="80"/>
      <c r="O229" s="75"/>
      <c r="T229" s="78" t="str">
        <f t="shared" si="6"/>
        <v/>
      </c>
      <c r="U229" s="78" t="str">
        <f t="shared" ca="1" si="7"/>
        <v/>
      </c>
    </row>
    <row r="230" spans="6:21" ht="15" customHeight="1" x14ac:dyDescent="0.25">
      <c r="F230" s="80"/>
      <c r="O230" s="75"/>
      <c r="T230" s="78" t="str">
        <f t="shared" si="6"/>
        <v/>
      </c>
      <c r="U230" s="78" t="str">
        <f t="shared" ca="1" si="7"/>
        <v/>
      </c>
    </row>
    <row r="231" spans="6:21" ht="15" customHeight="1" x14ac:dyDescent="0.25">
      <c r="F231" s="80"/>
      <c r="M231" s="80"/>
      <c r="O231" s="75"/>
      <c r="T231" s="78" t="str">
        <f t="shared" si="6"/>
        <v/>
      </c>
      <c r="U231" s="78" t="str">
        <f t="shared" ca="1" si="7"/>
        <v/>
      </c>
    </row>
    <row r="232" spans="6:21" ht="15" customHeight="1" x14ac:dyDescent="0.25">
      <c r="F232" s="80"/>
      <c r="M232" s="80"/>
      <c r="O232" s="75"/>
      <c r="T232" s="78" t="str">
        <f t="shared" si="6"/>
        <v/>
      </c>
      <c r="U232" s="78" t="str">
        <f t="shared" ca="1" si="7"/>
        <v/>
      </c>
    </row>
    <row r="233" spans="6:21" ht="15" customHeight="1" x14ac:dyDescent="0.25">
      <c r="F233" s="80"/>
      <c r="M233" s="80"/>
      <c r="O233" s="75"/>
      <c r="T233" s="78" t="str">
        <f t="shared" si="6"/>
        <v/>
      </c>
      <c r="U233" s="78" t="str">
        <f t="shared" ca="1" si="7"/>
        <v/>
      </c>
    </row>
    <row r="234" spans="6:21" ht="15" customHeight="1" x14ac:dyDescent="0.25">
      <c r="F234" s="80"/>
      <c r="O234" s="75"/>
      <c r="T234" s="78" t="str">
        <f t="shared" si="6"/>
        <v/>
      </c>
      <c r="U234" s="78" t="str">
        <f t="shared" ca="1" si="7"/>
        <v/>
      </c>
    </row>
    <row r="235" spans="6:21" ht="15" customHeight="1" x14ac:dyDescent="0.25">
      <c r="F235" s="80"/>
      <c r="M235" s="80"/>
      <c r="O235" s="75"/>
      <c r="T235" s="78" t="str">
        <f t="shared" si="6"/>
        <v/>
      </c>
      <c r="U235" s="78" t="str">
        <f t="shared" ca="1" si="7"/>
        <v/>
      </c>
    </row>
    <row r="236" spans="6:21" ht="15" customHeight="1" x14ac:dyDescent="0.25">
      <c r="F236" s="80"/>
      <c r="M236" s="80"/>
      <c r="O236" s="75"/>
      <c r="T236" s="78" t="str">
        <f t="shared" si="6"/>
        <v/>
      </c>
      <c r="U236" s="78" t="str">
        <f t="shared" ca="1" si="7"/>
        <v/>
      </c>
    </row>
    <row r="237" spans="6:21" ht="15" customHeight="1" x14ac:dyDescent="0.25">
      <c r="F237" s="80"/>
      <c r="O237" s="75"/>
      <c r="T237" s="78" t="str">
        <f t="shared" si="6"/>
        <v/>
      </c>
      <c r="U237" s="78" t="str">
        <f t="shared" ca="1" si="7"/>
        <v/>
      </c>
    </row>
    <row r="238" spans="6:21" ht="15" customHeight="1" x14ac:dyDescent="0.25">
      <c r="F238" s="80"/>
      <c r="M238" s="80"/>
      <c r="O238" s="75"/>
      <c r="T238" s="78" t="str">
        <f t="shared" si="6"/>
        <v/>
      </c>
      <c r="U238" s="78" t="str">
        <f t="shared" ca="1" si="7"/>
        <v/>
      </c>
    </row>
    <row r="239" spans="6:21" ht="15" customHeight="1" x14ac:dyDescent="0.25">
      <c r="F239" s="80"/>
      <c r="M239" s="80"/>
      <c r="O239" s="75"/>
      <c r="T239" s="78" t="str">
        <f t="shared" si="6"/>
        <v/>
      </c>
      <c r="U239" s="78" t="str">
        <f t="shared" ca="1" si="7"/>
        <v/>
      </c>
    </row>
    <row r="240" spans="6:21" ht="15" customHeight="1" x14ac:dyDescent="0.25">
      <c r="F240" s="80"/>
      <c r="O240" s="75"/>
      <c r="T240" s="78" t="str">
        <f t="shared" si="6"/>
        <v/>
      </c>
      <c r="U240" s="78" t="str">
        <f t="shared" ca="1" si="7"/>
        <v/>
      </c>
    </row>
    <row r="241" spans="6:21" ht="15" customHeight="1" x14ac:dyDescent="0.25">
      <c r="F241" s="80"/>
      <c r="O241" s="75"/>
      <c r="T241" s="78" t="str">
        <f t="shared" si="6"/>
        <v/>
      </c>
      <c r="U241" s="78" t="str">
        <f t="shared" ca="1" si="7"/>
        <v/>
      </c>
    </row>
    <row r="242" spans="6:21" ht="15" customHeight="1" x14ac:dyDescent="0.25">
      <c r="F242" s="80"/>
      <c r="O242" s="75"/>
      <c r="T242" s="78" t="str">
        <f t="shared" si="6"/>
        <v/>
      </c>
      <c r="U242" s="78" t="str">
        <f t="shared" ca="1" si="7"/>
        <v/>
      </c>
    </row>
    <row r="243" spans="6:21" ht="15" customHeight="1" x14ac:dyDescent="0.25">
      <c r="F243" s="80"/>
      <c r="M243" s="80"/>
      <c r="O243" s="75"/>
      <c r="T243" s="78" t="str">
        <f t="shared" si="6"/>
        <v/>
      </c>
      <c r="U243" s="78" t="str">
        <f t="shared" ca="1" si="7"/>
        <v/>
      </c>
    </row>
    <row r="244" spans="6:21" ht="15" customHeight="1" x14ac:dyDescent="0.25">
      <c r="F244" s="80"/>
      <c r="O244" s="75"/>
      <c r="T244" s="78" t="str">
        <f t="shared" si="6"/>
        <v/>
      </c>
      <c r="U244" s="78" t="str">
        <f t="shared" ca="1" si="7"/>
        <v/>
      </c>
    </row>
    <row r="245" spans="6:21" ht="15" customHeight="1" x14ac:dyDescent="0.25">
      <c r="F245" s="80"/>
      <c r="O245" s="75"/>
      <c r="T245" s="78" t="str">
        <f t="shared" si="6"/>
        <v/>
      </c>
      <c r="U245" s="78" t="str">
        <f t="shared" ca="1" si="7"/>
        <v/>
      </c>
    </row>
    <row r="246" spans="6:21" ht="15" customHeight="1" x14ac:dyDescent="0.25">
      <c r="F246" s="80"/>
      <c r="M246" s="80"/>
      <c r="O246" s="75"/>
      <c r="T246" s="78" t="str">
        <f t="shared" si="6"/>
        <v/>
      </c>
      <c r="U246" s="78" t="str">
        <f t="shared" ca="1" si="7"/>
        <v/>
      </c>
    </row>
    <row r="247" spans="6:21" ht="15" customHeight="1" x14ac:dyDescent="0.25">
      <c r="F247" s="80"/>
      <c r="M247" s="80"/>
      <c r="O247" s="75"/>
      <c r="T247" s="78" t="str">
        <f t="shared" si="6"/>
        <v/>
      </c>
      <c r="U247" s="78" t="str">
        <f t="shared" ca="1" si="7"/>
        <v/>
      </c>
    </row>
    <row r="248" spans="6:21" ht="15" customHeight="1" x14ac:dyDescent="0.25">
      <c r="F248" s="80"/>
      <c r="M248" s="80"/>
      <c r="O248" s="75"/>
      <c r="T248" s="78" t="str">
        <f t="shared" si="6"/>
        <v/>
      </c>
      <c r="U248" s="78" t="str">
        <f t="shared" ca="1" si="7"/>
        <v/>
      </c>
    </row>
    <row r="249" spans="6:21" ht="15" customHeight="1" x14ac:dyDescent="0.25">
      <c r="F249" s="80"/>
      <c r="O249" s="75"/>
      <c r="T249" s="78" t="str">
        <f t="shared" si="6"/>
        <v/>
      </c>
      <c r="U249" s="78" t="str">
        <f t="shared" ca="1" si="7"/>
        <v/>
      </c>
    </row>
    <row r="250" spans="6:21" ht="15" customHeight="1" x14ac:dyDescent="0.25">
      <c r="F250" s="80"/>
      <c r="M250" s="80"/>
      <c r="O250" s="75"/>
      <c r="T250" s="78" t="str">
        <f t="shared" si="6"/>
        <v/>
      </c>
      <c r="U250" s="78" t="str">
        <f t="shared" ca="1" si="7"/>
        <v/>
      </c>
    </row>
    <row r="251" spans="6:21" ht="15" customHeight="1" x14ac:dyDescent="0.25">
      <c r="F251" s="80"/>
      <c r="M251" s="80"/>
      <c r="O251" s="75"/>
      <c r="T251" s="78" t="str">
        <f t="shared" si="6"/>
        <v/>
      </c>
      <c r="U251" s="78" t="str">
        <f t="shared" ca="1" si="7"/>
        <v/>
      </c>
    </row>
    <row r="252" spans="6:21" ht="15" customHeight="1" x14ac:dyDescent="0.25">
      <c r="F252" s="80"/>
      <c r="M252" s="80"/>
      <c r="O252" s="75"/>
      <c r="T252" s="78" t="str">
        <f t="shared" si="6"/>
        <v/>
      </c>
      <c r="U252" s="78" t="str">
        <f t="shared" ca="1" si="7"/>
        <v/>
      </c>
    </row>
    <row r="253" spans="6:21" ht="15" customHeight="1" x14ac:dyDescent="0.25">
      <c r="F253" s="80"/>
      <c r="M253" s="80"/>
      <c r="O253" s="75"/>
      <c r="T253" s="78" t="str">
        <f t="shared" si="6"/>
        <v/>
      </c>
      <c r="U253" s="78" t="str">
        <f t="shared" ca="1" si="7"/>
        <v/>
      </c>
    </row>
    <row r="254" spans="6:21" ht="15" customHeight="1" x14ac:dyDescent="0.25">
      <c r="F254" s="80"/>
      <c r="O254" s="75"/>
      <c r="T254" s="78" t="str">
        <f t="shared" si="6"/>
        <v/>
      </c>
      <c r="U254" s="78" t="str">
        <f t="shared" ca="1" si="7"/>
        <v/>
      </c>
    </row>
    <row r="255" spans="6:21" ht="15" customHeight="1" x14ac:dyDescent="0.25">
      <c r="F255" s="80"/>
      <c r="M255" s="80"/>
      <c r="O255" s="75"/>
      <c r="T255" s="78" t="str">
        <f t="shared" si="6"/>
        <v/>
      </c>
      <c r="U255" s="78" t="str">
        <f t="shared" ca="1" si="7"/>
        <v/>
      </c>
    </row>
    <row r="256" spans="6:21" ht="15" customHeight="1" x14ac:dyDescent="0.25">
      <c r="F256" s="80"/>
      <c r="M256" s="80"/>
      <c r="O256" s="75"/>
      <c r="T256" s="78" t="str">
        <f t="shared" si="6"/>
        <v/>
      </c>
      <c r="U256" s="78" t="str">
        <f t="shared" ca="1" si="7"/>
        <v/>
      </c>
    </row>
    <row r="257" spans="6:21" ht="15" customHeight="1" x14ac:dyDescent="0.25">
      <c r="F257" s="80"/>
      <c r="O257" s="75"/>
      <c r="T257" s="78" t="str">
        <f t="shared" si="6"/>
        <v/>
      </c>
      <c r="U257" s="78" t="str">
        <f t="shared" ca="1" si="7"/>
        <v/>
      </c>
    </row>
    <row r="258" spans="6:21" ht="15" customHeight="1" x14ac:dyDescent="0.25">
      <c r="F258" s="80"/>
      <c r="M258" s="80"/>
      <c r="O258" s="75"/>
      <c r="T258" s="78" t="str">
        <f t="shared" ref="T258:T321" si="8">IF(H:H&lt;&gt;"",(H258&amp;"-"&amp;I258),"")</f>
        <v/>
      </c>
      <c r="U258" s="78" t="str">
        <f t="shared" ref="U258:U321" ca="1" si="9">IF(F:F&lt;&gt;"",(IF(E258&lt;&gt;"Closed",DATEDIF(F258,TODAY(),"d"),"")),"")</f>
        <v/>
      </c>
    </row>
    <row r="259" spans="6:21" ht="15" customHeight="1" x14ac:dyDescent="0.25">
      <c r="F259" s="80"/>
      <c r="M259" s="80"/>
      <c r="O259" s="75"/>
      <c r="T259" s="78" t="str">
        <f t="shared" si="8"/>
        <v/>
      </c>
      <c r="U259" s="78" t="str">
        <f t="shared" ca="1" si="9"/>
        <v/>
      </c>
    </row>
    <row r="260" spans="6:21" ht="15" customHeight="1" x14ac:dyDescent="0.25">
      <c r="F260" s="80"/>
      <c r="M260" s="80"/>
      <c r="O260" s="75"/>
      <c r="T260" s="78" t="str">
        <f t="shared" si="8"/>
        <v/>
      </c>
      <c r="U260" s="78" t="str">
        <f t="shared" ca="1" si="9"/>
        <v/>
      </c>
    </row>
    <row r="261" spans="6:21" ht="15" customHeight="1" x14ac:dyDescent="0.25">
      <c r="F261" s="80"/>
      <c r="O261" s="75"/>
      <c r="T261" s="78" t="str">
        <f t="shared" si="8"/>
        <v/>
      </c>
      <c r="U261" s="78" t="str">
        <f t="shared" ca="1" si="9"/>
        <v/>
      </c>
    </row>
    <row r="262" spans="6:21" ht="15" customHeight="1" x14ac:dyDescent="0.25">
      <c r="F262" s="80"/>
      <c r="O262" s="75"/>
      <c r="T262" s="78" t="str">
        <f t="shared" si="8"/>
        <v/>
      </c>
      <c r="U262" s="78" t="str">
        <f t="shared" ca="1" si="9"/>
        <v/>
      </c>
    </row>
    <row r="263" spans="6:21" ht="15" customHeight="1" x14ac:dyDescent="0.25">
      <c r="F263" s="80"/>
      <c r="M263" s="80"/>
      <c r="O263" s="75"/>
      <c r="T263" s="78" t="str">
        <f t="shared" si="8"/>
        <v/>
      </c>
      <c r="U263" s="78" t="str">
        <f t="shared" ca="1" si="9"/>
        <v/>
      </c>
    </row>
    <row r="264" spans="6:21" ht="15" customHeight="1" x14ac:dyDescent="0.25">
      <c r="F264" s="80"/>
      <c r="M264" s="80"/>
      <c r="O264" s="75"/>
      <c r="T264" s="78" t="str">
        <f t="shared" si="8"/>
        <v/>
      </c>
      <c r="U264" s="78" t="str">
        <f t="shared" ca="1" si="9"/>
        <v/>
      </c>
    </row>
    <row r="265" spans="6:21" ht="15" customHeight="1" x14ac:dyDescent="0.25">
      <c r="F265" s="80"/>
      <c r="M265" s="80"/>
      <c r="O265" s="75"/>
      <c r="T265" s="78" t="str">
        <f t="shared" si="8"/>
        <v/>
      </c>
      <c r="U265" s="78" t="str">
        <f t="shared" ca="1" si="9"/>
        <v/>
      </c>
    </row>
    <row r="266" spans="6:21" ht="15" customHeight="1" x14ac:dyDescent="0.25">
      <c r="F266" s="80"/>
      <c r="M266" s="80"/>
      <c r="O266" s="75"/>
      <c r="T266" s="78" t="str">
        <f t="shared" si="8"/>
        <v/>
      </c>
      <c r="U266" s="78" t="str">
        <f t="shared" ca="1" si="9"/>
        <v/>
      </c>
    </row>
    <row r="267" spans="6:21" ht="15" customHeight="1" x14ac:dyDescent="0.25">
      <c r="F267" s="80"/>
      <c r="M267" s="80"/>
      <c r="O267" s="75"/>
      <c r="T267" s="78" t="str">
        <f t="shared" si="8"/>
        <v/>
      </c>
      <c r="U267" s="78" t="str">
        <f t="shared" ca="1" si="9"/>
        <v/>
      </c>
    </row>
    <row r="268" spans="6:21" ht="15" customHeight="1" x14ac:dyDescent="0.25">
      <c r="F268" s="80"/>
      <c r="M268" s="80"/>
      <c r="O268" s="75"/>
      <c r="T268" s="78" t="str">
        <f t="shared" si="8"/>
        <v/>
      </c>
      <c r="U268" s="78" t="str">
        <f t="shared" ca="1" si="9"/>
        <v/>
      </c>
    </row>
    <row r="269" spans="6:21" ht="15" customHeight="1" x14ac:dyDescent="0.25">
      <c r="F269" s="80"/>
      <c r="O269" s="75"/>
      <c r="T269" s="78" t="str">
        <f t="shared" si="8"/>
        <v/>
      </c>
      <c r="U269" s="78" t="str">
        <f t="shared" ca="1" si="9"/>
        <v/>
      </c>
    </row>
    <row r="270" spans="6:21" ht="15" customHeight="1" x14ac:dyDescent="0.25">
      <c r="F270" s="80"/>
      <c r="O270" s="75"/>
      <c r="T270" s="78" t="str">
        <f t="shared" si="8"/>
        <v/>
      </c>
      <c r="U270" s="78" t="str">
        <f t="shared" ca="1" si="9"/>
        <v/>
      </c>
    </row>
    <row r="271" spans="6:21" ht="15" customHeight="1" x14ac:dyDescent="0.25">
      <c r="F271" s="80"/>
      <c r="O271" s="75"/>
      <c r="T271" s="78" t="str">
        <f t="shared" si="8"/>
        <v/>
      </c>
      <c r="U271" s="78" t="str">
        <f t="shared" ca="1" si="9"/>
        <v/>
      </c>
    </row>
    <row r="272" spans="6:21" ht="15" customHeight="1" x14ac:dyDescent="0.25">
      <c r="F272" s="80"/>
      <c r="O272" s="75"/>
      <c r="T272" s="78" t="str">
        <f t="shared" si="8"/>
        <v/>
      </c>
      <c r="U272" s="78" t="str">
        <f t="shared" ca="1" si="9"/>
        <v/>
      </c>
    </row>
    <row r="273" spans="6:21" ht="15" customHeight="1" x14ac:dyDescent="0.25">
      <c r="F273" s="80"/>
      <c r="O273" s="75"/>
      <c r="T273" s="78" t="str">
        <f t="shared" si="8"/>
        <v/>
      </c>
      <c r="U273" s="78" t="str">
        <f t="shared" ca="1" si="9"/>
        <v/>
      </c>
    </row>
    <row r="274" spans="6:21" ht="15" customHeight="1" x14ac:dyDescent="0.25">
      <c r="F274" s="80"/>
      <c r="O274" s="75"/>
      <c r="T274" s="78" t="str">
        <f t="shared" si="8"/>
        <v/>
      </c>
      <c r="U274" s="78" t="str">
        <f t="shared" ca="1" si="9"/>
        <v/>
      </c>
    </row>
    <row r="275" spans="6:21" ht="15" customHeight="1" x14ac:dyDescent="0.25">
      <c r="F275" s="80"/>
      <c r="M275" s="80"/>
      <c r="O275" s="75"/>
      <c r="T275" s="78" t="str">
        <f t="shared" si="8"/>
        <v/>
      </c>
      <c r="U275" s="78" t="str">
        <f t="shared" ca="1" si="9"/>
        <v/>
      </c>
    </row>
    <row r="276" spans="6:21" ht="15" customHeight="1" x14ac:dyDescent="0.25">
      <c r="F276" s="80"/>
      <c r="M276" s="80"/>
      <c r="O276" s="75"/>
      <c r="T276" s="78" t="str">
        <f t="shared" si="8"/>
        <v/>
      </c>
      <c r="U276" s="78" t="str">
        <f t="shared" ca="1" si="9"/>
        <v/>
      </c>
    </row>
    <row r="277" spans="6:21" ht="15" customHeight="1" x14ac:dyDescent="0.25">
      <c r="F277" s="80"/>
      <c r="O277" s="75"/>
      <c r="T277" s="78" t="str">
        <f t="shared" si="8"/>
        <v/>
      </c>
      <c r="U277" s="78" t="str">
        <f t="shared" ca="1" si="9"/>
        <v/>
      </c>
    </row>
    <row r="278" spans="6:21" ht="15" customHeight="1" x14ac:dyDescent="0.25">
      <c r="F278" s="80"/>
      <c r="M278" s="80"/>
      <c r="O278" s="75"/>
      <c r="T278" s="78" t="str">
        <f t="shared" si="8"/>
        <v/>
      </c>
      <c r="U278" s="78" t="str">
        <f t="shared" ca="1" si="9"/>
        <v/>
      </c>
    </row>
    <row r="279" spans="6:21" ht="15" customHeight="1" x14ac:dyDescent="0.25">
      <c r="F279" s="80"/>
      <c r="O279" s="75"/>
      <c r="T279" s="78" t="str">
        <f t="shared" si="8"/>
        <v/>
      </c>
      <c r="U279" s="78" t="str">
        <f t="shared" ca="1" si="9"/>
        <v/>
      </c>
    </row>
    <row r="280" spans="6:21" ht="15" customHeight="1" x14ac:dyDescent="0.25">
      <c r="F280" s="80"/>
      <c r="M280" s="80"/>
      <c r="O280" s="75"/>
      <c r="T280" s="78" t="str">
        <f t="shared" si="8"/>
        <v/>
      </c>
      <c r="U280" s="78" t="str">
        <f t="shared" ca="1" si="9"/>
        <v/>
      </c>
    </row>
    <row r="281" spans="6:21" ht="15" customHeight="1" x14ac:dyDescent="0.25">
      <c r="F281" s="80"/>
      <c r="M281" s="80"/>
      <c r="O281" s="75"/>
      <c r="T281" s="78" t="str">
        <f t="shared" si="8"/>
        <v/>
      </c>
      <c r="U281" s="78" t="str">
        <f t="shared" ca="1" si="9"/>
        <v/>
      </c>
    </row>
    <row r="282" spans="6:21" ht="15" customHeight="1" x14ac:dyDescent="0.25">
      <c r="F282" s="80"/>
      <c r="O282" s="75"/>
      <c r="T282" s="78" t="str">
        <f t="shared" si="8"/>
        <v/>
      </c>
      <c r="U282" s="78" t="str">
        <f t="shared" ca="1" si="9"/>
        <v/>
      </c>
    </row>
    <row r="283" spans="6:21" ht="15" customHeight="1" x14ac:dyDescent="0.25">
      <c r="F283" s="80"/>
      <c r="M283" s="80"/>
      <c r="O283" s="75"/>
      <c r="T283" s="78" t="str">
        <f t="shared" si="8"/>
        <v/>
      </c>
      <c r="U283" s="78" t="str">
        <f t="shared" ca="1" si="9"/>
        <v/>
      </c>
    </row>
    <row r="284" spans="6:21" ht="15" customHeight="1" x14ac:dyDescent="0.25">
      <c r="F284" s="80"/>
      <c r="O284" s="75"/>
      <c r="T284" s="78" t="str">
        <f t="shared" si="8"/>
        <v/>
      </c>
      <c r="U284" s="78" t="str">
        <f t="shared" ca="1" si="9"/>
        <v/>
      </c>
    </row>
    <row r="285" spans="6:21" ht="15" customHeight="1" x14ac:dyDescent="0.25">
      <c r="F285" s="80"/>
      <c r="O285" s="75"/>
      <c r="T285" s="78" t="str">
        <f t="shared" si="8"/>
        <v/>
      </c>
      <c r="U285" s="78" t="str">
        <f t="shared" ca="1" si="9"/>
        <v/>
      </c>
    </row>
    <row r="286" spans="6:21" ht="15" customHeight="1" x14ac:dyDescent="0.25">
      <c r="F286" s="80"/>
      <c r="M286" s="80"/>
      <c r="O286" s="75"/>
      <c r="T286" s="78" t="str">
        <f t="shared" si="8"/>
        <v/>
      </c>
      <c r="U286" s="78" t="str">
        <f t="shared" ca="1" si="9"/>
        <v/>
      </c>
    </row>
    <row r="287" spans="6:21" ht="15" customHeight="1" x14ac:dyDescent="0.25">
      <c r="F287" s="80"/>
      <c r="M287" s="80"/>
      <c r="O287" s="75"/>
      <c r="T287" s="78" t="str">
        <f t="shared" si="8"/>
        <v/>
      </c>
      <c r="U287" s="78" t="str">
        <f t="shared" ca="1" si="9"/>
        <v/>
      </c>
    </row>
    <row r="288" spans="6:21" ht="15" customHeight="1" x14ac:dyDescent="0.25">
      <c r="F288" s="80"/>
      <c r="M288" s="80"/>
      <c r="O288" s="75"/>
      <c r="T288" s="78" t="str">
        <f t="shared" si="8"/>
        <v/>
      </c>
      <c r="U288" s="78" t="str">
        <f t="shared" ca="1" si="9"/>
        <v/>
      </c>
    </row>
    <row r="289" spans="6:21" ht="15" customHeight="1" x14ac:dyDescent="0.25">
      <c r="F289" s="80"/>
      <c r="O289" s="75"/>
      <c r="T289" s="78" t="str">
        <f t="shared" si="8"/>
        <v/>
      </c>
      <c r="U289" s="78" t="str">
        <f t="shared" ca="1" si="9"/>
        <v/>
      </c>
    </row>
    <row r="290" spans="6:21" ht="15" customHeight="1" x14ac:dyDescent="0.25">
      <c r="F290" s="80"/>
      <c r="O290" s="75"/>
      <c r="T290" s="78" t="str">
        <f t="shared" si="8"/>
        <v/>
      </c>
      <c r="U290" s="78" t="str">
        <f t="shared" ca="1" si="9"/>
        <v/>
      </c>
    </row>
    <row r="291" spans="6:21" ht="15" customHeight="1" x14ac:dyDescent="0.25">
      <c r="F291" s="80"/>
      <c r="M291" s="80"/>
      <c r="O291" s="75"/>
      <c r="T291" s="78" t="str">
        <f t="shared" si="8"/>
        <v/>
      </c>
      <c r="U291" s="78" t="str">
        <f t="shared" ca="1" si="9"/>
        <v/>
      </c>
    </row>
    <row r="292" spans="6:21" ht="15" customHeight="1" x14ac:dyDescent="0.25">
      <c r="F292" s="80"/>
      <c r="M292" s="80"/>
      <c r="O292" s="75"/>
      <c r="T292" s="78" t="str">
        <f t="shared" si="8"/>
        <v/>
      </c>
      <c r="U292" s="78" t="str">
        <f t="shared" ca="1" si="9"/>
        <v/>
      </c>
    </row>
    <row r="293" spans="6:21" ht="15" customHeight="1" x14ac:dyDescent="0.25">
      <c r="F293" s="80"/>
      <c r="M293" s="80"/>
      <c r="O293" s="75"/>
      <c r="T293" s="78" t="str">
        <f t="shared" si="8"/>
        <v/>
      </c>
      <c r="U293" s="78" t="str">
        <f t="shared" ca="1" si="9"/>
        <v/>
      </c>
    </row>
    <row r="294" spans="6:21" ht="15" customHeight="1" x14ac:dyDescent="0.25">
      <c r="F294" s="80"/>
      <c r="M294" s="80"/>
      <c r="O294" s="75"/>
      <c r="T294" s="78" t="str">
        <f t="shared" si="8"/>
        <v/>
      </c>
      <c r="U294" s="78" t="str">
        <f t="shared" ca="1" si="9"/>
        <v/>
      </c>
    </row>
    <row r="295" spans="6:21" ht="15" customHeight="1" x14ac:dyDescent="0.25">
      <c r="F295" s="80"/>
      <c r="O295" s="75"/>
      <c r="T295" s="78" t="str">
        <f t="shared" si="8"/>
        <v/>
      </c>
      <c r="U295" s="78" t="str">
        <f t="shared" ca="1" si="9"/>
        <v/>
      </c>
    </row>
    <row r="296" spans="6:21" ht="15" customHeight="1" x14ac:dyDescent="0.25">
      <c r="F296" s="80"/>
      <c r="M296" s="80"/>
      <c r="O296" s="75"/>
      <c r="T296" s="78" t="str">
        <f t="shared" si="8"/>
        <v/>
      </c>
      <c r="U296" s="78" t="str">
        <f t="shared" ca="1" si="9"/>
        <v/>
      </c>
    </row>
    <row r="297" spans="6:21" ht="15" customHeight="1" x14ac:dyDescent="0.25">
      <c r="F297" s="80"/>
      <c r="M297" s="80"/>
      <c r="O297" s="75"/>
      <c r="T297" s="78" t="str">
        <f t="shared" si="8"/>
        <v/>
      </c>
      <c r="U297" s="78" t="str">
        <f t="shared" ca="1" si="9"/>
        <v/>
      </c>
    </row>
    <row r="298" spans="6:21" ht="15" customHeight="1" x14ac:dyDescent="0.25">
      <c r="F298" s="80"/>
      <c r="O298" s="75"/>
      <c r="T298" s="78" t="str">
        <f t="shared" si="8"/>
        <v/>
      </c>
      <c r="U298" s="78" t="str">
        <f t="shared" ca="1" si="9"/>
        <v/>
      </c>
    </row>
    <row r="299" spans="6:21" ht="15" customHeight="1" x14ac:dyDescent="0.25">
      <c r="F299" s="80"/>
      <c r="M299" s="80"/>
      <c r="O299" s="75"/>
      <c r="T299" s="78" t="str">
        <f t="shared" si="8"/>
        <v/>
      </c>
      <c r="U299" s="78" t="str">
        <f t="shared" ca="1" si="9"/>
        <v/>
      </c>
    </row>
    <row r="300" spans="6:21" ht="15" customHeight="1" x14ac:dyDescent="0.25">
      <c r="F300" s="80"/>
      <c r="O300" s="75"/>
      <c r="T300" s="78" t="str">
        <f t="shared" si="8"/>
        <v/>
      </c>
      <c r="U300" s="78" t="str">
        <f t="shared" ca="1" si="9"/>
        <v/>
      </c>
    </row>
    <row r="301" spans="6:21" ht="15" customHeight="1" x14ac:dyDescent="0.25">
      <c r="F301" s="80"/>
      <c r="O301" s="75"/>
      <c r="T301" s="78" t="str">
        <f t="shared" si="8"/>
        <v/>
      </c>
      <c r="U301" s="78" t="str">
        <f t="shared" ca="1" si="9"/>
        <v/>
      </c>
    </row>
    <row r="302" spans="6:21" ht="15" customHeight="1" x14ac:dyDescent="0.25">
      <c r="F302" s="80"/>
      <c r="O302" s="75"/>
      <c r="T302" s="78" t="str">
        <f t="shared" si="8"/>
        <v/>
      </c>
      <c r="U302" s="78" t="str">
        <f t="shared" ca="1" si="9"/>
        <v/>
      </c>
    </row>
    <row r="303" spans="6:21" ht="15" customHeight="1" x14ac:dyDescent="0.25">
      <c r="F303" s="80"/>
      <c r="M303" s="80"/>
      <c r="O303" s="75"/>
      <c r="T303" s="78" t="str">
        <f t="shared" si="8"/>
        <v/>
      </c>
      <c r="U303" s="78" t="str">
        <f t="shared" ca="1" si="9"/>
        <v/>
      </c>
    </row>
    <row r="304" spans="6:21" ht="15" customHeight="1" x14ac:dyDescent="0.25">
      <c r="F304" s="80"/>
      <c r="M304" s="80"/>
      <c r="O304" s="75"/>
      <c r="T304" s="78" t="str">
        <f t="shared" si="8"/>
        <v/>
      </c>
      <c r="U304" s="78" t="str">
        <f t="shared" ca="1" si="9"/>
        <v/>
      </c>
    </row>
    <row r="305" spans="6:21" ht="15" customHeight="1" x14ac:dyDescent="0.25">
      <c r="F305" s="80"/>
      <c r="M305" s="80"/>
      <c r="O305" s="75"/>
      <c r="T305" s="78" t="str">
        <f t="shared" si="8"/>
        <v/>
      </c>
      <c r="U305" s="78" t="str">
        <f t="shared" ca="1" si="9"/>
        <v/>
      </c>
    </row>
    <row r="306" spans="6:21" ht="15" customHeight="1" x14ac:dyDescent="0.25">
      <c r="F306" s="80"/>
      <c r="M306" s="80"/>
      <c r="O306" s="75"/>
      <c r="T306" s="78" t="str">
        <f t="shared" si="8"/>
        <v/>
      </c>
      <c r="U306" s="78" t="str">
        <f t="shared" ca="1" si="9"/>
        <v/>
      </c>
    </row>
    <row r="307" spans="6:21" ht="15" customHeight="1" x14ac:dyDescent="0.25">
      <c r="F307" s="80"/>
      <c r="M307" s="80"/>
      <c r="O307" s="75"/>
      <c r="T307" s="78" t="str">
        <f t="shared" si="8"/>
        <v/>
      </c>
      <c r="U307" s="78" t="str">
        <f t="shared" ca="1" si="9"/>
        <v/>
      </c>
    </row>
    <row r="308" spans="6:21" ht="15" customHeight="1" x14ac:dyDescent="0.25">
      <c r="F308" s="80"/>
      <c r="O308" s="75"/>
      <c r="T308" s="78" t="str">
        <f t="shared" si="8"/>
        <v/>
      </c>
      <c r="U308" s="78" t="str">
        <f t="shared" ca="1" si="9"/>
        <v/>
      </c>
    </row>
    <row r="309" spans="6:21" ht="15" customHeight="1" x14ac:dyDescent="0.25">
      <c r="F309" s="80"/>
      <c r="M309" s="80"/>
      <c r="O309" s="75"/>
      <c r="T309" s="78" t="str">
        <f t="shared" si="8"/>
        <v/>
      </c>
      <c r="U309" s="78" t="str">
        <f t="shared" ca="1" si="9"/>
        <v/>
      </c>
    </row>
    <row r="310" spans="6:21" ht="15" customHeight="1" x14ac:dyDescent="0.25">
      <c r="F310" s="80"/>
      <c r="M310" s="80"/>
      <c r="O310" s="75"/>
      <c r="T310" s="78" t="str">
        <f t="shared" si="8"/>
        <v/>
      </c>
      <c r="U310" s="78" t="str">
        <f t="shared" ca="1" si="9"/>
        <v/>
      </c>
    </row>
    <row r="311" spans="6:21" ht="15" customHeight="1" x14ac:dyDescent="0.25">
      <c r="F311" s="80"/>
      <c r="M311" s="80"/>
      <c r="O311" s="75"/>
      <c r="T311" s="78" t="str">
        <f t="shared" si="8"/>
        <v/>
      </c>
      <c r="U311" s="78" t="str">
        <f t="shared" ca="1" si="9"/>
        <v/>
      </c>
    </row>
    <row r="312" spans="6:21" ht="15" customHeight="1" x14ac:dyDescent="0.25">
      <c r="F312" s="80"/>
      <c r="M312" s="80"/>
      <c r="O312" s="75"/>
      <c r="T312" s="78" t="str">
        <f t="shared" si="8"/>
        <v/>
      </c>
      <c r="U312" s="78" t="str">
        <f t="shared" ca="1" si="9"/>
        <v/>
      </c>
    </row>
    <row r="313" spans="6:21" ht="15" customHeight="1" x14ac:dyDescent="0.25">
      <c r="F313" s="80"/>
      <c r="M313" s="80"/>
      <c r="O313" s="75"/>
      <c r="T313" s="78" t="str">
        <f t="shared" si="8"/>
        <v/>
      </c>
      <c r="U313" s="78" t="str">
        <f t="shared" ca="1" si="9"/>
        <v/>
      </c>
    </row>
    <row r="314" spans="6:21" ht="15" customHeight="1" x14ac:dyDescent="0.25">
      <c r="F314" s="80"/>
      <c r="M314" s="80"/>
      <c r="O314" s="75"/>
      <c r="T314" s="78" t="str">
        <f t="shared" si="8"/>
        <v/>
      </c>
      <c r="U314" s="78" t="str">
        <f t="shared" ca="1" si="9"/>
        <v/>
      </c>
    </row>
    <row r="315" spans="6:21" ht="15" customHeight="1" x14ac:dyDescent="0.25">
      <c r="F315" s="80"/>
      <c r="M315" s="80"/>
      <c r="O315" s="75"/>
      <c r="T315" s="78" t="str">
        <f t="shared" si="8"/>
        <v/>
      </c>
      <c r="U315" s="78" t="str">
        <f t="shared" ca="1" si="9"/>
        <v/>
      </c>
    </row>
    <row r="316" spans="6:21" ht="15" customHeight="1" x14ac:dyDescent="0.25">
      <c r="F316" s="80"/>
      <c r="O316" s="75"/>
      <c r="T316" s="78" t="str">
        <f t="shared" si="8"/>
        <v/>
      </c>
      <c r="U316" s="78" t="str">
        <f t="shared" ca="1" si="9"/>
        <v/>
      </c>
    </row>
    <row r="317" spans="6:21" ht="15" customHeight="1" x14ac:dyDescent="0.25">
      <c r="F317" s="80"/>
      <c r="M317" s="80"/>
      <c r="O317" s="75"/>
      <c r="T317" s="78" t="str">
        <f t="shared" si="8"/>
        <v/>
      </c>
      <c r="U317" s="78" t="str">
        <f t="shared" ca="1" si="9"/>
        <v/>
      </c>
    </row>
    <row r="318" spans="6:21" ht="15" customHeight="1" x14ac:dyDescent="0.25">
      <c r="F318" s="80"/>
      <c r="O318" s="75"/>
      <c r="T318" s="78" t="str">
        <f t="shared" si="8"/>
        <v/>
      </c>
      <c r="U318" s="78" t="str">
        <f t="shared" ca="1" si="9"/>
        <v/>
      </c>
    </row>
    <row r="319" spans="6:21" ht="15" customHeight="1" x14ac:dyDescent="0.25">
      <c r="F319" s="80"/>
      <c r="O319" s="75"/>
      <c r="T319" s="78" t="str">
        <f t="shared" si="8"/>
        <v/>
      </c>
      <c r="U319" s="78" t="str">
        <f t="shared" ca="1" si="9"/>
        <v/>
      </c>
    </row>
    <row r="320" spans="6:21" ht="15" customHeight="1" x14ac:dyDescent="0.25">
      <c r="F320" s="80"/>
      <c r="M320" s="80"/>
      <c r="O320" s="75"/>
      <c r="T320" s="78" t="str">
        <f t="shared" si="8"/>
        <v/>
      </c>
      <c r="U320" s="78" t="str">
        <f t="shared" ca="1" si="9"/>
        <v/>
      </c>
    </row>
    <row r="321" spans="6:21" ht="15" customHeight="1" x14ac:dyDescent="0.25">
      <c r="F321" s="80"/>
      <c r="M321" s="80"/>
      <c r="O321" s="75"/>
      <c r="T321" s="78" t="str">
        <f t="shared" si="8"/>
        <v/>
      </c>
      <c r="U321" s="78" t="str">
        <f t="shared" ca="1" si="9"/>
        <v/>
      </c>
    </row>
    <row r="322" spans="6:21" ht="15" customHeight="1" x14ac:dyDescent="0.25">
      <c r="F322" s="80"/>
      <c r="O322" s="75"/>
      <c r="T322" s="78" t="str">
        <f t="shared" ref="T322:T385" si="10">IF(H:H&lt;&gt;"",(H322&amp;"-"&amp;I322),"")</f>
        <v/>
      </c>
      <c r="U322" s="78" t="str">
        <f t="shared" ref="U322:U385" ca="1" si="11">IF(F:F&lt;&gt;"",(IF(E322&lt;&gt;"Closed",DATEDIF(F322,TODAY(),"d"),"")),"")</f>
        <v/>
      </c>
    </row>
    <row r="323" spans="6:21" ht="15" customHeight="1" x14ac:dyDescent="0.25">
      <c r="F323" s="80"/>
      <c r="M323" s="80"/>
      <c r="O323" s="75"/>
      <c r="T323" s="78" t="str">
        <f t="shared" si="10"/>
        <v/>
      </c>
      <c r="U323" s="78" t="str">
        <f t="shared" ca="1" si="11"/>
        <v/>
      </c>
    </row>
    <row r="324" spans="6:21" ht="15" customHeight="1" x14ac:dyDescent="0.25">
      <c r="F324" s="80"/>
      <c r="M324" s="80"/>
      <c r="O324" s="75"/>
      <c r="T324" s="78" t="str">
        <f t="shared" si="10"/>
        <v/>
      </c>
      <c r="U324" s="78" t="str">
        <f t="shared" ca="1" si="11"/>
        <v/>
      </c>
    </row>
    <row r="325" spans="6:21" ht="15" customHeight="1" x14ac:dyDescent="0.25">
      <c r="F325" s="80"/>
      <c r="M325" s="80"/>
      <c r="O325" s="75"/>
      <c r="T325" s="78" t="str">
        <f t="shared" si="10"/>
        <v/>
      </c>
      <c r="U325" s="78" t="str">
        <f t="shared" ca="1" si="11"/>
        <v/>
      </c>
    </row>
    <row r="326" spans="6:21" ht="15" customHeight="1" x14ac:dyDescent="0.25">
      <c r="F326" s="80"/>
      <c r="M326" s="80"/>
      <c r="O326" s="75"/>
      <c r="T326" s="78" t="str">
        <f t="shared" si="10"/>
        <v/>
      </c>
      <c r="U326" s="78" t="str">
        <f t="shared" ca="1" si="11"/>
        <v/>
      </c>
    </row>
    <row r="327" spans="6:21" ht="15" customHeight="1" x14ac:dyDescent="0.25">
      <c r="F327" s="80"/>
      <c r="M327" s="80"/>
      <c r="O327" s="75"/>
      <c r="T327" s="78" t="str">
        <f t="shared" si="10"/>
        <v/>
      </c>
      <c r="U327" s="78" t="str">
        <f t="shared" ca="1" si="11"/>
        <v/>
      </c>
    </row>
    <row r="328" spans="6:21" ht="15" customHeight="1" x14ac:dyDescent="0.25">
      <c r="F328" s="80"/>
      <c r="M328" s="80"/>
      <c r="O328" s="75"/>
      <c r="T328" s="78" t="str">
        <f t="shared" si="10"/>
        <v/>
      </c>
      <c r="U328" s="78" t="str">
        <f t="shared" ca="1" si="11"/>
        <v/>
      </c>
    </row>
    <row r="329" spans="6:21" ht="15" customHeight="1" x14ac:dyDescent="0.25">
      <c r="F329" s="80"/>
      <c r="O329" s="75"/>
      <c r="T329" s="78" t="str">
        <f t="shared" si="10"/>
        <v/>
      </c>
      <c r="U329" s="78" t="str">
        <f t="shared" ca="1" si="11"/>
        <v/>
      </c>
    </row>
    <row r="330" spans="6:21" ht="15" customHeight="1" x14ac:dyDescent="0.25">
      <c r="F330" s="80"/>
      <c r="M330" s="80"/>
      <c r="O330" s="75"/>
      <c r="T330" s="78" t="str">
        <f t="shared" si="10"/>
        <v/>
      </c>
      <c r="U330" s="78" t="str">
        <f t="shared" ca="1" si="11"/>
        <v/>
      </c>
    </row>
    <row r="331" spans="6:21" ht="15" customHeight="1" x14ac:dyDescent="0.25">
      <c r="F331" s="80"/>
      <c r="M331" s="80"/>
      <c r="O331" s="75"/>
      <c r="T331" s="78" t="str">
        <f t="shared" si="10"/>
        <v/>
      </c>
      <c r="U331" s="78" t="str">
        <f t="shared" ca="1" si="11"/>
        <v/>
      </c>
    </row>
    <row r="332" spans="6:21" ht="15" customHeight="1" x14ac:dyDescent="0.25">
      <c r="F332" s="80"/>
      <c r="M332" s="80"/>
      <c r="O332" s="75"/>
      <c r="T332" s="78" t="str">
        <f t="shared" si="10"/>
        <v/>
      </c>
      <c r="U332" s="78" t="str">
        <f t="shared" ca="1" si="11"/>
        <v/>
      </c>
    </row>
    <row r="333" spans="6:21" ht="15" customHeight="1" x14ac:dyDescent="0.25">
      <c r="F333" s="80"/>
      <c r="O333" s="75"/>
      <c r="T333" s="78" t="str">
        <f t="shared" si="10"/>
        <v/>
      </c>
      <c r="U333" s="78" t="str">
        <f t="shared" ca="1" si="11"/>
        <v/>
      </c>
    </row>
    <row r="334" spans="6:21" ht="15" customHeight="1" x14ac:dyDescent="0.25">
      <c r="F334" s="80"/>
      <c r="M334" s="80"/>
      <c r="O334" s="75"/>
      <c r="T334" s="78" t="str">
        <f t="shared" si="10"/>
        <v/>
      </c>
      <c r="U334" s="78" t="str">
        <f t="shared" ca="1" si="11"/>
        <v/>
      </c>
    </row>
    <row r="335" spans="6:21" ht="15" customHeight="1" x14ac:dyDescent="0.25">
      <c r="F335" s="80"/>
      <c r="M335" s="80"/>
      <c r="O335" s="75"/>
      <c r="T335" s="78" t="str">
        <f t="shared" si="10"/>
        <v/>
      </c>
      <c r="U335" s="78" t="str">
        <f t="shared" ca="1" si="11"/>
        <v/>
      </c>
    </row>
    <row r="336" spans="6:21" ht="15" customHeight="1" x14ac:dyDescent="0.25">
      <c r="F336" s="80"/>
      <c r="O336" s="75"/>
      <c r="T336" s="78" t="str">
        <f t="shared" si="10"/>
        <v/>
      </c>
      <c r="U336" s="78" t="str">
        <f t="shared" ca="1" si="11"/>
        <v/>
      </c>
    </row>
    <row r="337" spans="6:21" ht="15" customHeight="1" x14ac:dyDescent="0.25">
      <c r="F337" s="80"/>
      <c r="O337" s="75"/>
      <c r="T337" s="78" t="str">
        <f t="shared" si="10"/>
        <v/>
      </c>
      <c r="U337" s="78" t="str">
        <f t="shared" ca="1" si="11"/>
        <v/>
      </c>
    </row>
    <row r="338" spans="6:21" ht="15" customHeight="1" x14ac:dyDescent="0.25">
      <c r="F338" s="80"/>
      <c r="M338" s="80"/>
      <c r="O338" s="75"/>
      <c r="T338" s="78" t="str">
        <f t="shared" si="10"/>
        <v/>
      </c>
      <c r="U338" s="78" t="str">
        <f t="shared" ca="1" si="11"/>
        <v/>
      </c>
    </row>
    <row r="339" spans="6:21" ht="15" customHeight="1" x14ac:dyDescent="0.25">
      <c r="F339" s="80"/>
      <c r="O339" s="75"/>
      <c r="T339" s="78" t="str">
        <f t="shared" si="10"/>
        <v/>
      </c>
      <c r="U339" s="78" t="str">
        <f t="shared" ca="1" si="11"/>
        <v/>
      </c>
    </row>
    <row r="340" spans="6:21" ht="15" customHeight="1" x14ac:dyDescent="0.25">
      <c r="F340" s="80"/>
      <c r="O340" s="75"/>
      <c r="T340" s="78" t="str">
        <f t="shared" si="10"/>
        <v/>
      </c>
      <c r="U340" s="78" t="str">
        <f t="shared" ca="1" si="11"/>
        <v/>
      </c>
    </row>
    <row r="341" spans="6:21" ht="15" customHeight="1" x14ac:dyDescent="0.25">
      <c r="F341" s="80"/>
      <c r="M341" s="80"/>
      <c r="O341" s="75"/>
      <c r="T341" s="78" t="str">
        <f t="shared" si="10"/>
        <v/>
      </c>
      <c r="U341" s="78" t="str">
        <f t="shared" ca="1" si="11"/>
        <v/>
      </c>
    </row>
    <row r="342" spans="6:21" ht="15" customHeight="1" x14ac:dyDescent="0.25">
      <c r="F342" s="80"/>
      <c r="M342" s="80"/>
      <c r="O342" s="75"/>
      <c r="T342" s="78" t="str">
        <f t="shared" si="10"/>
        <v/>
      </c>
      <c r="U342" s="78" t="str">
        <f t="shared" ca="1" si="11"/>
        <v/>
      </c>
    </row>
    <row r="343" spans="6:21" ht="15" customHeight="1" x14ac:dyDescent="0.25">
      <c r="F343" s="80"/>
      <c r="M343" s="80"/>
      <c r="O343" s="75"/>
      <c r="T343" s="78" t="str">
        <f t="shared" si="10"/>
        <v/>
      </c>
      <c r="U343" s="78" t="str">
        <f t="shared" ca="1" si="11"/>
        <v/>
      </c>
    </row>
    <row r="344" spans="6:21" ht="15" customHeight="1" x14ac:dyDescent="0.25">
      <c r="F344" s="80"/>
      <c r="M344" s="80"/>
      <c r="O344" s="75"/>
      <c r="T344" s="78" t="str">
        <f t="shared" si="10"/>
        <v/>
      </c>
      <c r="U344" s="78" t="str">
        <f t="shared" ca="1" si="11"/>
        <v/>
      </c>
    </row>
    <row r="345" spans="6:21" ht="15" customHeight="1" x14ac:dyDescent="0.25">
      <c r="F345" s="80"/>
      <c r="M345" s="80"/>
      <c r="O345" s="75"/>
      <c r="T345" s="78" t="str">
        <f t="shared" si="10"/>
        <v/>
      </c>
      <c r="U345" s="78" t="str">
        <f t="shared" ca="1" si="11"/>
        <v/>
      </c>
    </row>
    <row r="346" spans="6:21" ht="15" customHeight="1" x14ac:dyDescent="0.25">
      <c r="F346" s="80"/>
      <c r="O346" s="75"/>
      <c r="T346" s="78" t="str">
        <f t="shared" si="10"/>
        <v/>
      </c>
      <c r="U346" s="78" t="str">
        <f t="shared" ca="1" si="11"/>
        <v/>
      </c>
    </row>
    <row r="347" spans="6:21" ht="15" customHeight="1" x14ac:dyDescent="0.25">
      <c r="F347" s="80"/>
      <c r="M347" s="80"/>
      <c r="O347" s="75"/>
      <c r="T347" s="78" t="str">
        <f t="shared" si="10"/>
        <v/>
      </c>
      <c r="U347" s="78" t="str">
        <f t="shared" ca="1" si="11"/>
        <v/>
      </c>
    </row>
    <row r="348" spans="6:21" ht="15" customHeight="1" x14ac:dyDescent="0.25">
      <c r="F348" s="80"/>
      <c r="M348" s="80"/>
      <c r="O348" s="75"/>
      <c r="T348" s="78" t="str">
        <f t="shared" si="10"/>
        <v/>
      </c>
      <c r="U348" s="78" t="str">
        <f t="shared" ca="1" si="11"/>
        <v/>
      </c>
    </row>
    <row r="349" spans="6:21" ht="15" customHeight="1" x14ac:dyDescent="0.25">
      <c r="F349" s="80"/>
      <c r="O349" s="75"/>
      <c r="T349" s="78" t="str">
        <f t="shared" si="10"/>
        <v/>
      </c>
      <c r="U349" s="78" t="str">
        <f t="shared" ca="1" si="11"/>
        <v/>
      </c>
    </row>
    <row r="350" spans="6:21" ht="15" customHeight="1" x14ac:dyDescent="0.25">
      <c r="F350" s="80"/>
      <c r="M350" s="80"/>
      <c r="O350" s="75"/>
      <c r="T350" s="78" t="str">
        <f t="shared" si="10"/>
        <v/>
      </c>
      <c r="U350" s="78" t="str">
        <f t="shared" ca="1" si="11"/>
        <v/>
      </c>
    </row>
    <row r="351" spans="6:21" ht="15" customHeight="1" x14ac:dyDescent="0.25">
      <c r="F351" s="80"/>
      <c r="M351" s="80"/>
      <c r="O351" s="75"/>
      <c r="T351" s="78" t="str">
        <f t="shared" si="10"/>
        <v/>
      </c>
      <c r="U351" s="78" t="str">
        <f t="shared" ca="1" si="11"/>
        <v/>
      </c>
    </row>
    <row r="352" spans="6:21" ht="15" customHeight="1" x14ac:dyDescent="0.25">
      <c r="F352" s="80"/>
      <c r="O352" s="75"/>
      <c r="T352" s="78" t="str">
        <f t="shared" si="10"/>
        <v/>
      </c>
      <c r="U352" s="78" t="str">
        <f t="shared" ca="1" si="11"/>
        <v/>
      </c>
    </row>
    <row r="353" spans="6:21" ht="15" customHeight="1" x14ac:dyDescent="0.25">
      <c r="F353" s="80"/>
      <c r="M353" s="80"/>
      <c r="O353" s="75"/>
      <c r="T353" s="78" t="str">
        <f t="shared" si="10"/>
        <v/>
      </c>
      <c r="U353" s="78" t="str">
        <f t="shared" ca="1" si="11"/>
        <v/>
      </c>
    </row>
    <row r="354" spans="6:21" ht="15" customHeight="1" x14ac:dyDescent="0.25">
      <c r="F354" s="80"/>
      <c r="O354" s="75"/>
      <c r="T354" s="78" t="str">
        <f t="shared" si="10"/>
        <v/>
      </c>
      <c r="U354" s="78" t="str">
        <f t="shared" ca="1" si="11"/>
        <v/>
      </c>
    </row>
    <row r="355" spans="6:21" ht="15" customHeight="1" x14ac:dyDescent="0.25">
      <c r="F355" s="80"/>
      <c r="O355" s="75"/>
      <c r="T355" s="78" t="str">
        <f t="shared" si="10"/>
        <v/>
      </c>
      <c r="U355" s="78" t="str">
        <f t="shared" ca="1" si="11"/>
        <v/>
      </c>
    </row>
    <row r="356" spans="6:21" ht="15" customHeight="1" x14ac:dyDescent="0.25">
      <c r="F356" s="80"/>
      <c r="O356" s="75"/>
      <c r="T356" s="78" t="str">
        <f t="shared" si="10"/>
        <v/>
      </c>
      <c r="U356" s="78" t="str">
        <f t="shared" ca="1" si="11"/>
        <v/>
      </c>
    </row>
    <row r="357" spans="6:21" ht="15" customHeight="1" x14ac:dyDescent="0.25">
      <c r="F357" s="80"/>
      <c r="M357" s="80"/>
      <c r="O357" s="75"/>
      <c r="T357" s="78" t="str">
        <f t="shared" si="10"/>
        <v/>
      </c>
      <c r="U357" s="78" t="str">
        <f t="shared" ca="1" si="11"/>
        <v/>
      </c>
    </row>
    <row r="358" spans="6:21" ht="15" customHeight="1" x14ac:dyDescent="0.25">
      <c r="F358" s="80"/>
      <c r="M358" s="80"/>
      <c r="O358" s="75"/>
      <c r="T358" s="78" t="str">
        <f t="shared" si="10"/>
        <v/>
      </c>
      <c r="U358" s="78" t="str">
        <f t="shared" ca="1" si="11"/>
        <v/>
      </c>
    </row>
    <row r="359" spans="6:21" ht="15" customHeight="1" x14ac:dyDescent="0.25">
      <c r="F359" s="80"/>
      <c r="M359" s="80"/>
      <c r="O359" s="75"/>
      <c r="T359" s="78" t="str">
        <f t="shared" si="10"/>
        <v/>
      </c>
      <c r="U359" s="78" t="str">
        <f t="shared" ca="1" si="11"/>
        <v/>
      </c>
    </row>
    <row r="360" spans="6:21" ht="15" customHeight="1" x14ac:dyDescent="0.25">
      <c r="F360" s="80"/>
      <c r="O360" s="75"/>
      <c r="T360" s="78" t="str">
        <f t="shared" si="10"/>
        <v/>
      </c>
      <c r="U360" s="78" t="str">
        <f t="shared" ca="1" si="11"/>
        <v/>
      </c>
    </row>
    <row r="361" spans="6:21" ht="15" customHeight="1" x14ac:dyDescent="0.25">
      <c r="F361" s="80"/>
      <c r="O361" s="75"/>
      <c r="T361" s="78" t="str">
        <f t="shared" si="10"/>
        <v/>
      </c>
      <c r="U361" s="78" t="str">
        <f t="shared" ca="1" si="11"/>
        <v/>
      </c>
    </row>
    <row r="362" spans="6:21" ht="15" customHeight="1" x14ac:dyDescent="0.25">
      <c r="F362" s="80"/>
      <c r="O362" s="75"/>
      <c r="T362" s="78" t="str">
        <f t="shared" si="10"/>
        <v/>
      </c>
      <c r="U362" s="78" t="str">
        <f t="shared" ca="1" si="11"/>
        <v/>
      </c>
    </row>
    <row r="363" spans="6:21" ht="15" customHeight="1" x14ac:dyDescent="0.25">
      <c r="F363" s="80"/>
      <c r="M363" s="80"/>
      <c r="O363" s="75"/>
      <c r="T363" s="78" t="str">
        <f t="shared" si="10"/>
        <v/>
      </c>
      <c r="U363" s="78" t="str">
        <f t="shared" ca="1" si="11"/>
        <v/>
      </c>
    </row>
    <row r="364" spans="6:21" ht="15" customHeight="1" x14ac:dyDescent="0.25">
      <c r="F364" s="80"/>
      <c r="M364" s="80"/>
      <c r="O364" s="75"/>
      <c r="T364" s="78" t="str">
        <f t="shared" si="10"/>
        <v/>
      </c>
      <c r="U364" s="78" t="str">
        <f t="shared" ca="1" si="11"/>
        <v/>
      </c>
    </row>
    <row r="365" spans="6:21" ht="15" customHeight="1" x14ac:dyDescent="0.25">
      <c r="F365" s="80"/>
      <c r="O365" s="75"/>
      <c r="T365" s="78" t="str">
        <f t="shared" si="10"/>
        <v/>
      </c>
      <c r="U365" s="78" t="str">
        <f t="shared" ca="1" si="11"/>
        <v/>
      </c>
    </row>
    <row r="366" spans="6:21" ht="15" customHeight="1" x14ac:dyDescent="0.25">
      <c r="F366" s="80"/>
      <c r="O366" s="75"/>
      <c r="T366" s="78" t="str">
        <f t="shared" si="10"/>
        <v/>
      </c>
      <c r="U366" s="78" t="str">
        <f t="shared" ca="1" si="11"/>
        <v/>
      </c>
    </row>
    <row r="367" spans="6:21" ht="15" customHeight="1" x14ac:dyDescent="0.25">
      <c r="F367" s="80"/>
      <c r="O367" s="75"/>
      <c r="T367" s="78" t="str">
        <f t="shared" si="10"/>
        <v/>
      </c>
      <c r="U367" s="78" t="str">
        <f t="shared" ca="1" si="11"/>
        <v/>
      </c>
    </row>
    <row r="368" spans="6:21" ht="15" customHeight="1" x14ac:dyDescent="0.25">
      <c r="F368" s="80"/>
      <c r="O368" s="75"/>
      <c r="T368" s="78" t="str">
        <f t="shared" si="10"/>
        <v/>
      </c>
      <c r="U368" s="78" t="str">
        <f t="shared" ca="1" si="11"/>
        <v/>
      </c>
    </row>
    <row r="369" spans="6:21" ht="15" customHeight="1" x14ac:dyDescent="0.25">
      <c r="F369" s="80"/>
      <c r="O369" s="75"/>
      <c r="T369" s="78" t="str">
        <f t="shared" si="10"/>
        <v/>
      </c>
      <c r="U369" s="78" t="str">
        <f t="shared" ca="1" si="11"/>
        <v/>
      </c>
    </row>
    <row r="370" spans="6:21" ht="15" customHeight="1" x14ac:dyDescent="0.25">
      <c r="F370" s="80"/>
      <c r="O370" s="75"/>
      <c r="T370" s="78" t="str">
        <f t="shared" si="10"/>
        <v/>
      </c>
      <c r="U370" s="78" t="str">
        <f t="shared" ca="1" si="11"/>
        <v/>
      </c>
    </row>
    <row r="371" spans="6:21" ht="15" customHeight="1" x14ac:dyDescent="0.25">
      <c r="F371" s="80"/>
      <c r="M371" s="80"/>
      <c r="O371" s="75"/>
      <c r="T371" s="78" t="str">
        <f t="shared" si="10"/>
        <v/>
      </c>
      <c r="U371" s="78" t="str">
        <f t="shared" ca="1" si="11"/>
        <v/>
      </c>
    </row>
    <row r="372" spans="6:21" ht="15" customHeight="1" x14ac:dyDescent="0.25">
      <c r="F372" s="80"/>
      <c r="M372" s="80"/>
      <c r="O372" s="75"/>
      <c r="T372" s="78" t="str">
        <f t="shared" si="10"/>
        <v/>
      </c>
      <c r="U372" s="78" t="str">
        <f t="shared" ca="1" si="11"/>
        <v/>
      </c>
    </row>
    <row r="373" spans="6:21" ht="15" customHeight="1" x14ac:dyDescent="0.25">
      <c r="F373" s="80"/>
      <c r="O373" s="75"/>
      <c r="T373" s="78" t="str">
        <f t="shared" si="10"/>
        <v/>
      </c>
      <c r="U373" s="78" t="str">
        <f t="shared" ca="1" si="11"/>
        <v/>
      </c>
    </row>
    <row r="374" spans="6:21" ht="15" customHeight="1" x14ac:dyDescent="0.25">
      <c r="F374" s="80"/>
      <c r="O374" s="75"/>
      <c r="T374" s="78" t="str">
        <f t="shared" si="10"/>
        <v/>
      </c>
      <c r="U374" s="78" t="str">
        <f t="shared" ca="1" si="11"/>
        <v/>
      </c>
    </row>
    <row r="375" spans="6:21" ht="15" customHeight="1" x14ac:dyDescent="0.25">
      <c r="F375" s="80"/>
      <c r="O375" s="75"/>
      <c r="T375" s="78" t="str">
        <f t="shared" si="10"/>
        <v/>
      </c>
      <c r="U375" s="78" t="str">
        <f t="shared" ca="1" si="11"/>
        <v/>
      </c>
    </row>
    <row r="376" spans="6:21" ht="15" customHeight="1" x14ac:dyDescent="0.25">
      <c r="F376" s="80"/>
      <c r="O376" s="75"/>
      <c r="T376" s="78" t="str">
        <f t="shared" si="10"/>
        <v/>
      </c>
      <c r="U376" s="78" t="str">
        <f t="shared" ca="1" si="11"/>
        <v/>
      </c>
    </row>
    <row r="377" spans="6:21" ht="15" customHeight="1" x14ac:dyDescent="0.25">
      <c r="F377" s="80"/>
      <c r="M377" s="80"/>
      <c r="O377" s="75"/>
      <c r="T377" s="78" t="str">
        <f t="shared" si="10"/>
        <v/>
      </c>
      <c r="U377" s="78" t="str">
        <f t="shared" ca="1" si="11"/>
        <v/>
      </c>
    </row>
    <row r="378" spans="6:21" ht="15" customHeight="1" x14ac:dyDescent="0.25">
      <c r="F378" s="80"/>
      <c r="M378" s="80"/>
      <c r="O378" s="75"/>
      <c r="T378" s="78" t="str">
        <f t="shared" si="10"/>
        <v/>
      </c>
      <c r="U378" s="78" t="str">
        <f t="shared" ca="1" si="11"/>
        <v/>
      </c>
    </row>
    <row r="379" spans="6:21" ht="15" customHeight="1" x14ac:dyDescent="0.25">
      <c r="F379" s="80"/>
      <c r="O379" s="75"/>
      <c r="T379" s="78" t="str">
        <f t="shared" si="10"/>
        <v/>
      </c>
      <c r="U379" s="78" t="str">
        <f t="shared" ca="1" si="11"/>
        <v/>
      </c>
    </row>
    <row r="380" spans="6:21" ht="15" customHeight="1" x14ac:dyDescent="0.25">
      <c r="F380" s="80"/>
      <c r="O380" s="75"/>
      <c r="T380" s="78" t="str">
        <f t="shared" si="10"/>
        <v/>
      </c>
      <c r="U380" s="78" t="str">
        <f t="shared" ca="1" si="11"/>
        <v/>
      </c>
    </row>
    <row r="381" spans="6:21" ht="15" customHeight="1" x14ac:dyDescent="0.25">
      <c r="F381" s="80"/>
      <c r="M381" s="80"/>
      <c r="O381" s="75"/>
      <c r="T381" s="78" t="str">
        <f t="shared" si="10"/>
        <v/>
      </c>
      <c r="U381" s="78" t="str">
        <f t="shared" ca="1" si="11"/>
        <v/>
      </c>
    </row>
    <row r="382" spans="6:21" ht="15" customHeight="1" x14ac:dyDescent="0.25">
      <c r="F382" s="80"/>
      <c r="O382" s="75"/>
      <c r="T382" s="78" t="str">
        <f t="shared" si="10"/>
        <v/>
      </c>
      <c r="U382" s="78" t="str">
        <f t="shared" ca="1" si="11"/>
        <v/>
      </c>
    </row>
    <row r="383" spans="6:21" ht="15" customHeight="1" x14ac:dyDescent="0.25">
      <c r="F383" s="80"/>
      <c r="M383" s="80"/>
      <c r="O383" s="75"/>
      <c r="T383" s="78" t="str">
        <f t="shared" si="10"/>
        <v/>
      </c>
      <c r="U383" s="78" t="str">
        <f t="shared" ca="1" si="11"/>
        <v/>
      </c>
    </row>
    <row r="384" spans="6:21" ht="15" customHeight="1" x14ac:dyDescent="0.25">
      <c r="F384" s="80"/>
      <c r="M384" s="80"/>
      <c r="O384" s="75"/>
      <c r="T384" s="78" t="str">
        <f t="shared" si="10"/>
        <v/>
      </c>
      <c r="U384" s="78" t="str">
        <f t="shared" ca="1" si="11"/>
        <v/>
      </c>
    </row>
    <row r="385" spans="6:21" ht="15" customHeight="1" x14ac:dyDescent="0.25">
      <c r="F385" s="80"/>
      <c r="M385" s="80"/>
      <c r="O385" s="75"/>
      <c r="T385" s="78" t="str">
        <f t="shared" si="10"/>
        <v/>
      </c>
      <c r="U385" s="78" t="str">
        <f t="shared" ca="1" si="11"/>
        <v/>
      </c>
    </row>
    <row r="386" spans="6:21" ht="15" customHeight="1" x14ac:dyDescent="0.25">
      <c r="F386" s="80"/>
      <c r="M386" s="80"/>
      <c r="O386" s="75"/>
      <c r="T386" s="78" t="str">
        <f t="shared" ref="T386:T449" si="12">IF(H:H&lt;&gt;"",(H386&amp;"-"&amp;I386),"")</f>
        <v/>
      </c>
      <c r="U386" s="78" t="str">
        <f t="shared" ref="U386:U449" ca="1" si="13">IF(F:F&lt;&gt;"",(IF(E386&lt;&gt;"Closed",DATEDIF(F386,TODAY(),"d"),"")),"")</f>
        <v/>
      </c>
    </row>
    <row r="387" spans="6:21" ht="15" customHeight="1" x14ac:dyDescent="0.25">
      <c r="F387" s="80"/>
      <c r="O387" s="75"/>
      <c r="T387" s="78" t="str">
        <f t="shared" si="12"/>
        <v/>
      </c>
      <c r="U387" s="78" t="str">
        <f t="shared" ca="1" si="13"/>
        <v/>
      </c>
    </row>
    <row r="388" spans="6:21" ht="15" customHeight="1" x14ac:dyDescent="0.25">
      <c r="F388" s="80"/>
      <c r="M388" s="80"/>
      <c r="O388" s="75"/>
      <c r="T388" s="78" t="str">
        <f t="shared" si="12"/>
        <v/>
      </c>
      <c r="U388" s="78" t="str">
        <f t="shared" ca="1" si="13"/>
        <v/>
      </c>
    </row>
    <row r="389" spans="6:21" ht="15" customHeight="1" x14ac:dyDescent="0.25">
      <c r="F389" s="80"/>
      <c r="O389" s="75"/>
      <c r="T389" s="78" t="str">
        <f t="shared" si="12"/>
        <v/>
      </c>
      <c r="U389" s="78" t="str">
        <f t="shared" ca="1" si="13"/>
        <v/>
      </c>
    </row>
    <row r="390" spans="6:21" ht="15" customHeight="1" x14ac:dyDescent="0.25">
      <c r="F390" s="80"/>
      <c r="O390" s="75"/>
      <c r="T390" s="78" t="str">
        <f t="shared" si="12"/>
        <v/>
      </c>
      <c r="U390" s="78" t="str">
        <f t="shared" ca="1" si="13"/>
        <v/>
      </c>
    </row>
    <row r="391" spans="6:21" ht="15" customHeight="1" x14ac:dyDescent="0.25">
      <c r="F391" s="80"/>
      <c r="M391" s="80"/>
      <c r="O391" s="75"/>
      <c r="T391" s="78" t="str">
        <f t="shared" si="12"/>
        <v/>
      </c>
      <c r="U391" s="78" t="str">
        <f t="shared" ca="1" si="13"/>
        <v/>
      </c>
    </row>
    <row r="392" spans="6:21" ht="15" customHeight="1" x14ac:dyDescent="0.25">
      <c r="F392" s="80"/>
      <c r="M392" s="80"/>
      <c r="O392" s="75"/>
      <c r="T392" s="78" t="str">
        <f t="shared" si="12"/>
        <v/>
      </c>
      <c r="U392" s="78" t="str">
        <f t="shared" ca="1" si="13"/>
        <v/>
      </c>
    </row>
    <row r="393" spans="6:21" ht="15" customHeight="1" x14ac:dyDescent="0.25">
      <c r="F393" s="80"/>
      <c r="M393" s="80"/>
      <c r="O393" s="75"/>
      <c r="T393" s="78" t="str">
        <f t="shared" si="12"/>
        <v/>
      </c>
      <c r="U393" s="78" t="str">
        <f t="shared" ca="1" si="13"/>
        <v/>
      </c>
    </row>
    <row r="394" spans="6:21" ht="15" customHeight="1" x14ac:dyDescent="0.25">
      <c r="F394" s="80"/>
      <c r="O394" s="75"/>
      <c r="T394" s="78" t="str">
        <f t="shared" si="12"/>
        <v/>
      </c>
      <c r="U394" s="78" t="str">
        <f t="shared" ca="1" si="13"/>
        <v/>
      </c>
    </row>
    <row r="395" spans="6:21" ht="15" customHeight="1" x14ac:dyDescent="0.25">
      <c r="F395" s="80"/>
      <c r="O395" s="75"/>
      <c r="T395" s="78" t="str">
        <f t="shared" si="12"/>
        <v/>
      </c>
      <c r="U395" s="78" t="str">
        <f t="shared" ca="1" si="13"/>
        <v/>
      </c>
    </row>
    <row r="396" spans="6:21" ht="15" customHeight="1" x14ac:dyDescent="0.25">
      <c r="F396" s="80"/>
      <c r="M396" s="80"/>
      <c r="O396" s="75"/>
      <c r="T396" s="78" t="str">
        <f t="shared" si="12"/>
        <v/>
      </c>
      <c r="U396" s="78" t="str">
        <f t="shared" ca="1" si="13"/>
        <v/>
      </c>
    </row>
    <row r="397" spans="6:21" ht="15" customHeight="1" x14ac:dyDescent="0.25">
      <c r="F397" s="80"/>
      <c r="M397" s="80"/>
      <c r="O397" s="75"/>
      <c r="T397" s="78" t="str">
        <f t="shared" si="12"/>
        <v/>
      </c>
      <c r="U397" s="78" t="str">
        <f t="shared" ca="1" si="13"/>
        <v/>
      </c>
    </row>
    <row r="398" spans="6:21" ht="15" customHeight="1" x14ac:dyDescent="0.25">
      <c r="F398" s="80"/>
      <c r="O398" s="75"/>
      <c r="T398" s="78" t="str">
        <f t="shared" si="12"/>
        <v/>
      </c>
      <c r="U398" s="78" t="str">
        <f t="shared" ca="1" si="13"/>
        <v/>
      </c>
    </row>
    <row r="399" spans="6:21" ht="15" customHeight="1" x14ac:dyDescent="0.25">
      <c r="F399" s="80"/>
      <c r="O399" s="75"/>
      <c r="T399" s="78" t="str">
        <f t="shared" si="12"/>
        <v/>
      </c>
      <c r="U399" s="78" t="str">
        <f t="shared" ca="1" si="13"/>
        <v/>
      </c>
    </row>
    <row r="400" spans="6:21" ht="15" customHeight="1" x14ac:dyDescent="0.25">
      <c r="F400" s="80"/>
      <c r="O400" s="75"/>
      <c r="T400" s="78" t="str">
        <f t="shared" si="12"/>
        <v/>
      </c>
      <c r="U400" s="78" t="str">
        <f t="shared" ca="1" si="13"/>
        <v/>
      </c>
    </row>
    <row r="401" spans="6:21" ht="15" customHeight="1" x14ac:dyDescent="0.25">
      <c r="F401" s="80"/>
      <c r="O401" s="75"/>
      <c r="T401" s="78" t="str">
        <f t="shared" si="12"/>
        <v/>
      </c>
      <c r="U401" s="78" t="str">
        <f t="shared" ca="1" si="13"/>
        <v/>
      </c>
    </row>
    <row r="402" spans="6:21" ht="15" customHeight="1" x14ac:dyDescent="0.25">
      <c r="F402" s="80"/>
      <c r="M402" s="80"/>
      <c r="O402" s="75"/>
      <c r="T402" s="78" t="str">
        <f t="shared" si="12"/>
        <v/>
      </c>
      <c r="U402" s="78" t="str">
        <f t="shared" ca="1" si="13"/>
        <v/>
      </c>
    </row>
    <row r="403" spans="6:21" ht="15" customHeight="1" x14ac:dyDescent="0.25">
      <c r="F403" s="80"/>
      <c r="M403" s="80"/>
      <c r="O403" s="75"/>
      <c r="T403" s="78" t="str">
        <f t="shared" si="12"/>
        <v/>
      </c>
      <c r="U403" s="78" t="str">
        <f t="shared" ca="1" si="13"/>
        <v/>
      </c>
    </row>
    <row r="404" spans="6:21" ht="15" customHeight="1" x14ac:dyDescent="0.25">
      <c r="F404" s="80"/>
      <c r="O404" s="75"/>
      <c r="T404" s="78" t="str">
        <f t="shared" si="12"/>
        <v/>
      </c>
      <c r="U404" s="78" t="str">
        <f t="shared" ca="1" si="13"/>
        <v/>
      </c>
    </row>
    <row r="405" spans="6:21" ht="15" customHeight="1" x14ac:dyDescent="0.25">
      <c r="F405" s="80"/>
      <c r="O405" s="75"/>
      <c r="T405" s="78" t="str">
        <f t="shared" si="12"/>
        <v/>
      </c>
      <c r="U405" s="78" t="str">
        <f t="shared" ca="1" si="13"/>
        <v/>
      </c>
    </row>
    <row r="406" spans="6:21" ht="15" customHeight="1" x14ac:dyDescent="0.25">
      <c r="F406" s="80"/>
      <c r="O406" s="75"/>
      <c r="T406" s="78" t="str">
        <f t="shared" si="12"/>
        <v/>
      </c>
      <c r="U406" s="78" t="str">
        <f t="shared" ca="1" si="13"/>
        <v/>
      </c>
    </row>
    <row r="407" spans="6:21" ht="15" customHeight="1" x14ac:dyDescent="0.25">
      <c r="F407" s="80"/>
      <c r="O407" s="75"/>
      <c r="T407" s="78" t="str">
        <f t="shared" si="12"/>
        <v/>
      </c>
      <c r="U407" s="78" t="str">
        <f t="shared" ca="1" si="13"/>
        <v/>
      </c>
    </row>
    <row r="408" spans="6:21" ht="15" customHeight="1" x14ac:dyDescent="0.25">
      <c r="F408" s="80"/>
      <c r="O408" s="75"/>
      <c r="T408" s="78" t="str">
        <f t="shared" si="12"/>
        <v/>
      </c>
      <c r="U408" s="78" t="str">
        <f t="shared" ca="1" si="13"/>
        <v/>
      </c>
    </row>
    <row r="409" spans="6:21" ht="15" customHeight="1" x14ac:dyDescent="0.25">
      <c r="F409" s="80"/>
      <c r="M409" s="80"/>
      <c r="O409" s="75"/>
      <c r="T409" s="78" t="str">
        <f t="shared" si="12"/>
        <v/>
      </c>
      <c r="U409" s="78" t="str">
        <f t="shared" ca="1" si="13"/>
        <v/>
      </c>
    </row>
    <row r="410" spans="6:21" ht="15" customHeight="1" x14ac:dyDescent="0.25">
      <c r="F410" s="80"/>
      <c r="O410" s="75"/>
      <c r="T410" s="78" t="str">
        <f t="shared" si="12"/>
        <v/>
      </c>
      <c r="U410" s="78" t="str">
        <f t="shared" ca="1" si="13"/>
        <v/>
      </c>
    </row>
    <row r="411" spans="6:21" ht="15" customHeight="1" x14ac:dyDescent="0.25">
      <c r="F411" s="80"/>
      <c r="O411" s="75"/>
      <c r="T411" s="78" t="str">
        <f t="shared" si="12"/>
        <v/>
      </c>
      <c r="U411" s="78" t="str">
        <f t="shared" ca="1" si="13"/>
        <v/>
      </c>
    </row>
    <row r="412" spans="6:21" ht="15" customHeight="1" x14ac:dyDescent="0.25">
      <c r="F412" s="80"/>
      <c r="O412" s="75"/>
      <c r="T412" s="78" t="str">
        <f t="shared" si="12"/>
        <v/>
      </c>
      <c r="U412" s="78" t="str">
        <f t="shared" ca="1" si="13"/>
        <v/>
      </c>
    </row>
    <row r="413" spans="6:21" ht="15" customHeight="1" x14ac:dyDescent="0.25">
      <c r="F413" s="80"/>
      <c r="M413" s="80"/>
      <c r="O413" s="75"/>
      <c r="T413" s="78" t="str">
        <f t="shared" si="12"/>
        <v/>
      </c>
      <c r="U413" s="78" t="str">
        <f t="shared" ca="1" si="13"/>
        <v/>
      </c>
    </row>
    <row r="414" spans="6:21" ht="15" customHeight="1" x14ac:dyDescent="0.25">
      <c r="F414" s="80"/>
      <c r="O414" s="75"/>
      <c r="T414" s="78" t="str">
        <f t="shared" si="12"/>
        <v/>
      </c>
      <c r="U414" s="78" t="str">
        <f t="shared" ca="1" si="13"/>
        <v/>
      </c>
    </row>
    <row r="415" spans="6:21" ht="15" customHeight="1" x14ac:dyDescent="0.25">
      <c r="F415" s="80"/>
      <c r="M415" s="80"/>
      <c r="O415" s="75"/>
      <c r="T415" s="78" t="str">
        <f t="shared" si="12"/>
        <v/>
      </c>
      <c r="U415" s="78" t="str">
        <f t="shared" ca="1" si="13"/>
        <v/>
      </c>
    </row>
    <row r="416" spans="6:21" ht="15" customHeight="1" x14ac:dyDescent="0.25">
      <c r="F416" s="80"/>
      <c r="M416" s="80"/>
      <c r="O416" s="75"/>
      <c r="T416" s="78" t="str">
        <f t="shared" si="12"/>
        <v/>
      </c>
      <c r="U416" s="78" t="str">
        <f t="shared" ca="1" si="13"/>
        <v/>
      </c>
    </row>
    <row r="417" spans="6:21" ht="15" customHeight="1" x14ac:dyDescent="0.25">
      <c r="F417" s="80"/>
      <c r="M417" s="80"/>
      <c r="O417" s="75"/>
      <c r="T417" s="78" t="str">
        <f t="shared" si="12"/>
        <v/>
      </c>
      <c r="U417" s="78" t="str">
        <f t="shared" ca="1" si="13"/>
        <v/>
      </c>
    </row>
    <row r="418" spans="6:21" ht="15" customHeight="1" x14ac:dyDescent="0.25">
      <c r="F418" s="80"/>
      <c r="O418" s="75"/>
      <c r="T418" s="78" t="str">
        <f t="shared" si="12"/>
        <v/>
      </c>
      <c r="U418" s="78" t="str">
        <f t="shared" ca="1" si="13"/>
        <v/>
      </c>
    </row>
    <row r="419" spans="6:21" ht="15" customHeight="1" x14ac:dyDescent="0.25">
      <c r="F419" s="80"/>
      <c r="M419" s="80"/>
      <c r="O419" s="75"/>
      <c r="T419" s="78" t="str">
        <f t="shared" si="12"/>
        <v/>
      </c>
      <c r="U419" s="78" t="str">
        <f t="shared" ca="1" si="13"/>
        <v/>
      </c>
    </row>
    <row r="420" spans="6:21" ht="15" customHeight="1" x14ac:dyDescent="0.25">
      <c r="F420" s="80"/>
      <c r="O420" s="75"/>
      <c r="T420" s="78" t="str">
        <f t="shared" si="12"/>
        <v/>
      </c>
      <c r="U420" s="78" t="str">
        <f t="shared" ca="1" si="13"/>
        <v/>
      </c>
    </row>
    <row r="421" spans="6:21" ht="15" customHeight="1" x14ac:dyDescent="0.25">
      <c r="F421" s="80"/>
      <c r="M421" s="80"/>
      <c r="O421" s="75"/>
      <c r="T421" s="78" t="str">
        <f t="shared" si="12"/>
        <v/>
      </c>
      <c r="U421" s="78" t="str">
        <f t="shared" ca="1" si="13"/>
        <v/>
      </c>
    </row>
    <row r="422" spans="6:21" ht="15" customHeight="1" x14ac:dyDescent="0.25">
      <c r="F422" s="80"/>
      <c r="M422" s="80"/>
      <c r="O422" s="75"/>
      <c r="T422" s="78" t="str">
        <f t="shared" si="12"/>
        <v/>
      </c>
      <c r="U422" s="78" t="str">
        <f t="shared" ca="1" si="13"/>
        <v/>
      </c>
    </row>
    <row r="423" spans="6:21" ht="15" customHeight="1" x14ac:dyDescent="0.25">
      <c r="F423" s="80"/>
      <c r="M423" s="80"/>
      <c r="O423" s="75"/>
      <c r="T423" s="78" t="str">
        <f t="shared" si="12"/>
        <v/>
      </c>
      <c r="U423" s="78" t="str">
        <f t="shared" ca="1" si="13"/>
        <v/>
      </c>
    </row>
    <row r="424" spans="6:21" ht="15" customHeight="1" x14ac:dyDescent="0.25">
      <c r="F424" s="80"/>
      <c r="M424" s="80"/>
      <c r="O424" s="75"/>
      <c r="T424" s="78" t="str">
        <f t="shared" si="12"/>
        <v/>
      </c>
      <c r="U424" s="78" t="str">
        <f t="shared" ca="1" si="13"/>
        <v/>
      </c>
    </row>
    <row r="425" spans="6:21" ht="15" customHeight="1" x14ac:dyDescent="0.25">
      <c r="F425" s="80"/>
      <c r="M425" s="80"/>
      <c r="O425" s="75"/>
      <c r="T425" s="78" t="str">
        <f t="shared" si="12"/>
        <v/>
      </c>
      <c r="U425" s="78" t="str">
        <f t="shared" ca="1" si="13"/>
        <v/>
      </c>
    </row>
    <row r="426" spans="6:21" ht="15" customHeight="1" x14ac:dyDescent="0.25">
      <c r="F426" s="80"/>
      <c r="M426" s="80"/>
      <c r="O426" s="75"/>
      <c r="T426" s="78" t="str">
        <f t="shared" si="12"/>
        <v/>
      </c>
      <c r="U426" s="78" t="str">
        <f t="shared" ca="1" si="13"/>
        <v/>
      </c>
    </row>
    <row r="427" spans="6:21" ht="15" customHeight="1" x14ac:dyDescent="0.25">
      <c r="F427" s="80"/>
      <c r="O427" s="75"/>
      <c r="T427" s="78" t="str">
        <f t="shared" si="12"/>
        <v/>
      </c>
      <c r="U427" s="78" t="str">
        <f t="shared" ca="1" si="13"/>
        <v/>
      </c>
    </row>
    <row r="428" spans="6:21" ht="15" customHeight="1" x14ac:dyDescent="0.25">
      <c r="F428" s="80"/>
      <c r="O428" s="75"/>
      <c r="T428" s="78" t="str">
        <f t="shared" si="12"/>
        <v/>
      </c>
      <c r="U428" s="78" t="str">
        <f t="shared" ca="1" si="13"/>
        <v/>
      </c>
    </row>
    <row r="429" spans="6:21" ht="15" customHeight="1" x14ac:dyDescent="0.25">
      <c r="F429" s="80"/>
      <c r="O429" s="75"/>
      <c r="T429" s="78" t="str">
        <f t="shared" si="12"/>
        <v/>
      </c>
      <c r="U429" s="78" t="str">
        <f t="shared" ca="1" si="13"/>
        <v/>
      </c>
    </row>
    <row r="430" spans="6:21" ht="15" customHeight="1" x14ac:dyDescent="0.25">
      <c r="F430" s="80"/>
      <c r="M430" s="80"/>
      <c r="O430" s="75"/>
      <c r="T430" s="78" t="str">
        <f t="shared" si="12"/>
        <v/>
      </c>
      <c r="U430" s="78" t="str">
        <f t="shared" ca="1" si="13"/>
        <v/>
      </c>
    </row>
    <row r="431" spans="6:21" ht="15" customHeight="1" x14ac:dyDescent="0.25">
      <c r="F431" s="80"/>
      <c r="O431" s="75"/>
      <c r="T431" s="78" t="str">
        <f t="shared" si="12"/>
        <v/>
      </c>
      <c r="U431" s="78" t="str">
        <f t="shared" ca="1" si="13"/>
        <v/>
      </c>
    </row>
    <row r="432" spans="6:21" ht="15" customHeight="1" x14ac:dyDescent="0.25">
      <c r="F432" s="80"/>
      <c r="O432" s="75"/>
      <c r="T432" s="78" t="str">
        <f t="shared" si="12"/>
        <v/>
      </c>
      <c r="U432" s="78" t="str">
        <f t="shared" ca="1" si="13"/>
        <v/>
      </c>
    </row>
    <row r="433" spans="6:21" ht="15" customHeight="1" x14ac:dyDescent="0.25">
      <c r="F433" s="80"/>
      <c r="M433" s="80"/>
      <c r="O433" s="75"/>
      <c r="T433" s="78" t="str">
        <f t="shared" si="12"/>
        <v/>
      </c>
      <c r="U433" s="78" t="str">
        <f t="shared" ca="1" si="13"/>
        <v/>
      </c>
    </row>
    <row r="434" spans="6:21" ht="15" customHeight="1" x14ac:dyDescent="0.25">
      <c r="F434" s="80"/>
      <c r="M434" s="80"/>
      <c r="O434" s="75"/>
      <c r="T434" s="78" t="str">
        <f t="shared" si="12"/>
        <v/>
      </c>
      <c r="U434" s="78" t="str">
        <f t="shared" ca="1" si="13"/>
        <v/>
      </c>
    </row>
    <row r="435" spans="6:21" ht="15" customHeight="1" x14ac:dyDescent="0.25">
      <c r="F435" s="80"/>
      <c r="M435" s="80"/>
      <c r="O435" s="75"/>
      <c r="T435" s="78" t="str">
        <f t="shared" si="12"/>
        <v/>
      </c>
      <c r="U435" s="78" t="str">
        <f t="shared" ca="1" si="13"/>
        <v/>
      </c>
    </row>
    <row r="436" spans="6:21" ht="15" customHeight="1" x14ac:dyDescent="0.25">
      <c r="F436" s="80"/>
      <c r="M436" s="80"/>
      <c r="O436" s="75"/>
      <c r="T436" s="78" t="str">
        <f t="shared" si="12"/>
        <v/>
      </c>
      <c r="U436" s="78" t="str">
        <f t="shared" ca="1" si="13"/>
        <v/>
      </c>
    </row>
    <row r="437" spans="6:21" ht="15" customHeight="1" x14ac:dyDescent="0.25">
      <c r="F437" s="80"/>
      <c r="O437" s="75"/>
      <c r="T437" s="78" t="str">
        <f t="shared" si="12"/>
        <v/>
      </c>
      <c r="U437" s="78" t="str">
        <f t="shared" ca="1" si="13"/>
        <v/>
      </c>
    </row>
    <row r="438" spans="6:21" ht="15" customHeight="1" x14ac:dyDescent="0.25">
      <c r="F438" s="80"/>
      <c r="O438" s="75"/>
      <c r="T438" s="78" t="str">
        <f t="shared" si="12"/>
        <v/>
      </c>
      <c r="U438" s="78" t="str">
        <f t="shared" ca="1" si="13"/>
        <v/>
      </c>
    </row>
    <row r="439" spans="6:21" ht="15" customHeight="1" x14ac:dyDescent="0.25">
      <c r="F439" s="80"/>
      <c r="M439" s="80"/>
      <c r="O439" s="75"/>
      <c r="T439" s="78" t="str">
        <f t="shared" si="12"/>
        <v/>
      </c>
      <c r="U439" s="78" t="str">
        <f t="shared" ca="1" si="13"/>
        <v/>
      </c>
    </row>
    <row r="440" spans="6:21" ht="15" customHeight="1" x14ac:dyDescent="0.25">
      <c r="F440" s="80"/>
      <c r="M440" s="80"/>
      <c r="O440" s="75"/>
      <c r="T440" s="78" t="str">
        <f t="shared" si="12"/>
        <v/>
      </c>
      <c r="U440" s="78" t="str">
        <f t="shared" ca="1" si="13"/>
        <v/>
      </c>
    </row>
    <row r="441" spans="6:21" ht="15" customHeight="1" x14ac:dyDescent="0.25">
      <c r="F441" s="80"/>
      <c r="M441" s="80"/>
      <c r="O441" s="75"/>
      <c r="T441" s="78" t="str">
        <f t="shared" si="12"/>
        <v/>
      </c>
      <c r="U441" s="78" t="str">
        <f t="shared" ca="1" si="13"/>
        <v/>
      </c>
    </row>
    <row r="442" spans="6:21" ht="15" customHeight="1" x14ac:dyDescent="0.25">
      <c r="F442" s="80"/>
      <c r="O442" s="75"/>
      <c r="T442" s="78" t="str">
        <f t="shared" si="12"/>
        <v/>
      </c>
      <c r="U442" s="78" t="str">
        <f t="shared" ca="1" si="13"/>
        <v/>
      </c>
    </row>
    <row r="443" spans="6:21" ht="15" customHeight="1" x14ac:dyDescent="0.25">
      <c r="F443" s="80"/>
      <c r="O443" s="75"/>
      <c r="T443" s="78" t="str">
        <f t="shared" si="12"/>
        <v/>
      </c>
      <c r="U443" s="78" t="str">
        <f t="shared" ca="1" si="13"/>
        <v/>
      </c>
    </row>
    <row r="444" spans="6:21" ht="15" customHeight="1" x14ac:dyDescent="0.25">
      <c r="F444" s="80"/>
      <c r="M444" s="80"/>
      <c r="O444" s="75"/>
      <c r="T444" s="78" t="str">
        <f t="shared" si="12"/>
        <v/>
      </c>
      <c r="U444" s="78" t="str">
        <f t="shared" ca="1" si="13"/>
        <v/>
      </c>
    </row>
    <row r="445" spans="6:21" ht="15" customHeight="1" x14ac:dyDescent="0.25">
      <c r="F445" s="80"/>
      <c r="O445" s="75"/>
      <c r="T445" s="78" t="str">
        <f t="shared" si="12"/>
        <v/>
      </c>
      <c r="U445" s="78" t="str">
        <f t="shared" ca="1" si="13"/>
        <v/>
      </c>
    </row>
    <row r="446" spans="6:21" ht="15" customHeight="1" x14ac:dyDescent="0.25">
      <c r="F446" s="80"/>
      <c r="O446" s="75"/>
      <c r="T446" s="78" t="str">
        <f t="shared" si="12"/>
        <v/>
      </c>
      <c r="U446" s="78" t="str">
        <f t="shared" ca="1" si="13"/>
        <v/>
      </c>
    </row>
    <row r="447" spans="6:21" ht="15" customHeight="1" x14ac:dyDescent="0.25">
      <c r="F447" s="80"/>
      <c r="O447" s="75"/>
      <c r="T447" s="78" t="str">
        <f t="shared" si="12"/>
        <v/>
      </c>
      <c r="U447" s="78" t="str">
        <f t="shared" ca="1" si="13"/>
        <v/>
      </c>
    </row>
    <row r="448" spans="6:21" ht="15" customHeight="1" x14ac:dyDescent="0.25">
      <c r="F448" s="80"/>
      <c r="O448" s="75"/>
      <c r="T448" s="78" t="str">
        <f t="shared" si="12"/>
        <v/>
      </c>
      <c r="U448" s="78" t="str">
        <f t="shared" ca="1" si="13"/>
        <v/>
      </c>
    </row>
    <row r="449" spans="6:21" ht="15" customHeight="1" x14ac:dyDescent="0.25">
      <c r="F449" s="80"/>
      <c r="O449" s="75"/>
      <c r="T449" s="78" t="str">
        <f t="shared" si="12"/>
        <v/>
      </c>
      <c r="U449" s="78" t="str">
        <f t="shared" ca="1" si="13"/>
        <v/>
      </c>
    </row>
    <row r="450" spans="6:21" ht="15" customHeight="1" x14ac:dyDescent="0.25">
      <c r="F450" s="80"/>
      <c r="O450" s="75"/>
      <c r="T450" s="78" t="str">
        <f t="shared" ref="T450:T501" si="14">IF(H:H&lt;&gt;"",(H450&amp;"-"&amp;I450),"")</f>
        <v/>
      </c>
      <c r="U450" s="78" t="str">
        <f t="shared" ref="U450:U501" ca="1" si="15">IF(F:F&lt;&gt;"",(IF(E450&lt;&gt;"Closed",DATEDIF(F450,TODAY(),"d"),"")),"")</f>
        <v/>
      </c>
    </row>
    <row r="451" spans="6:21" ht="15" customHeight="1" x14ac:dyDescent="0.25">
      <c r="F451" s="80"/>
      <c r="O451" s="75"/>
      <c r="T451" s="78" t="str">
        <f t="shared" si="14"/>
        <v/>
      </c>
      <c r="U451" s="78" t="str">
        <f t="shared" ca="1" si="15"/>
        <v/>
      </c>
    </row>
    <row r="452" spans="6:21" ht="15" customHeight="1" x14ac:dyDescent="0.25">
      <c r="F452" s="80"/>
      <c r="O452" s="75"/>
      <c r="T452" s="78" t="str">
        <f t="shared" si="14"/>
        <v/>
      </c>
      <c r="U452" s="78" t="str">
        <f t="shared" ca="1" si="15"/>
        <v/>
      </c>
    </row>
    <row r="453" spans="6:21" ht="15" customHeight="1" x14ac:dyDescent="0.25">
      <c r="F453" s="80"/>
      <c r="O453" s="75"/>
      <c r="T453" s="78" t="str">
        <f t="shared" si="14"/>
        <v/>
      </c>
      <c r="U453" s="78" t="str">
        <f t="shared" ca="1" si="15"/>
        <v/>
      </c>
    </row>
    <row r="454" spans="6:21" ht="15" customHeight="1" x14ac:dyDescent="0.25">
      <c r="F454" s="80"/>
      <c r="M454" s="80"/>
      <c r="O454" s="75"/>
      <c r="T454" s="78" t="str">
        <f t="shared" si="14"/>
        <v/>
      </c>
      <c r="U454" s="78" t="str">
        <f t="shared" ca="1" si="15"/>
        <v/>
      </c>
    </row>
    <row r="455" spans="6:21" ht="15" customHeight="1" x14ac:dyDescent="0.25">
      <c r="F455" s="80"/>
      <c r="O455" s="75"/>
      <c r="T455" s="78" t="str">
        <f t="shared" si="14"/>
        <v/>
      </c>
      <c r="U455" s="78" t="str">
        <f t="shared" ca="1" si="15"/>
        <v/>
      </c>
    </row>
    <row r="456" spans="6:21" ht="15" customHeight="1" x14ac:dyDescent="0.25">
      <c r="F456" s="80"/>
      <c r="O456" s="75"/>
      <c r="T456" s="78" t="str">
        <f t="shared" si="14"/>
        <v/>
      </c>
      <c r="U456" s="78" t="str">
        <f t="shared" ca="1" si="15"/>
        <v/>
      </c>
    </row>
    <row r="457" spans="6:21" ht="15" customHeight="1" x14ac:dyDescent="0.25">
      <c r="F457" s="80"/>
      <c r="O457" s="75"/>
      <c r="T457" s="78" t="str">
        <f t="shared" si="14"/>
        <v/>
      </c>
      <c r="U457" s="78" t="str">
        <f t="shared" ca="1" si="15"/>
        <v/>
      </c>
    </row>
    <row r="458" spans="6:21" ht="15" customHeight="1" x14ac:dyDescent="0.25">
      <c r="F458" s="80"/>
      <c r="O458" s="75"/>
      <c r="T458" s="78" t="str">
        <f t="shared" si="14"/>
        <v/>
      </c>
      <c r="U458" s="78" t="str">
        <f t="shared" ca="1" si="15"/>
        <v/>
      </c>
    </row>
    <row r="459" spans="6:21" ht="15" customHeight="1" x14ac:dyDescent="0.25">
      <c r="F459" s="80"/>
      <c r="M459" s="80"/>
      <c r="O459" s="75"/>
      <c r="T459" s="78" t="str">
        <f t="shared" si="14"/>
        <v/>
      </c>
      <c r="U459" s="78" t="str">
        <f t="shared" ca="1" si="15"/>
        <v/>
      </c>
    </row>
    <row r="460" spans="6:21" ht="15" customHeight="1" x14ac:dyDescent="0.25">
      <c r="F460" s="80"/>
      <c r="O460" s="75"/>
      <c r="T460" s="78" t="str">
        <f t="shared" si="14"/>
        <v/>
      </c>
      <c r="U460" s="78" t="str">
        <f t="shared" ca="1" si="15"/>
        <v/>
      </c>
    </row>
    <row r="461" spans="6:21" ht="15" customHeight="1" x14ac:dyDescent="0.25">
      <c r="F461" s="80"/>
      <c r="O461" s="75"/>
      <c r="T461" s="78" t="str">
        <f t="shared" si="14"/>
        <v/>
      </c>
      <c r="U461" s="78" t="str">
        <f t="shared" ca="1" si="15"/>
        <v/>
      </c>
    </row>
    <row r="462" spans="6:21" ht="15" customHeight="1" x14ac:dyDescent="0.25">
      <c r="F462" s="80"/>
      <c r="O462" s="75"/>
      <c r="T462" s="78" t="str">
        <f t="shared" si="14"/>
        <v/>
      </c>
      <c r="U462" s="78" t="str">
        <f t="shared" ca="1" si="15"/>
        <v/>
      </c>
    </row>
    <row r="463" spans="6:21" ht="15" customHeight="1" x14ac:dyDescent="0.25">
      <c r="F463" s="80"/>
      <c r="O463" s="75"/>
      <c r="T463" s="78" t="str">
        <f t="shared" si="14"/>
        <v/>
      </c>
      <c r="U463" s="78" t="str">
        <f t="shared" ca="1" si="15"/>
        <v/>
      </c>
    </row>
    <row r="464" spans="6:21" ht="15" customHeight="1" x14ac:dyDescent="0.25">
      <c r="F464" s="80"/>
      <c r="O464" s="75"/>
      <c r="T464" s="78" t="str">
        <f t="shared" si="14"/>
        <v/>
      </c>
      <c r="U464" s="78" t="str">
        <f t="shared" ca="1" si="15"/>
        <v/>
      </c>
    </row>
    <row r="465" spans="6:21" ht="15" customHeight="1" x14ac:dyDescent="0.25">
      <c r="F465" s="80"/>
      <c r="M465" s="80"/>
      <c r="O465" s="75"/>
      <c r="T465" s="78" t="str">
        <f t="shared" si="14"/>
        <v/>
      </c>
      <c r="U465" s="78" t="str">
        <f t="shared" ca="1" si="15"/>
        <v/>
      </c>
    </row>
    <row r="466" spans="6:21" ht="15" customHeight="1" x14ac:dyDescent="0.25">
      <c r="F466" s="80"/>
      <c r="M466" s="80"/>
      <c r="O466" s="75"/>
      <c r="T466" s="78" t="str">
        <f t="shared" si="14"/>
        <v/>
      </c>
      <c r="U466" s="78" t="str">
        <f t="shared" ca="1" si="15"/>
        <v/>
      </c>
    </row>
    <row r="467" spans="6:21" ht="15" customHeight="1" x14ac:dyDescent="0.25">
      <c r="F467" s="80"/>
      <c r="M467" s="80"/>
      <c r="O467" s="75"/>
      <c r="T467" s="78" t="str">
        <f t="shared" si="14"/>
        <v/>
      </c>
      <c r="U467" s="78" t="str">
        <f t="shared" ca="1" si="15"/>
        <v/>
      </c>
    </row>
    <row r="468" spans="6:21" ht="15" customHeight="1" x14ac:dyDescent="0.25">
      <c r="F468" s="80"/>
      <c r="O468" s="75"/>
      <c r="T468" s="78" t="str">
        <f t="shared" si="14"/>
        <v/>
      </c>
      <c r="U468" s="78" t="str">
        <f t="shared" ca="1" si="15"/>
        <v/>
      </c>
    </row>
    <row r="469" spans="6:21" ht="15" customHeight="1" x14ac:dyDescent="0.25">
      <c r="F469" s="80"/>
      <c r="M469" s="80"/>
      <c r="O469" s="75"/>
      <c r="T469" s="78" t="str">
        <f t="shared" si="14"/>
        <v/>
      </c>
      <c r="U469" s="78" t="str">
        <f t="shared" ca="1" si="15"/>
        <v/>
      </c>
    </row>
    <row r="470" spans="6:21" ht="15" customHeight="1" x14ac:dyDescent="0.25">
      <c r="F470" s="80"/>
      <c r="O470" s="75"/>
      <c r="T470" s="78" t="str">
        <f t="shared" si="14"/>
        <v/>
      </c>
      <c r="U470" s="78" t="str">
        <f t="shared" ca="1" si="15"/>
        <v/>
      </c>
    </row>
    <row r="471" spans="6:21" ht="15" customHeight="1" x14ac:dyDescent="0.25">
      <c r="F471" s="80"/>
      <c r="M471" s="80"/>
      <c r="O471" s="75"/>
      <c r="T471" s="78" t="str">
        <f t="shared" si="14"/>
        <v/>
      </c>
      <c r="U471" s="78" t="str">
        <f t="shared" ca="1" si="15"/>
        <v/>
      </c>
    </row>
    <row r="472" spans="6:21" ht="15" customHeight="1" x14ac:dyDescent="0.25">
      <c r="F472" s="80"/>
      <c r="M472" s="80"/>
      <c r="O472" s="75"/>
      <c r="T472" s="78" t="str">
        <f t="shared" si="14"/>
        <v/>
      </c>
      <c r="U472" s="78" t="str">
        <f t="shared" ca="1" si="15"/>
        <v/>
      </c>
    </row>
    <row r="473" spans="6:21" ht="15" customHeight="1" x14ac:dyDescent="0.25">
      <c r="F473" s="80"/>
      <c r="M473" s="80"/>
      <c r="O473" s="75"/>
      <c r="T473" s="78" t="str">
        <f t="shared" si="14"/>
        <v/>
      </c>
      <c r="U473" s="78" t="str">
        <f t="shared" ca="1" si="15"/>
        <v/>
      </c>
    </row>
    <row r="474" spans="6:21" ht="15" customHeight="1" x14ac:dyDescent="0.25">
      <c r="F474" s="80"/>
      <c r="M474" s="80"/>
      <c r="O474" s="75"/>
      <c r="T474" s="78" t="str">
        <f t="shared" si="14"/>
        <v/>
      </c>
      <c r="U474" s="78" t="str">
        <f t="shared" ca="1" si="15"/>
        <v/>
      </c>
    </row>
    <row r="475" spans="6:21" ht="15" customHeight="1" x14ac:dyDescent="0.25">
      <c r="F475" s="80"/>
      <c r="M475" s="80"/>
      <c r="O475" s="75"/>
      <c r="T475" s="78" t="str">
        <f t="shared" si="14"/>
        <v/>
      </c>
      <c r="U475" s="78" t="str">
        <f t="shared" ca="1" si="15"/>
        <v/>
      </c>
    </row>
    <row r="476" spans="6:21" ht="15" customHeight="1" x14ac:dyDescent="0.25">
      <c r="F476" s="80"/>
      <c r="O476" s="75"/>
      <c r="T476" s="78" t="str">
        <f t="shared" si="14"/>
        <v/>
      </c>
      <c r="U476" s="78" t="str">
        <f t="shared" ca="1" si="15"/>
        <v/>
      </c>
    </row>
    <row r="477" spans="6:21" ht="15" customHeight="1" x14ac:dyDescent="0.25">
      <c r="F477" s="80"/>
      <c r="O477" s="75"/>
      <c r="T477" s="78" t="str">
        <f t="shared" si="14"/>
        <v/>
      </c>
      <c r="U477" s="78" t="str">
        <f t="shared" ca="1" si="15"/>
        <v/>
      </c>
    </row>
    <row r="478" spans="6:21" ht="15" customHeight="1" x14ac:dyDescent="0.25">
      <c r="F478" s="80"/>
      <c r="M478" s="80"/>
      <c r="O478" s="75"/>
      <c r="T478" s="78" t="str">
        <f t="shared" si="14"/>
        <v/>
      </c>
      <c r="U478" s="78" t="str">
        <f t="shared" ca="1" si="15"/>
        <v/>
      </c>
    </row>
    <row r="479" spans="6:21" ht="15" customHeight="1" x14ac:dyDescent="0.25">
      <c r="F479" s="80"/>
      <c r="O479" s="75"/>
      <c r="T479" s="78" t="str">
        <f t="shared" si="14"/>
        <v/>
      </c>
      <c r="U479" s="78" t="str">
        <f t="shared" ca="1" si="15"/>
        <v/>
      </c>
    </row>
    <row r="480" spans="6:21" ht="15" customHeight="1" x14ac:dyDescent="0.25">
      <c r="F480" s="80"/>
      <c r="O480" s="75"/>
      <c r="T480" s="78" t="str">
        <f t="shared" si="14"/>
        <v/>
      </c>
      <c r="U480" s="78" t="str">
        <f t="shared" ca="1" si="15"/>
        <v/>
      </c>
    </row>
    <row r="481" spans="6:21" ht="15" customHeight="1" x14ac:dyDescent="0.25">
      <c r="F481" s="80"/>
      <c r="O481" s="75"/>
      <c r="T481" s="78" t="str">
        <f t="shared" si="14"/>
        <v/>
      </c>
      <c r="U481" s="78" t="str">
        <f t="shared" ca="1" si="15"/>
        <v/>
      </c>
    </row>
    <row r="482" spans="6:21" ht="15" customHeight="1" x14ac:dyDescent="0.25">
      <c r="F482" s="80"/>
      <c r="O482" s="75"/>
      <c r="T482" s="78" t="str">
        <f t="shared" si="14"/>
        <v/>
      </c>
      <c r="U482" s="78" t="str">
        <f t="shared" ca="1" si="15"/>
        <v/>
      </c>
    </row>
    <row r="483" spans="6:21" ht="15" customHeight="1" x14ac:dyDescent="0.25">
      <c r="F483" s="80"/>
      <c r="M483" s="80"/>
      <c r="O483" s="75"/>
      <c r="T483" s="78" t="str">
        <f t="shared" si="14"/>
        <v/>
      </c>
      <c r="U483" s="78" t="str">
        <f t="shared" ca="1" si="15"/>
        <v/>
      </c>
    </row>
    <row r="484" spans="6:21" ht="15" customHeight="1" x14ac:dyDescent="0.25">
      <c r="F484" s="80"/>
      <c r="M484" s="80"/>
      <c r="O484" s="75"/>
      <c r="T484" s="78" t="str">
        <f t="shared" si="14"/>
        <v/>
      </c>
      <c r="U484" s="78" t="str">
        <f t="shared" ca="1" si="15"/>
        <v/>
      </c>
    </row>
    <row r="485" spans="6:21" ht="15" customHeight="1" x14ac:dyDescent="0.25">
      <c r="F485" s="80"/>
      <c r="M485" s="80"/>
      <c r="O485" s="75"/>
      <c r="T485" s="78" t="str">
        <f t="shared" si="14"/>
        <v/>
      </c>
      <c r="U485" s="78" t="str">
        <f t="shared" ca="1" si="15"/>
        <v/>
      </c>
    </row>
    <row r="486" spans="6:21" ht="15" customHeight="1" x14ac:dyDescent="0.25">
      <c r="F486" s="80"/>
      <c r="O486" s="75"/>
      <c r="T486" s="78" t="str">
        <f t="shared" si="14"/>
        <v/>
      </c>
      <c r="U486" s="78" t="str">
        <f t="shared" ca="1" si="15"/>
        <v/>
      </c>
    </row>
    <row r="487" spans="6:21" ht="15" customHeight="1" x14ac:dyDescent="0.25">
      <c r="F487" s="80"/>
      <c r="M487" s="80"/>
      <c r="O487" s="75"/>
      <c r="T487" s="78" t="str">
        <f t="shared" si="14"/>
        <v/>
      </c>
      <c r="U487" s="78" t="str">
        <f t="shared" ca="1" si="15"/>
        <v/>
      </c>
    </row>
    <row r="488" spans="6:21" ht="15" customHeight="1" x14ac:dyDescent="0.25">
      <c r="F488" s="80"/>
      <c r="O488" s="75"/>
      <c r="T488" s="78" t="str">
        <f t="shared" si="14"/>
        <v/>
      </c>
      <c r="U488" s="78" t="str">
        <f t="shared" ca="1" si="15"/>
        <v/>
      </c>
    </row>
    <row r="489" spans="6:21" ht="15" customHeight="1" x14ac:dyDescent="0.25">
      <c r="F489" s="80"/>
      <c r="O489" s="75"/>
      <c r="T489" s="78" t="str">
        <f t="shared" si="14"/>
        <v/>
      </c>
      <c r="U489" s="78" t="str">
        <f t="shared" ca="1" si="15"/>
        <v/>
      </c>
    </row>
    <row r="490" spans="6:21" ht="15" customHeight="1" x14ac:dyDescent="0.25">
      <c r="F490" s="80"/>
      <c r="M490" s="80"/>
      <c r="O490" s="75"/>
      <c r="T490" s="78" t="str">
        <f t="shared" si="14"/>
        <v/>
      </c>
      <c r="U490" s="78" t="str">
        <f t="shared" ca="1" si="15"/>
        <v/>
      </c>
    </row>
    <row r="491" spans="6:21" ht="15" customHeight="1" x14ac:dyDescent="0.25">
      <c r="F491" s="80"/>
      <c r="O491" s="75"/>
      <c r="T491" s="78" t="str">
        <f t="shared" si="14"/>
        <v/>
      </c>
      <c r="U491" s="78" t="str">
        <f t="shared" ca="1" si="15"/>
        <v/>
      </c>
    </row>
    <row r="492" spans="6:21" ht="15" customHeight="1" x14ac:dyDescent="0.25">
      <c r="F492" s="80"/>
      <c r="M492" s="80"/>
      <c r="O492" s="75"/>
      <c r="T492" s="78" t="str">
        <f t="shared" si="14"/>
        <v/>
      </c>
      <c r="U492" s="78" t="str">
        <f t="shared" ca="1" si="15"/>
        <v/>
      </c>
    </row>
    <row r="493" spans="6:21" ht="15" customHeight="1" x14ac:dyDescent="0.25">
      <c r="F493" s="80"/>
      <c r="M493" s="80"/>
      <c r="O493" s="75"/>
      <c r="T493" s="78" t="str">
        <f t="shared" si="14"/>
        <v/>
      </c>
      <c r="U493" s="78" t="str">
        <f t="shared" ca="1" si="15"/>
        <v/>
      </c>
    </row>
    <row r="494" spans="6:21" ht="15" customHeight="1" x14ac:dyDescent="0.25">
      <c r="F494" s="80"/>
      <c r="O494" s="75"/>
      <c r="T494" s="78" t="str">
        <f t="shared" si="14"/>
        <v/>
      </c>
      <c r="U494" s="78" t="str">
        <f t="shared" ca="1" si="15"/>
        <v/>
      </c>
    </row>
    <row r="495" spans="6:21" ht="15" customHeight="1" x14ac:dyDescent="0.25">
      <c r="F495" s="80"/>
      <c r="M495" s="80"/>
      <c r="O495" s="75"/>
      <c r="T495" s="78" t="str">
        <f t="shared" si="14"/>
        <v/>
      </c>
      <c r="U495" s="78" t="str">
        <f t="shared" ca="1" si="15"/>
        <v/>
      </c>
    </row>
    <row r="496" spans="6:21" ht="15" customHeight="1" x14ac:dyDescent="0.25">
      <c r="F496" s="80"/>
      <c r="M496" s="80"/>
      <c r="O496" s="75"/>
      <c r="T496" s="78" t="str">
        <f t="shared" si="14"/>
        <v/>
      </c>
      <c r="U496" s="78" t="str">
        <f t="shared" ca="1" si="15"/>
        <v/>
      </c>
    </row>
    <row r="497" spans="1:33" ht="15" customHeight="1" x14ac:dyDescent="0.25">
      <c r="F497" s="80"/>
      <c r="O497" s="75"/>
      <c r="T497" s="78" t="str">
        <f t="shared" si="14"/>
        <v/>
      </c>
      <c r="U497" s="78" t="str">
        <f t="shared" ca="1" si="15"/>
        <v/>
      </c>
    </row>
    <row r="498" spans="1:33" ht="15" customHeight="1" x14ac:dyDescent="0.25">
      <c r="F498" s="80"/>
      <c r="M498" s="80"/>
      <c r="O498" s="75"/>
      <c r="T498" s="78" t="str">
        <f t="shared" si="14"/>
        <v/>
      </c>
      <c r="U498" s="78" t="str">
        <f t="shared" ca="1" si="15"/>
        <v/>
      </c>
    </row>
    <row r="499" spans="1:33" ht="15" customHeight="1" x14ac:dyDescent="0.25">
      <c r="F499" s="80"/>
      <c r="M499" s="80"/>
      <c r="O499" s="75"/>
      <c r="T499" s="78" t="str">
        <f t="shared" si="14"/>
        <v/>
      </c>
      <c r="U499" s="78" t="str">
        <f t="shared" ca="1" si="15"/>
        <v/>
      </c>
    </row>
    <row r="500" spans="1:33" ht="15" customHeight="1" x14ac:dyDescent="0.25">
      <c r="F500" s="80"/>
      <c r="M500" s="80"/>
      <c r="O500" s="75"/>
      <c r="T500" s="78" t="str">
        <f t="shared" si="14"/>
        <v/>
      </c>
      <c r="U500" s="78" t="str">
        <f t="shared" ca="1" si="15"/>
        <v/>
      </c>
    </row>
    <row r="501" spans="1:33" ht="15" customHeight="1" x14ac:dyDescent="0.25">
      <c r="F501" s="80"/>
      <c r="O501" s="75"/>
      <c r="T501" s="78" t="str">
        <f t="shared" si="14"/>
        <v/>
      </c>
      <c r="U501" s="78" t="str">
        <f t="shared" ca="1" si="15"/>
        <v/>
      </c>
    </row>
    <row r="502" spans="1:33" ht="15" customHeight="1" x14ac:dyDescent="0.25">
      <c r="A502" s="75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9"/>
      <c r="W502" s="79"/>
      <c r="X502" s="79"/>
      <c r="Y502" s="79"/>
      <c r="Z502" s="79"/>
      <c r="AA502" s="79"/>
      <c r="AB502" s="79"/>
      <c r="AC502" s="79"/>
      <c r="AD502" s="79"/>
      <c r="AE502" s="79"/>
      <c r="AF502" s="79"/>
      <c r="AG502" s="79"/>
    </row>
    <row r="503" spans="1:33" ht="15" customHeight="1" x14ac:dyDescent="0.25">
      <c r="A503" s="75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9"/>
      <c r="W503" s="79"/>
      <c r="X503" s="79"/>
      <c r="Y503" s="79"/>
      <c r="Z503" s="79"/>
      <c r="AA503" s="79"/>
      <c r="AB503" s="79"/>
      <c r="AC503" s="79"/>
      <c r="AD503" s="79"/>
      <c r="AE503" s="79"/>
      <c r="AF503" s="79"/>
      <c r="AG503" s="79"/>
    </row>
    <row r="504" spans="1:33" ht="15" customHeight="1" x14ac:dyDescent="0.25">
      <c r="A504" s="75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9"/>
      <c r="W504" s="79"/>
      <c r="X504" s="79"/>
      <c r="Y504" s="79"/>
      <c r="Z504" s="79"/>
      <c r="AA504" s="79"/>
      <c r="AB504" s="79"/>
      <c r="AC504" s="79"/>
      <c r="AD504" s="79"/>
      <c r="AE504" s="79"/>
      <c r="AF504" s="79"/>
      <c r="AG504" s="79"/>
    </row>
    <row r="505" spans="1:33" ht="15" customHeight="1" x14ac:dyDescent="0.25">
      <c r="A505" s="75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9"/>
      <c r="W505" s="79"/>
      <c r="X505" s="79"/>
      <c r="Y505" s="79"/>
      <c r="Z505" s="79"/>
      <c r="AA505" s="79"/>
      <c r="AB505" s="79"/>
      <c r="AC505" s="79"/>
      <c r="AD505" s="79"/>
      <c r="AE505" s="79"/>
      <c r="AF505" s="79"/>
      <c r="AG505" s="79"/>
    </row>
    <row r="506" spans="1:33" ht="15" customHeight="1" x14ac:dyDescent="0.25">
      <c r="A506" s="75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9"/>
      <c r="W506" s="79"/>
      <c r="X506" s="79"/>
      <c r="Y506" s="79"/>
      <c r="Z506" s="79"/>
      <c r="AA506" s="79"/>
      <c r="AB506" s="79"/>
      <c r="AC506" s="79"/>
      <c r="AD506" s="79"/>
      <c r="AE506" s="79"/>
      <c r="AF506" s="79"/>
      <c r="AG506" s="79"/>
    </row>
    <row r="507" spans="1:33" ht="15" customHeight="1" x14ac:dyDescent="0.25">
      <c r="A507" s="75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9"/>
      <c r="W507" s="79"/>
      <c r="X507" s="79"/>
      <c r="Y507" s="79"/>
      <c r="Z507" s="79"/>
      <c r="AA507" s="79"/>
      <c r="AB507" s="79"/>
      <c r="AC507" s="79"/>
      <c r="AD507" s="79"/>
      <c r="AE507" s="79"/>
      <c r="AF507" s="79"/>
      <c r="AG507" s="79"/>
    </row>
    <row r="508" spans="1:33" ht="15" customHeight="1" x14ac:dyDescent="0.25">
      <c r="A508" s="75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9"/>
      <c r="W508" s="79"/>
      <c r="X508" s="79"/>
      <c r="Y508" s="79"/>
      <c r="Z508" s="79"/>
      <c r="AA508" s="79"/>
      <c r="AB508" s="79"/>
      <c r="AC508" s="79"/>
      <c r="AD508" s="79"/>
      <c r="AE508" s="79"/>
      <c r="AF508" s="79"/>
      <c r="AG508" s="79"/>
    </row>
    <row r="509" spans="1:33" ht="15" customHeight="1" x14ac:dyDescent="0.25">
      <c r="A509" s="75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9"/>
      <c r="W509" s="79"/>
      <c r="X509" s="79"/>
      <c r="Y509" s="79"/>
      <c r="Z509" s="79"/>
      <c r="AA509" s="79"/>
      <c r="AB509" s="79"/>
      <c r="AC509" s="79"/>
      <c r="AD509" s="79"/>
      <c r="AE509" s="79"/>
      <c r="AF509" s="79"/>
      <c r="AG509" s="79"/>
    </row>
    <row r="510" spans="1:33" ht="15" customHeight="1" x14ac:dyDescent="0.25">
      <c r="A510" s="75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9"/>
      <c r="W510" s="79"/>
      <c r="X510" s="79"/>
      <c r="Y510" s="79"/>
      <c r="Z510" s="79"/>
      <c r="AA510" s="79"/>
      <c r="AB510" s="79"/>
      <c r="AC510" s="79"/>
      <c r="AD510" s="79"/>
      <c r="AE510" s="79"/>
      <c r="AF510" s="79"/>
      <c r="AG510" s="79"/>
    </row>
    <row r="511" spans="1:33" ht="15" customHeight="1" x14ac:dyDescent="0.25">
      <c r="A511" s="75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9"/>
      <c r="W511" s="79"/>
      <c r="X511" s="79"/>
      <c r="Y511" s="79"/>
      <c r="Z511" s="79"/>
      <c r="AA511" s="79"/>
      <c r="AB511" s="79"/>
      <c r="AC511" s="79"/>
      <c r="AD511" s="79"/>
      <c r="AE511" s="79"/>
      <c r="AF511" s="79"/>
      <c r="AG511" s="79"/>
    </row>
    <row r="512" spans="1:33" ht="15" customHeight="1" x14ac:dyDescent="0.25">
      <c r="A512" s="75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9"/>
      <c r="W512" s="79"/>
      <c r="X512" s="79"/>
      <c r="Y512" s="79"/>
      <c r="Z512" s="79"/>
      <c r="AA512" s="79"/>
      <c r="AB512" s="79"/>
      <c r="AC512" s="79"/>
      <c r="AD512" s="79"/>
      <c r="AE512" s="79"/>
      <c r="AF512" s="79"/>
      <c r="AG512" s="79"/>
    </row>
    <row r="513" spans="1:21" s="79" customFormat="1" ht="15" customHeight="1" x14ac:dyDescent="0.25">
      <c r="A513" s="75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</row>
    <row r="514" spans="1:21" s="79" customFormat="1" ht="15" customHeight="1" x14ac:dyDescent="0.25">
      <c r="A514" s="75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</row>
    <row r="515" spans="1:21" s="79" customFormat="1" ht="15" customHeight="1" x14ac:dyDescent="0.25">
      <c r="A515" s="75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</row>
    <row r="516" spans="1:21" s="79" customFormat="1" ht="15" customHeight="1" x14ac:dyDescent="0.25">
      <c r="A516" s="75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</row>
    <row r="517" spans="1:21" s="79" customFormat="1" ht="15" customHeight="1" x14ac:dyDescent="0.25">
      <c r="A517" s="75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</row>
    <row r="518" spans="1:21" s="79" customFormat="1" ht="15" customHeight="1" x14ac:dyDescent="0.25">
      <c r="A518" s="75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</row>
    <row r="519" spans="1:21" s="79" customFormat="1" ht="15" customHeight="1" x14ac:dyDescent="0.25">
      <c r="A519" s="75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</row>
    <row r="520" spans="1:21" s="79" customFormat="1" ht="15" customHeight="1" x14ac:dyDescent="0.25">
      <c r="A520" s="75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</row>
    <row r="521" spans="1:21" s="79" customFormat="1" ht="15" customHeight="1" x14ac:dyDescent="0.25">
      <c r="A521" s="75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</row>
    <row r="522" spans="1:21" s="79" customFormat="1" ht="15" customHeight="1" x14ac:dyDescent="0.25">
      <c r="A522" s="75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</row>
    <row r="523" spans="1:21" s="79" customFormat="1" ht="15" customHeight="1" x14ac:dyDescent="0.25">
      <c r="A523" s="75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</row>
    <row r="524" spans="1:21" s="79" customFormat="1" ht="15" customHeight="1" x14ac:dyDescent="0.25">
      <c r="A524" s="75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</row>
    <row r="525" spans="1:21" s="79" customFormat="1" ht="15" customHeight="1" x14ac:dyDescent="0.25">
      <c r="A525" s="75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</row>
    <row r="526" spans="1:21" s="79" customFormat="1" ht="15" customHeight="1" x14ac:dyDescent="0.25">
      <c r="A526" s="75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</row>
    <row r="527" spans="1:21" s="79" customFormat="1" ht="15" customHeight="1" x14ac:dyDescent="0.25">
      <c r="A527" s="75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</row>
    <row r="528" spans="1:21" s="79" customFormat="1" ht="15" customHeight="1" x14ac:dyDescent="0.25">
      <c r="A528" s="75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</row>
    <row r="529" spans="1:21" s="79" customFormat="1" ht="15" customHeight="1" x14ac:dyDescent="0.25">
      <c r="A529" s="75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</row>
    <row r="530" spans="1:21" s="79" customFormat="1" ht="15" customHeight="1" x14ac:dyDescent="0.25">
      <c r="A530" s="75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</row>
    <row r="531" spans="1:21" s="79" customFormat="1" ht="15" customHeight="1" x14ac:dyDescent="0.25">
      <c r="A531" s="75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</row>
    <row r="532" spans="1:21" s="79" customFormat="1" ht="15" customHeight="1" x14ac:dyDescent="0.25">
      <c r="A532" s="75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</row>
    <row r="533" spans="1:21" s="79" customFormat="1" ht="15" customHeight="1" x14ac:dyDescent="0.25">
      <c r="A533" s="75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</row>
    <row r="534" spans="1:21" s="79" customFormat="1" ht="15" customHeight="1" x14ac:dyDescent="0.25">
      <c r="A534" s="75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</row>
    <row r="535" spans="1:21" s="79" customFormat="1" ht="15" customHeight="1" x14ac:dyDescent="0.25">
      <c r="A535" s="75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</row>
    <row r="536" spans="1:21" s="79" customFormat="1" ht="15" customHeight="1" x14ac:dyDescent="0.25">
      <c r="A536" s="75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</row>
    <row r="537" spans="1:21" s="79" customFormat="1" ht="15" customHeight="1" x14ac:dyDescent="0.25">
      <c r="A537" s="75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</row>
    <row r="538" spans="1:21" s="79" customFormat="1" ht="15" customHeight="1" x14ac:dyDescent="0.25">
      <c r="A538" s="75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</row>
    <row r="539" spans="1:21" s="79" customFormat="1" ht="15" customHeight="1" x14ac:dyDescent="0.25">
      <c r="A539" s="75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</row>
    <row r="540" spans="1:21" s="79" customFormat="1" ht="15" customHeight="1" x14ac:dyDescent="0.25">
      <c r="A540" s="75"/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</row>
    <row r="541" spans="1:21" s="79" customFormat="1" ht="15" customHeight="1" x14ac:dyDescent="0.25">
      <c r="A541" s="75"/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</row>
    <row r="542" spans="1:21" s="79" customFormat="1" ht="15" customHeight="1" x14ac:dyDescent="0.25">
      <c r="A542" s="75"/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</row>
    <row r="543" spans="1:21" s="79" customFormat="1" ht="15" customHeight="1" x14ac:dyDescent="0.25">
      <c r="A543" s="75"/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</row>
    <row r="544" spans="1:21" s="79" customFormat="1" ht="15" customHeight="1" x14ac:dyDescent="0.25">
      <c r="A544" s="75"/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</row>
    <row r="545" spans="1:21" s="79" customFormat="1" ht="15" customHeight="1" x14ac:dyDescent="0.25">
      <c r="A545" s="75"/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</row>
    <row r="546" spans="1:21" s="79" customFormat="1" ht="15" customHeight="1" x14ac:dyDescent="0.25">
      <c r="A546" s="75"/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</row>
    <row r="547" spans="1:21" s="79" customFormat="1" ht="15" customHeight="1" x14ac:dyDescent="0.25">
      <c r="A547" s="75"/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</row>
    <row r="548" spans="1:21" s="79" customFormat="1" ht="15" customHeight="1" x14ac:dyDescent="0.25">
      <c r="A548" s="75"/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</row>
    <row r="549" spans="1:21" s="79" customFormat="1" ht="15" customHeight="1" x14ac:dyDescent="0.25">
      <c r="A549" s="75"/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</row>
    <row r="550" spans="1:21" s="79" customFormat="1" ht="15" customHeight="1" x14ac:dyDescent="0.25">
      <c r="A550" s="75"/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</row>
    <row r="551" spans="1:21" s="79" customFormat="1" ht="15" customHeight="1" x14ac:dyDescent="0.25">
      <c r="A551" s="75"/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</row>
    <row r="552" spans="1:21" s="79" customFormat="1" ht="15" customHeight="1" x14ac:dyDescent="0.25">
      <c r="A552" s="75"/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</row>
    <row r="553" spans="1:21" s="79" customFormat="1" ht="15" customHeight="1" x14ac:dyDescent="0.25">
      <c r="A553" s="75"/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</row>
    <row r="554" spans="1:21" s="79" customFormat="1" ht="15" customHeight="1" x14ac:dyDescent="0.25">
      <c r="A554" s="75"/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</row>
    <row r="555" spans="1:21" s="79" customFormat="1" ht="15" customHeight="1" x14ac:dyDescent="0.25">
      <c r="A555" s="75"/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</row>
    <row r="556" spans="1:21" s="79" customFormat="1" ht="15" customHeight="1" x14ac:dyDescent="0.25">
      <c r="A556" s="75"/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</row>
    <row r="557" spans="1:21" s="79" customFormat="1" ht="15" customHeight="1" x14ac:dyDescent="0.25">
      <c r="A557" s="75"/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</row>
    <row r="558" spans="1:21" s="79" customFormat="1" ht="15" customHeight="1" x14ac:dyDescent="0.25">
      <c r="A558" s="75"/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</row>
    <row r="559" spans="1:21" s="79" customFormat="1" ht="15" customHeight="1" x14ac:dyDescent="0.25">
      <c r="A559" s="75"/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</row>
    <row r="560" spans="1:21" s="79" customFormat="1" ht="15" customHeight="1" x14ac:dyDescent="0.25">
      <c r="A560" s="75"/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</row>
    <row r="561" spans="1:21" s="79" customFormat="1" ht="15" customHeight="1" x14ac:dyDescent="0.25">
      <c r="A561" s="75"/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</row>
    <row r="562" spans="1:21" s="79" customFormat="1" ht="15" customHeight="1" x14ac:dyDescent="0.25">
      <c r="A562" s="75"/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</row>
    <row r="563" spans="1:21" s="79" customFormat="1" ht="15" customHeight="1" x14ac:dyDescent="0.25">
      <c r="A563" s="75"/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</row>
    <row r="564" spans="1:21" s="79" customFormat="1" ht="15" customHeight="1" x14ac:dyDescent="0.25">
      <c r="A564" s="75"/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</row>
    <row r="565" spans="1:21" s="79" customFormat="1" ht="15" customHeight="1" x14ac:dyDescent="0.25">
      <c r="A565" s="75"/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</row>
    <row r="566" spans="1:21" s="79" customFormat="1" ht="15" customHeight="1" x14ac:dyDescent="0.25">
      <c r="A566" s="75"/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</row>
    <row r="567" spans="1:21" s="79" customFormat="1" ht="15" customHeight="1" x14ac:dyDescent="0.25">
      <c r="A567" s="75"/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</row>
    <row r="568" spans="1:21" s="79" customFormat="1" ht="15" customHeight="1" x14ac:dyDescent="0.25">
      <c r="A568" s="75"/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</row>
    <row r="569" spans="1:21" s="79" customFormat="1" ht="15" customHeight="1" x14ac:dyDescent="0.25">
      <c r="A569" s="75"/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</row>
    <row r="570" spans="1:21" s="79" customFormat="1" ht="15" customHeight="1" x14ac:dyDescent="0.25">
      <c r="A570" s="75"/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</row>
    <row r="571" spans="1:21" s="79" customFormat="1" ht="15" customHeight="1" x14ac:dyDescent="0.25">
      <c r="A571" s="75"/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</row>
    <row r="572" spans="1:21" s="79" customFormat="1" ht="15" customHeight="1" x14ac:dyDescent="0.25">
      <c r="A572" s="75"/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</row>
    <row r="573" spans="1:21" s="79" customFormat="1" ht="15" customHeight="1" x14ac:dyDescent="0.25">
      <c r="A573" s="75"/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</row>
    <row r="574" spans="1:21" s="79" customFormat="1" ht="15" customHeight="1" x14ac:dyDescent="0.25">
      <c r="A574" s="75"/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</row>
    <row r="575" spans="1:21" s="79" customFormat="1" ht="15" customHeight="1" x14ac:dyDescent="0.25">
      <c r="A575" s="75"/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</row>
    <row r="576" spans="1:21" s="79" customFormat="1" ht="15" customHeight="1" x14ac:dyDescent="0.25">
      <c r="A576" s="75"/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</row>
    <row r="577" spans="1:21" s="79" customFormat="1" ht="15" customHeight="1" x14ac:dyDescent="0.25">
      <c r="A577" s="75"/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</row>
    <row r="578" spans="1:21" s="79" customFormat="1" ht="15" customHeight="1" x14ac:dyDescent="0.25">
      <c r="A578" s="75"/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</row>
    <row r="579" spans="1:21" s="79" customFormat="1" ht="15" customHeight="1" x14ac:dyDescent="0.25">
      <c r="A579" s="75"/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</row>
    <row r="580" spans="1:21" s="79" customFormat="1" ht="15" customHeight="1" x14ac:dyDescent="0.25">
      <c r="A580" s="75"/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</row>
    <row r="581" spans="1:21" s="79" customFormat="1" ht="15" customHeight="1" x14ac:dyDescent="0.25">
      <c r="A581" s="75"/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</row>
    <row r="582" spans="1:21" s="79" customFormat="1" ht="15" customHeight="1" x14ac:dyDescent="0.25">
      <c r="A582" s="75"/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</row>
    <row r="583" spans="1:21" s="79" customFormat="1" ht="15" customHeight="1" x14ac:dyDescent="0.25">
      <c r="A583" s="75"/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</row>
    <row r="584" spans="1:21" s="79" customFormat="1" ht="15" customHeight="1" x14ac:dyDescent="0.25">
      <c r="A584" s="75"/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</row>
    <row r="585" spans="1:21" s="79" customFormat="1" ht="15" customHeight="1" x14ac:dyDescent="0.25">
      <c r="A585" s="75"/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</row>
    <row r="586" spans="1:21" s="79" customFormat="1" ht="15" customHeight="1" x14ac:dyDescent="0.25">
      <c r="A586" s="75"/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</row>
    <row r="587" spans="1:21" s="79" customFormat="1" ht="15" customHeight="1" x14ac:dyDescent="0.25">
      <c r="A587" s="75"/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</row>
    <row r="588" spans="1:21" s="79" customFormat="1" ht="15" customHeight="1" x14ac:dyDescent="0.25">
      <c r="A588" s="75"/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</row>
    <row r="589" spans="1:21" s="79" customFormat="1" ht="15" customHeight="1" x14ac:dyDescent="0.25">
      <c r="A589" s="75"/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</row>
    <row r="590" spans="1:21" s="79" customFormat="1" ht="15" customHeight="1" x14ac:dyDescent="0.25">
      <c r="A590" s="75"/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</row>
    <row r="591" spans="1:21" s="79" customFormat="1" ht="15" customHeight="1" x14ac:dyDescent="0.25">
      <c r="A591" s="75"/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</row>
    <row r="592" spans="1:21" s="79" customFormat="1" ht="15" customHeight="1" x14ac:dyDescent="0.25">
      <c r="A592" s="75"/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</row>
    <row r="593" spans="1:21" s="79" customFormat="1" ht="15" customHeight="1" x14ac:dyDescent="0.25">
      <c r="A593" s="75"/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</row>
    <row r="594" spans="1:21" s="79" customFormat="1" ht="15" customHeight="1" x14ac:dyDescent="0.25">
      <c r="A594" s="75"/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</row>
    <row r="595" spans="1:21" s="79" customFormat="1" ht="15" customHeight="1" x14ac:dyDescent="0.25">
      <c r="A595" s="75"/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</row>
    <row r="596" spans="1:21" s="79" customFormat="1" ht="15" customHeight="1" x14ac:dyDescent="0.25">
      <c r="A596" s="75"/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</row>
    <row r="597" spans="1:21" s="79" customFormat="1" ht="15" customHeight="1" x14ac:dyDescent="0.25">
      <c r="A597" s="75"/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</row>
    <row r="598" spans="1:21" s="79" customFormat="1" ht="15" customHeight="1" x14ac:dyDescent="0.25">
      <c r="A598" s="75"/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</row>
    <row r="599" spans="1:21" s="79" customFormat="1" ht="15" customHeight="1" x14ac:dyDescent="0.25">
      <c r="A599" s="75"/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</row>
    <row r="600" spans="1:21" s="79" customFormat="1" ht="15" customHeight="1" x14ac:dyDescent="0.25">
      <c r="A600" s="75"/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</row>
    <row r="601" spans="1:21" s="79" customFormat="1" ht="15" customHeight="1" x14ac:dyDescent="0.25">
      <c r="A601" s="75"/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</row>
    <row r="602" spans="1:21" s="79" customFormat="1" ht="15" customHeight="1" x14ac:dyDescent="0.25">
      <c r="A602" s="75"/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</row>
    <row r="603" spans="1:21" s="79" customFormat="1" ht="15" customHeight="1" x14ac:dyDescent="0.25">
      <c r="A603" s="75"/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</row>
    <row r="604" spans="1:21" s="79" customFormat="1" ht="15" customHeight="1" x14ac:dyDescent="0.25">
      <c r="A604" s="75"/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</row>
    <row r="605" spans="1:21" s="79" customFormat="1" ht="15" customHeight="1" x14ac:dyDescent="0.25">
      <c r="A605" s="75"/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</row>
    <row r="606" spans="1:21" s="79" customFormat="1" ht="15" customHeight="1" x14ac:dyDescent="0.25">
      <c r="A606" s="75"/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</row>
    <row r="607" spans="1:21" s="79" customFormat="1" ht="15" customHeight="1" x14ac:dyDescent="0.25">
      <c r="A607" s="75"/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</row>
    <row r="608" spans="1:21" s="79" customFormat="1" ht="15" customHeight="1" x14ac:dyDescent="0.25">
      <c r="A608" s="75"/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</row>
    <row r="609" spans="1:21" s="79" customFormat="1" ht="15" customHeight="1" x14ac:dyDescent="0.25">
      <c r="A609" s="75"/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</row>
    <row r="610" spans="1:21" s="79" customFormat="1" ht="15" customHeight="1" x14ac:dyDescent="0.25">
      <c r="A610" s="75"/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</row>
    <row r="611" spans="1:21" s="79" customFormat="1" ht="15" customHeight="1" x14ac:dyDescent="0.25">
      <c r="A611" s="75"/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</row>
    <row r="612" spans="1:21" s="79" customFormat="1" ht="15" customHeight="1" x14ac:dyDescent="0.25">
      <c r="A612" s="75"/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</row>
    <row r="613" spans="1:21" s="79" customFormat="1" ht="15" customHeight="1" x14ac:dyDescent="0.25">
      <c r="A613" s="75"/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</row>
    <row r="614" spans="1:21" s="79" customFormat="1" ht="15" customHeight="1" x14ac:dyDescent="0.25">
      <c r="A614" s="75"/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</row>
    <row r="615" spans="1:21" s="79" customFormat="1" ht="15" customHeight="1" x14ac:dyDescent="0.25">
      <c r="A615" s="75"/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</row>
    <row r="616" spans="1:21" s="79" customFormat="1" ht="15" customHeight="1" x14ac:dyDescent="0.25">
      <c r="A616" s="75"/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</row>
    <row r="617" spans="1:21" s="79" customFormat="1" ht="15" customHeight="1" x14ac:dyDescent="0.25">
      <c r="A617" s="75"/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</row>
    <row r="618" spans="1:21" s="79" customFormat="1" ht="15" customHeight="1" x14ac:dyDescent="0.25">
      <c r="A618" s="75"/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</row>
    <row r="619" spans="1:21" s="79" customFormat="1" ht="15" customHeight="1" x14ac:dyDescent="0.25">
      <c r="A619" s="75"/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</row>
    <row r="620" spans="1:21" s="79" customFormat="1" ht="15" customHeight="1" x14ac:dyDescent="0.25">
      <c r="A620" s="75"/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</row>
    <row r="621" spans="1:21" s="79" customFormat="1" ht="15" customHeight="1" x14ac:dyDescent="0.25">
      <c r="A621" s="75"/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</row>
    <row r="622" spans="1:21" s="79" customFormat="1" ht="15" customHeight="1" x14ac:dyDescent="0.25">
      <c r="A622" s="75"/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</row>
    <row r="623" spans="1:21" s="79" customFormat="1" ht="15" customHeight="1" x14ac:dyDescent="0.25">
      <c r="A623" s="75"/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</row>
    <row r="624" spans="1:21" s="79" customFormat="1" ht="15" customHeight="1" x14ac:dyDescent="0.25">
      <c r="A624" s="75"/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</row>
    <row r="625" spans="1:21" s="79" customFormat="1" ht="15" customHeight="1" x14ac:dyDescent="0.25">
      <c r="A625" s="75"/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</row>
    <row r="626" spans="1:21" s="79" customFormat="1" ht="15" customHeight="1" x14ac:dyDescent="0.25">
      <c r="A626" s="75"/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</row>
    <row r="627" spans="1:21" s="79" customFormat="1" ht="15" customHeight="1" x14ac:dyDescent="0.25">
      <c r="A627" s="75"/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</row>
    <row r="628" spans="1:21" s="79" customFormat="1" ht="15" customHeight="1" x14ac:dyDescent="0.25">
      <c r="A628" s="75"/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</row>
    <row r="629" spans="1:21" s="79" customFormat="1" ht="15" customHeight="1" x14ac:dyDescent="0.25">
      <c r="A629" s="75"/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</row>
    <row r="630" spans="1:21" s="79" customFormat="1" ht="15" customHeight="1" x14ac:dyDescent="0.25">
      <c r="A630" s="75"/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</row>
    <row r="631" spans="1:21" s="79" customFormat="1" ht="15" customHeight="1" x14ac:dyDescent="0.25">
      <c r="A631" s="75"/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</row>
    <row r="632" spans="1:21" s="79" customFormat="1" ht="15" customHeight="1" x14ac:dyDescent="0.25">
      <c r="A632" s="75"/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</row>
    <row r="633" spans="1:21" s="79" customFormat="1" ht="15" customHeight="1" x14ac:dyDescent="0.25">
      <c r="A633" s="75"/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</row>
    <row r="634" spans="1:21" s="79" customFormat="1" ht="15" customHeight="1" x14ac:dyDescent="0.25">
      <c r="A634" s="75"/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</row>
    <row r="635" spans="1:21" s="79" customFormat="1" ht="15" customHeight="1" x14ac:dyDescent="0.25">
      <c r="A635" s="75"/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</row>
    <row r="636" spans="1:21" s="79" customFormat="1" ht="15" customHeight="1" x14ac:dyDescent="0.25">
      <c r="A636" s="75"/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</row>
    <row r="637" spans="1:21" s="79" customFormat="1" ht="15" customHeight="1" x14ac:dyDescent="0.25">
      <c r="A637" s="75"/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</row>
    <row r="638" spans="1:21" s="79" customFormat="1" ht="15" customHeight="1" x14ac:dyDescent="0.25">
      <c r="A638" s="75"/>
      <c r="B638" s="75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5"/>
      <c r="O638" s="75"/>
      <c r="P638" s="75"/>
      <c r="Q638" s="75"/>
      <c r="R638" s="75"/>
      <c r="S638" s="75"/>
      <c r="T638" s="75"/>
      <c r="U638" s="75"/>
    </row>
    <row r="639" spans="1:21" s="79" customFormat="1" ht="15" customHeight="1" x14ac:dyDescent="0.25">
      <c r="A639" s="75"/>
      <c r="B639" s="75"/>
      <c r="C639" s="75"/>
      <c r="D639" s="75"/>
      <c r="E639" s="75"/>
      <c r="F639" s="75"/>
      <c r="G639" s="75"/>
      <c r="H639" s="75"/>
      <c r="I639" s="75"/>
      <c r="J639" s="75"/>
      <c r="K639" s="75"/>
      <c r="L639" s="75"/>
      <c r="M639" s="75"/>
      <c r="N639" s="75"/>
      <c r="O639" s="75"/>
      <c r="P639" s="75"/>
      <c r="Q639" s="75"/>
      <c r="R639" s="75"/>
      <c r="S639" s="75"/>
      <c r="T639" s="75"/>
      <c r="U639" s="75"/>
    </row>
    <row r="640" spans="1:21" s="79" customFormat="1" ht="15" customHeight="1" x14ac:dyDescent="0.25">
      <c r="A640" s="75"/>
      <c r="B640" s="75"/>
      <c r="C640" s="75"/>
      <c r="D640" s="75"/>
      <c r="E640" s="75"/>
      <c r="F640" s="75"/>
      <c r="G640" s="75"/>
      <c r="H640" s="75"/>
      <c r="I640" s="75"/>
      <c r="J640" s="75"/>
      <c r="K640" s="75"/>
      <c r="L640" s="75"/>
      <c r="M640" s="75"/>
      <c r="N640" s="75"/>
      <c r="O640" s="75"/>
      <c r="P640" s="75"/>
      <c r="Q640" s="75"/>
      <c r="R640" s="75"/>
      <c r="S640" s="75"/>
      <c r="T640" s="75"/>
      <c r="U640" s="75"/>
    </row>
    <row r="641" spans="1:21" s="79" customFormat="1" ht="15" customHeight="1" x14ac:dyDescent="0.25">
      <c r="A641" s="75"/>
      <c r="B641" s="75"/>
      <c r="C641" s="75"/>
      <c r="D641" s="75"/>
      <c r="E641" s="75"/>
      <c r="F641" s="75"/>
      <c r="G641" s="75"/>
      <c r="H641" s="75"/>
      <c r="I641" s="75"/>
      <c r="J641" s="75"/>
      <c r="K641" s="75"/>
      <c r="L641" s="75"/>
      <c r="M641" s="75"/>
      <c r="N641" s="75"/>
      <c r="O641" s="75"/>
      <c r="P641" s="75"/>
      <c r="Q641" s="75"/>
      <c r="R641" s="75"/>
      <c r="S641" s="75"/>
      <c r="T641" s="75"/>
      <c r="U641" s="75"/>
    </row>
    <row r="642" spans="1:21" s="79" customFormat="1" ht="15" customHeight="1" x14ac:dyDescent="0.25">
      <c r="A642" s="75"/>
      <c r="B642" s="75"/>
      <c r="C642" s="75"/>
      <c r="D642" s="75"/>
      <c r="E642" s="75"/>
      <c r="F642" s="75"/>
      <c r="G642" s="75"/>
      <c r="H642" s="75"/>
      <c r="I642" s="75"/>
      <c r="J642" s="75"/>
      <c r="K642" s="75"/>
      <c r="L642" s="75"/>
      <c r="M642" s="75"/>
      <c r="N642" s="75"/>
      <c r="O642" s="75"/>
      <c r="P642" s="75"/>
      <c r="Q642" s="75"/>
      <c r="R642" s="75"/>
      <c r="S642" s="75"/>
      <c r="T642" s="75"/>
      <c r="U642" s="75"/>
    </row>
    <row r="643" spans="1:21" s="79" customFormat="1" ht="15" customHeight="1" x14ac:dyDescent="0.25">
      <c r="A643" s="75"/>
      <c r="B643" s="75"/>
      <c r="C643" s="75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5"/>
      <c r="T643" s="75"/>
      <c r="U643" s="75"/>
    </row>
    <row r="644" spans="1:21" s="79" customFormat="1" ht="15" customHeight="1" x14ac:dyDescent="0.25">
      <c r="A644" s="75"/>
      <c r="B644" s="75"/>
      <c r="C644" s="75"/>
      <c r="D644" s="75"/>
      <c r="E644" s="75"/>
      <c r="F644" s="75"/>
      <c r="G644" s="75"/>
      <c r="H644" s="75"/>
      <c r="I644" s="75"/>
      <c r="J644" s="75"/>
      <c r="K644" s="75"/>
      <c r="L644" s="75"/>
      <c r="M644" s="75"/>
      <c r="N644" s="75"/>
      <c r="O644" s="75"/>
      <c r="P644" s="75"/>
      <c r="Q644" s="75"/>
      <c r="R644" s="75"/>
      <c r="S644" s="75"/>
      <c r="T644" s="75"/>
      <c r="U644" s="75"/>
    </row>
    <row r="645" spans="1:21" s="79" customFormat="1" ht="15" customHeight="1" x14ac:dyDescent="0.25">
      <c r="A645" s="75"/>
      <c r="B645" s="75"/>
      <c r="C645" s="75"/>
      <c r="D645" s="75"/>
      <c r="E645" s="75"/>
      <c r="F645" s="75"/>
      <c r="G645" s="75"/>
      <c r="H645" s="75"/>
      <c r="I645" s="75"/>
      <c r="J645" s="75"/>
      <c r="K645" s="75"/>
      <c r="L645" s="75"/>
      <c r="M645" s="75"/>
      <c r="N645" s="75"/>
      <c r="O645" s="75"/>
      <c r="P645" s="75"/>
      <c r="Q645" s="75"/>
      <c r="R645" s="75"/>
      <c r="S645" s="75"/>
      <c r="T645" s="75"/>
      <c r="U645" s="75"/>
    </row>
    <row r="646" spans="1:21" s="79" customFormat="1" ht="15" customHeight="1" x14ac:dyDescent="0.25">
      <c r="A646" s="75"/>
      <c r="B646" s="75"/>
      <c r="C646" s="75"/>
      <c r="D646" s="75"/>
      <c r="E646" s="75"/>
      <c r="F646" s="75"/>
      <c r="G646" s="75"/>
      <c r="H646" s="75"/>
      <c r="I646" s="75"/>
      <c r="J646" s="75"/>
      <c r="K646" s="75"/>
      <c r="L646" s="75"/>
      <c r="M646" s="75"/>
      <c r="N646" s="75"/>
      <c r="O646" s="75"/>
      <c r="P646" s="75"/>
      <c r="Q646" s="75"/>
      <c r="R646" s="75"/>
      <c r="S646" s="75"/>
      <c r="T646" s="75"/>
      <c r="U646" s="75"/>
    </row>
    <row r="647" spans="1:21" s="79" customFormat="1" ht="15" customHeight="1" x14ac:dyDescent="0.25">
      <c r="A647" s="75"/>
      <c r="B647" s="75"/>
      <c r="C647" s="75"/>
      <c r="D647" s="75"/>
      <c r="E647" s="75"/>
      <c r="F647" s="75"/>
      <c r="G647" s="75"/>
      <c r="H647" s="75"/>
      <c r="I647" s="75"/>
      <c r="J647" s="75"/>
      <c r="K647" s="75"/>
      <c r="L647" s="75"/>
      <c r="M647" s="75"/>
      <c r="N647" s="75"/>
      <c r="O647" s="75"/>
      <c r="P647" s="75"/>
      <c r="Q647" s="75"/>
      <c r="R647" s="75"/>
      <c r="S647" s="75"/>
      <c r="T647" s="75"/>
      <c r="U647" s="75"/>
    </row>
    <row r="648" spans="1:21" s="79" customFormat="1" ht="15" customHeight="1" x14ac:dyDescent="0.25">
      <c r="A648" s="75"/>
      <c r="B648" s="75"/>
      <c r="C648" s="75"/>
      <c r="D648" s="75"/>
      <c r="E648" s="75"/>
      <c r="F648" s="75"/>
      <c r="G648" s="75"/>
      <c r="H648" s="75"/>
      <c r="I648" s="75"/>
      <c r="J648" s="75"/>
      <c r="K648" s="75"/>
      <c r="L648" s="75"/>
      <c r="M648" s="75"/>
      <c r="N648" s="75"/>
      <c r="O648" s="75"/>
      <c r="P648" s="75"/>
      <c r="Q648" s="75"/>
      <c r="R648" s="75"/>
      <c r="S648" s="75"/>
      <c r="T648" s="75"/>
      <c r="U648" s="75"/>
    </row>
    <row r="649" spans="1:21" s="79" customFormat="1" ht="15" customHeight="1" x14ac:dyDescent="0.25">
      <c r="A649" s="75"/>
      <c r="B649" s="75"/>
      <c r="C649" s="75"/>
      <c r="D649" s="75"/>
      <c r="E649" s="75"/>
      <c r="F649" s="75"/>
      <c r="G649" s="75"/>
      <c r="H649" s="75"/>
      <c r="I649" s="75"/>
      <c r="J649" s="75"/>
      <c r="K649" s="75"/>
      <c r="L649" s="75"/>
      <c r="M649" s="75"/>
      <c r="N649" s="75"/>
      <c r="O649" s="75"/>
      <c r="P649" s="75"/>
      <c r="Q649" s="75"/>
      <c r="R649" s="75"/>
      <c r="S649" s="75"/>
      <c r="T649" s="75"/>
      <c r="U649" s="75"/>
    </row>
    <row r="650" spans="1:21" s="79" customFormat="1" ht="15" customHeight="1" x14ac:dyDescent="0.25">
      <c r="A650" s="75"/>
      <c r="B650" s="75"/>
      <c r="C650" s="75"/>
      <c r="D650" s="75"/>
      <c r="E650" s="75"/>
      <c r="F650" s="75"/>
      <c r="G650" s="75"/>
      <c r="H650" s="75"/>
      <c r="I650" s="75"/>
      <c r="J650" s="75"/>
      <c r="K650" s="75"/>
      <c r="L650" s="75"/>
      <c r="M650" s="75"/>
      <c r="N650" s="75"/>
      <c r="O650" s="75"/>
      <c r="P650" s="75"/>
      <c r="Q650" s="75"/>
      <c r="R650" s="75"/>
      <c r="S650" s="75"/>
      <c r="T650" s="75"/>
      <c r="U650" s="75"/>
    </row>
    <row r="651" spans="1:21" s="79" customFormat="1" ht="15" customHeight="1" x14ac:dyDescent="0.25">
      <c r="A651" s="75"/>
      <c r="B651" s="75"/>
      <c r="C651" s="75"/>
      <c r="D651" s="75"/>
      <c r="E651" s="75"/>
      <c r="F651" s="75"/>
      <c r="G651" s="75"/>
      <c r="H651" s="75"/>
      <c r="I651" s="75"/>
      <c r="J651" s="75"/>
      <c r="K651" s="75"/>
      <c r="L651" s="75"/>
      <c r="M651" s="75"/>
      <c r="N651" s="75"/>
      <c r="O651" s="75"/>
      <c r="P651" s="75"/>
      <c r="Q651" s="75"/>
      <c r="R651" s="75"/>
      <c r="S651" s="75"/>
      <c r="T651" s="75"/>
      <c r="U651" s="75"/>
    </row>
    <row r="652" spans="1:21" s="79" customFormat="1" ht="15" customHeight="1" x14ac:dyDescent="0.25">
      <c r="A652" s="75"/>
      <c r="B652" s="75"/>
      <c r="C652" s="75"/>
      <c r="D652" s="75"/>
      <c r="E652" s="75"/>
      <c r="F652" s="75"/>
      <c r="G652" s="75"/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75"/>
      <c r="S652" s="75"/>
      <c r="T652" s="75"/>
      <c r="U652" s="75"/>
    </row>
    <row r="653" spans="1:21" s="79" customFormat="1" ht="15" customHeight="1" x14ac:dyDescent="0.25">
      <c r="A653" s="75"/>
      <c r="B653" s="75"/>
      <c r="C653" s="75"/>
      <c r="D653" s="75"/>
      <c r="E653" s="75"/>
      <c r="F653" s="75"/>
      <c r="G653" s="75"/>
      <c r="H653" s="75"/>
      <c r="I653" s="75"/>
      <c r="J653" s="75"/>
      <c r="K653" s="75"/>
      <c r="L653" s="75"/>
      <c r="M653" s="75"/>
      <c r="N653" s="75"/>
      <c r="O653" s="75"/>
      <c r="P653" s="75"/>
      <c r="Q653" s="75"/>
      <c r="R653" s="75"/>
      <c r="S653" s="75"/>
      <c r="T653" s="75"/>
      <c r="U653" s="75"/>
    </row>
    <row r="654" spans="1:21" s="79" customFormat="1" ht="15" customHeight="1" x14ac:dyDescent="0.25">
      <c r="A654" s="75"/>
      <c r="B654" s="75"/>
      <c r="C654" s="75"/>
      <c r="D654" s="75"/>
      <c r="E654" s="75"/>
      <c r="F654" s="75"/>
      <c r="G654" s="75"/>
      <c r="H654" s="75"/>
      <c r="I654" s="75"/>
      <c r="J654" s="75"/>
      <c r="K654" s="75"/>
      <c r="L654" s="75"/>
      <c r="M654" s="75"/>
      <c r="N654" s="75"/>
      <c r="O654" s="75"/>
      <c r="P654" s="75"/>
      <c r="Q654" s="75"/>
      <c r="R654" s="75"/>
      <c r="S654" s="75"/>
      <c r="T654" s="75"/>
      <c r="U654" s="75"/>
    </row>
    <row r="655" spans="1:21" s="79" customFormat="1" ht="15" customHeight="1" x14ac:dyDescent="0.25">
      <c r="A655" s="75"/>
      <c r="B655" s="75"/>
      <c r="C655" s="75"/>
      <c r="D655" s="75"/>
      <c r="E655" s="75"/>
      <c r="F655" s="75"/>
      <c r="G655" s="75"/>
      <c r="H655" s="75"/>
      <c r="I655" s="75"/>
      <c r="J655" s="75"/>
      <c r="K655" s="75"/>
      <c r="L655" s="75"/>
      <c r="M655" s="75"/>
      <c r="N655" s="75"/>
      <c r="O655" s="75"/>
      <c r="P655" s="75"/>
      <c r="Q655" s="75"/>
      <c r="R655" s="75"/>
      <c r="S655" s="75"/>
      <c r="T655" s="75"/>
      <c r="U655" s="75"/>
    </row>
    <row r="656" spans="1:21" s="79" customFormat="1" ht="15" customHeight="1" x14ac:dyDescent="0.25">
      <c r="A656" s="75"/>
      <c r="B656" s="75"/>
      <c r="C656" s="75"/>
      <c r="D656" s="75"/>
      <c r="E656" s="75"/>
      <c r="F656" s="75"/>
      <c r="G656" s="75"/>
      <c r="H656" s="75"/>
      <c r="I656" s="75"/>
      <c r="J656" s="75"/>
      <c r="K656" s="75"/>
      <c r="L656" s="75"/>
      <c r="M656" s="75"/>
      <c r="N656" s="75"/>
      <c r="O656" s="75"/>
      <c r="P656" s="75"/>
      <c r="Q656" s="75"/>
      <c r="R656" s="75"/>
      <c r="S656" s="75"/>
      <c r="T656" s="75"/>
      <c r="U656" s="75"/>
    </row>
    <row r="657" spans="1:21" s="79" customFormat="1" ht="15" customHeight="1" x14ac:dyDescent="0.25">
      <c r="A657" s="75"/>
      <c r="B657" s="75"/>
      <c r="C657" s="75"/>
      <c r="D657" s="75"/>
      <c r="E657" s="75"/>
      <c r="F657" s="75"/>
      <c r="G657" s="75"/>
      <c r="H657" s="75"/>
      <c r="I657" s="75"/>
      <c r="J657" s="75"/>
      <c r="K657" s="75"/>
      <c r="L657" s="75"/>
      <c r="M657" s="75"/>
      <c r="N657" s="75"/>
      <c r="O657" s="75"/>
      <c r="P657" s="75"/>
      <c r="Q657" s="75"/>
      <c r="R657" s="75"/>
      <c r="S657" s="75"/>
      <c r="T657" s="75"/>
      <c r="U657" s="75"/>
    </row>
    <row r="658" spans="1:21" s="79" customFormat="1" ht="15" customHeight="1" x14ac:dyDescent="0.25">
      <c r="A658" s="75"/>
      <c r="B658" s="75"/>
      <c r="C658" s="75"/>
      <c r="D658" s="75"/>
      <c r="E658" s="75"/>
      <c r="F658" s="75"/>
      <c r="G658" s="75"/>
      <c r="H658" s="75"/>
      <c r="I658" s="75"/>
      <c r="J658" s="75"/>
      <c r="K658" s="75"/>
      <c r="L658" s="75"/>
      <c r="M658" s="75"/>
      <c r="N658" s="75"/>
      <c r="O658" s="75"/>
      <c r="P658" s="75"/>
      <c r="Q658" s="75"/>
      <c r="R658" s="75"/>
      <c r="S658" s="75"/>
      <c r="T658" s="75"/>
      <c r="U658" s="75"/>
    </row>
    <row r="659" spans="1:21" s="79" customFormat="1" ht="15" customHeight="1" x14ac:dyDescent="0.25">
      <c r="A659" s="75"/>
      <c r="B659" s="75"/>
      <c r="C659" s="75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5"/>
      <c r="T659" s="75"/>
      <c r="U659" s="75"/>
    </row>
    <row r="660" spans="1:21" s="79" customFormat="1" ht="15" customHeight="1" x14ac:dyDescent="0.25">
      <c r="A660" s="75"/>
      <c r="B660" s="75"/>
      <c r="C660" s="75"/>
      <c r="D660" s="75"/>
      <c r="E660" s="75"/>
      <c r="F660" s="75"/>
      <c r="G660" s="75"/>
      <c r="H660" s="75"/>
      <c r="I660" s="75"/>
      <c r="J660" s="75"/>
      <c r="K660" s="75"/>
      <c r="L660" s="75"/>
      <c r="M660" s="75"/>
      <c r="N660" s="75"/>
      <c r="O660" s="75"/>
      <c r="P660" s="75"/>
      <c r="Q660" s="75"/>
      <c r="R660" s="75"/>
      <c r="S660" s="75"/>
      <c r="T660" s="75"/>
      <c r="U660" s="75"/>
    </row>
    <row r="661" spans="1:21" s="79" customFormat="1" ht="15" customHeight="1" x14ac:dyDescent="0.25">
      <c r="A661" s="75"/>
      <c r="B661" s="75"/>
      <c r="C661" s="75"/>
      <c r="D661" s="75"/>
      <c r="E661" s="75"/>
      <c r="F661" s="75"/>
      <c r="G661" s="75"/>
      <c r="H661" s="75"/>
      <c r="I661" s="75"/>
      <c r="J661" s="75"/>
      <c r="K661" s="75"/>
      <c r="L661" s="75"/>
      <c r="M661" s="75"/>
      <c r="N661" s="75"/>
      <c r="O661" s="75"/>
      <c r="P661" s="75"/>
      <c r="Q661" s="75"/>
      <c r="R661" s="75"/>
      <c r="S661" s="75"/>
      <c r="T661" s="75"/>
      <c r="U661" s="75"/>
    </row>
    <row r="662" spans="1:21" s="79" customFormat="1" ht="15" customHeight="1" x14ac:dyDescent="0.25">
      <c r="A662" s="75"/>
      <c r="B662" s="75"/>
      <c r="C662" s="75"/>
      <c r="D662" s="75"/>
      <c r="E662" s="75"/>
      <c r="F662" s="75"/>
      <c r="G662" s="75"/>
      <c r="H662" s="75"/>
      <c r="I662" s="75"/>
      <c r="J662" s="75"/>
      <c r="K662" s="75"/>
      <c r="L662" s="75"/>
      <c r="M662" s="75"/>
      <c r="N662" s="75"/>
      <c r="O662" s="75"/>
      <c r="P662" s="75"/>
      <c r="Q662" s="75"/>
      <c r="R662" s="75"/>
      <c r="S662" s="75"/>
      <c r="T662" s="75"/>
      <c r="U662" s="75"/>
    </row>
    <row r="663" spans="1:21" s="79" customFormat="1" ht="15" customHeight="1" x14ac:dyDescent="0.25">
      <c r="A663" s="75"/>
      <c r="B663" s="75"/>
      <c r="C663" s="75"/>
      <c r="D663" s="75"/>
      <c r="E663" s="75"/>
      <c r="F663" s="75"/>
      <c r="G663" s="75"/>
      <c r="H663" s="75"/>
      <c r="I663" s="75"/>
      <c r="J663" s="75"/>
      <c r="K663" s="75"/>
      <c r="L663" s="75"/>
      <c r="M663" s="75"/>
      <c r="N663" s="75"/>
      <c r="O663" s="75"/>
      <c r="P663" s="75"/>
      <c r="Q663" s="75"/>
      <c r="R663" s="75"/>
      <c r="S663" s="75"/>
      <c r="T663" s="75"/>
      <c r="U663" s="75"/>
    </row>
    <row r="664" spans="1:21" s="79" customFormat="1" ht="15" customHeight="1" x14ac:dyDescent="0.25">
      <c r="A664" s="75"/>
      <c r="B664" s="75"/>
      <c r="C664" s="75"/>
      <c r="D664" s="75"/>
      <c r="E664" s="75"/>
      <c r="F664" s="75"/>
      <c r="G664" s="75"/>
      <c r="H664" s="75"/>
      <c r="I664" s="75"/>
      <c r="J664" s="75"/>
      <c r="K664" s="75"/>
      <c r="L664" s="75"/>
      <c r="M664" s="75"/>
      <c r="N664" s="75"/>
      <c r="O664" s="75"/>
      <c r="P664" s="75"/>
      <c r="Q664" s="75"/>
      <c r="R664" s="75"/>
      <c r="S664" s="75"/>
      <c r="T664" s="75"/>
      <c r="U664" s="75"/>
    </row>
    <row r="665" spans="1:21" s="79" customFormat="1" ht="15" customHeight="1" x14ac:dyDescent="0.25">
      <c r="A665" s="75"/>
      <c r="B665" s="75"/>
      <c r="C665" s="75"/>
      <c r="D665" s="75"/>
      <c r="E665" s="75"/>
      <c r="F665" s="75"/>
      <c r="G665" s="75"/>
      <c r="H665" s="75"/>
      <c r="I665" s="75"/>
      <c r="J665" s="75"/>
      <c r="K665" s="75"/>
      <c r="L665" s="75"/>
      <c r="M665" s="75"/>
      <c r="N665" s="75"/>
      <c r="O665" s="75"/>
      <c r="P665" s="75"/>
      <c r="Q665" s="75"/>
      <c r="R665" s="75"/>
      <c r="S665" s="75"/>
      <c r="T665" s="75"/>
      <c r="U665" s="75"/>
    </row>
    <row r="666" spans="1:21" s="79" customFormat="1" ht="15" customHeight="1" x14ac:dyDescent="0.25">
      <c r="A666" s="75"/>
      <c r="B666" s="75"/>
      <c r="C666" s="75"/>
      <c r="D666" s="75"/>
      <c r="E666" s="75"/>
      <c r="F666" s="75"/>
      <c r="G666" s="75"/>
      <c r="H666" s="75"/>
      <c r="I666" s="75"/>
      <c r="J666" s="75"/>
      <c r="K666" s="75"/>
      <c r="L666" s="75"/>
      <c r="M666" s="75"/>
      <c r="N666" s="75"/>
      <c r="O666" s="75"/>
      <c r="P666" s="75"/>
      <c r="Q666" s="75"/>
      <c r="R666" s="75"/>
      <c r="S666" s="75"/>
      <c r="T666" s="75"/>
      <c r="U666" s="75"/>
    </row>
    <row r="667" spans="1:21" s="79" customFormat="1" ht="15" customHeight="1" x14ac:dyDescent="0.25">
      <c r="A667" s="75"/>
      <c r="B667" s="75"/>
      <c r="C667" s="75"/>
      <c r="D667" s="75"/>
      <c r="E667" s="75"/>
      <c r="F667" s="75"/>
      <c r="G667" s="75"/>
      <c r="H667" s="75"/>
      <c r="I667" s="75"/>
      <c r="J667" s="75"/>
      <c r="K667" s="75"/>
      <c r="L667" s="75"/>
      <c r="M667" s="75"/>
      <c r="N667" s="75"/>
      <c r="O667" s="75"/>
      <c r="P667" s="75"/>
      <c r="Q667" s="75"/>
      <c r="R667" s="75"/>
      <c r="S667" s="75"/>
      <c r="T667" s="75"/>
      <c r="U667" s="75"/>
    </row>
    <row r="668" spans="1:21" s="79" customFormat="1" ht="15" customHeight="1" x14ac:dyDescent="0.25">
      <c r="A668" s="75"/>
      <c r="B668" s="75"/>
      <c r="C668" s="75"/>
      <c r="D668" s="75"/>
      <c r="E668" s="75"/>
      <c r="F668" s="75"/>
      <c r="G668" s="75"/>
      <c r="H668" s="75"/>
      <c r="I668" s="75"/>
      <c r="J668" s="75"/>
      <c r="K668" s="75"/>
      <c r="L668" s="75"/>
      <c r="M668" s="75"/>
      <c r="N668" s="75"/>
      <c r="O668" s="75"/>
      <c r="P668" s="75"/>
      <c r="Q668" s="75"/>
      <c r="R668" s="75"/>
      <c r="S668" s="75"/>
      <c r="T668" s="75"/>
      <c r="U668" s="75"/>
    </row>
    <row r="669" spans="1:21" s="79" customFormat="1" ht="15" customHeight="1" x14ac:dyDescent="0.25">
      <c r="A669" s="75"/>
      <c r="B669" s="75"/>
      <c r="C669" s="75"/>
      <c r="D669" s="75"/>
      <c r="E669" s="75"/>
      <c r="F669" s="75"/>
      <c r="G669" s="75"/>
      <c r="H669" s="75"/>
      <c r="I669" s="75"/>
      <c r="J669" s="75"/>
      <c r="K669" s="75"/>
      <c r="L669" s="75"/>
      <c r="M669" s="75"/>
      <c r="N669" s="75"/>
      <c r="O669" s="75"/>
      <c r="P669" s="75"/>
      <c r="Q669" s="75"/>
      <c r="R669" s="75"/>
      <c r="S669" s="75"/>
      <c r="T669" s="75"/>
      <c r="U669" s="75"/>
    </row>
    <row r="670" spans="1:21" s="79" customFormat="1" ht="15" customHeight="1" x14ac:dyDescent="0.25">
      <c r="A670" s="75"/>
      <c r="B670" s="75"/>
      <c r="C670" s="75"/>
      <c r="D670" s="75"/>
      <c r="E670" s="75"/>
      <c r="F670" s="75"/>
      <c r="G670" s="75"/>
      <c r="H670" s="75"/>
      <c r="I670" s="75"/>
      <c r="J670" s="75"/>
      <c r="K670" s="75"/>
      <c r="L670" s="75"/>
      <c r="M670" s="75"/>
      <c r="N670" s="75"/>
      <c r="O670" s="75"/>
      <c r="P670" s="75"/>
      <c r="Q670" s="75"/>
      <c r="R670" s="75"/>
      <c r="S670" s="75"/>
      <c r="T670" s="75"/>
      <c r="U670" s="75"/>
    </row>
    <row r="671" spans="1:21" s="79" customFormat="1" ht="15" customHeight="1" x14ac:dyDescent="0.25">
      <c r="A671" s="75"/>
      <c r="B671" s="75"/>
      <c r="C671" s="75"/>
      <c r="D671" s="75"/>
      <c r="E671" s="75"/>
      <c r="F671" s="75"/>
      <c r="G671" s="75"/>
      <c r="H671" s="75"/>
      <c r="I671" s="75"/>
      <c r="J671" s="75"/>
      <c r="K671" s="75"/>
      <c r="L671" s="75"/>
      <c r="M671" s="75"/>
      <c r="N671" s="75"/>
      <c r="O671" s="75"/>
      <c r="P671" s="75"/>
      <c r="Q671" s="75"/>
      <c r="R671" s="75"/>
      <c r="S671" s="75"/>
      <c r="T671" s="75"/>
      <c r="U671" s="75"/>
    </row>
    <row r="672" spans="1:21" s="79" customFormat="1" ht="15" customHeight="1" x14ac:dyDescent="0.25">
      <c r="A672" s="75"/>
      <c r="B672" s="75"/>
      <c r="C672" s="75"/>
      <c r="D672" s="75"/>
      <c r="E672" s="75"/>
      <c r="F672" s="75"/>
      <c r="G672" s="75"/>
      <c r="H672" s="75"/>
      <c r="I672" s="75"/>
      <c r="J672" s="75"/>
      <c r="K672" s="75"/>
      <c r="L672" s="75"/>
      <c r="M672" s="75"/>
      <c r="N672" s="75"/>
      <c r="O672" s="75"/>
      <c r="P672" s="75"/>
      <c r="Q672" s="75"/>
      <c r="R672" s="75"/>
      <c r="S672" s="75"/>
      <c r="T672" s="75"/>
      <c r="U672" s="75"/>
    </row>
    <row r="673" spans="1:21" s="79" customFormat="1" ht="15" customHeight="1" x14ac:dyDescent="0.25">
      <c r="A673" s="75"/>
      <c r="B673" s="75"/>
      <c r="C673" s="75"/>
      <c r="D673" s="75"/>
      <c r="E673" s="75"/>
      <c r="F673" s="75"/>
      <c r="G673" s="75"/>
      <c r="H673" s="75"/>
      <c r="I673" s="75"/>
      <c r="J673" s="75"/>
      <c r="K673" s="75"/>
      <c r="L673" s="75"/>
      <c r="M673" s="75"/>
      <c r="N673" s="75"/>
      <c r="O673" s="75"/>
      <c r="P673" s="75"/>
      <c r="Q673" s="75"/>
      <c r="R673" s="75"/>
      <c r="S673" s="75"/>
      <c r="T673" s="75"/>
      <c r="U673" s="75"/>
    </row>
    <row r="674" spans="1:21" s="79" customFormat="1" ht="15" customHeight="1" x14ac:dyDescent="0.25">
      <c r="A674" s="75"/>
      <c r="B674" s="75"/>
      <c r="C674" s="75"/>
      <c r="D674" s="75"/>
      <c r="E674" s="75"/>
      <c r="F674" s="75"/>
      <c r="G674" s="75"/>
      <c r="H674" s="75"/>
      <c r="I674" s="75"/>
      <c r="J674" s="75"/>
      <c r="K674" s="75"/>
      <c r="L674" s="75"/>
      <c r="M674" s="75"/>
      <c r="N674" s="75"/>
      <c r="O674" s="75"/>
      <c r="P674" s="75"/>
      <c r="Q674" s="75"/>
      <c r="R674" s="75"/>
      <c r="S674" s="75"/>
      <c r="T674" s="75"/>
      <c r="U674" s="75"/>
    </row>
    <row r="675" spans="1:21" s="79" customFormat="1" ht="15" customHeight="1" x14ac:dyDescent="0.25">
      <c r="A675" s="75"/>
      <c r="B675" s="75"/>
      <c r="C675" s="75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5"/>
      <c r="T675" s="75"/>
      <c r="U675" s="75"/>
    </row>
    <row r="676" spans="1:21" s="79" customFormat="1" ht="15" customHeight="1" x14ac:dyDescent="0.25">
      <c r="A676" s="75"/>
      <c r="B676" s="75"/>
      <c r="C676" s="75"/>
      <c r="D676" s="75"/>
      <c r="E676" s="75"/>
      <c r="F676" s="75"/>
      <c r="G676" s="75"/>
      <c r="H676" s="75"/>
      <c r="I676" s="75"/>
      <c r="J676" s="75"/>
      <c r="K676" s="75"/>
      <c r="L676" s="75"/>
      <c r="M676" s="75"/>
      <c r="N676" s="75"/>
      <c r="O676" s="75"/>
      <c r="P676" s="75"/>
      <c r="Q676" s="75"/>
      <c r="R676" s="75"/>
      <c r="S676" s="75"/>
      <c r="T676" s="75"/>
      <c r="U676" s="75"/>
    </row>
    <row r="677" spans="1:21" s="79" customFormat="1" ht="15" customHeight="1" x14ac:dyDescent="0.25">
      <c r="A677" s="75"/>
      <c r="B677" s="75"/>
      <c r="C677" s="75"/>
      <c r="D677" s="75"/>
      <c r="E677" s="75"/>
      <c r="F677" s="75"/>
      <c r="G677" s="75"/>
      <c r="H677" s="75"/>
      <c r="I677" s="75"/>
      <c r="J677" s="75"/>
      <c r="K677" s="75"/>
      <c r="L677" s="75"/>
      <c r="M677" s="75"/>
      <c r="N677" s="75"/>
      <c r="O677" s="75"/>
      <c r="P677" s="75"/>
      <c r="Q677" s="75"/>
      <c r="R677" s="75"/>
      <c r="S677" s="75"/>
      <c r="T677" s="75"/>
      <c r="U677" s="75"/>
    </row>
    <row r="678" spans="1:21" s="79" customFormat="1" ht="15" customHeight="1" x14ac:dyDescent="0.25">
      <c r="A678" s="75"/>
      <c r="B678" s="75"/>
      <c r="C678" s="75"/>
      <c r="D678" s="75"/>
      <c r="E678" s="75"/>
      <c r="F678" s="75"/>
      <c r="G678" s="75"/>
      <c r="H678" s="75"/>
      <c r="I678" s="75"/>
      <c r="J678" s="75"/>
      <c r="K678" s="75"/>
      <c r="L678" s="75"/>
      <c r="M678" s="75"/>
      <c r="N678" s="75"/>
      <c r="O678" s="75"/>
      <c r="P678" s="75"/>
      <c r="Q678" s="75"/>
      <c r="R678" s="75"/>
      <c r="S678" s="75"/>
      <c r="T678" s="75"/>
      <c r="U678" s="75"/>
    </row>
    <row r="679" spans="1:21" s="79" customFormat="1" ht="15" customHeight="1" x14ac:dyDescent="0.25">
      <c r="A679" s="75"/>
      <c r="B679" s="75"/>
      <c r="C679" s="75"/>
      <c r="D679" s="75"/>
      <c r="E679" s="75"/>
      <c r="F679" s="75"/>
      <c r="G679" s="75"/>
      <c r="H679" s="75"/>
      <c r="I679" s="75"/>
      <c r="J679" s="75"/>
      <c r="K679" s="75"/>
      <c r="L679" s="75"/>
      <c r="M679" s="75"/>
      <c r="N679" s="75"/>
      <c r="O679" s="75"/>
      <c r="P679" s="75"/>
      <c r="Q679" s="75"/>
      <c r="R679" s="75"/>
      <c r="S679" s="75"/>
      <c r="T679" s="75"/>
      <c r="U679" s="75"/>
    </row>
    <row r="680" spans="1:21" s="79" customFormat="1" ht="15" customHeight="1" x14ac:dyDescent="0.25">
      <c r="A680" s="75"/>
      <c r="B680" s="75"/>
      <c r="C680" s="75"/>
      <c r="D680" s="75"/>
      <c r="E680" s="75"/>
      <c r="F680" s="75"/>
      <c r="G680" s="75"/>
      <c r="H680" s="75"/>
      <c r="I680" s="75"/>
      <c r="J680" s="75"/>
      <c r="K680" s="75"/>
      <c r="L680" s="75"/>
      <c r="M680" s="75"/>
      <c r="N680" s="75"/>
      <c r="O680" s="75"/>
      <c r="P680" s="75"/>
      <c r="Q680" s="75"/>
      <c r="R680" s="75"/>
      <c r="S680" s="75"/>
      <c r="T680" s="75"/>
      <c r="U680" s="75"/>
    </row>
    <row r="681" spans="1:21" s="79" customFormat="1" ht="15" customHeight="1" x14ac:dyDescent="0.25">
      <c r="A681" s="75"/>
      <c r="B681" s="75"/>
      <c r="C681" s="75"/>
      <c r="D681" s="75"/>
      <c r="E681" s="75"/>
      <c r="F681" s="75"/>
      <c r="G681" s="75"/>
      <c r="H681" s="75"/>
      <c r="I681" s="75"/>
      <c r="J681" s="75"/>
      <c r="K681" s="75"/>
      <c r="L681" s="75"/>
      <c r="M681" s="75"/>
      <c r="N681" s="75"/>
      <c r="O681" s="75"/>
      <c r="P681" s="75"/>
      <c r="Q681" s="75"/>
      <c r="R681" s="75"/>
      <c r="S681" s="75"/>
      <c r="T681" s="75"/>
      <c r="U681" s="75"/>
    </row>
    <row r="682" spans="1:21" s="79" customFormat="1" ht="15" customHeight="1" x14ac:dyDescent="0.25">
      <c r="A682" s="75"/>
      <c r="B682" s="75"/>
      <c r="C682" s="75"/>
      <c r="D682" s="75"/>
      <c r="E682" s="75"/>
      <c r="F682" s="75"/>
      <c r="G682" s="75"/>
      <c r="H682" s="75"/>
      <c r="I682" s="75"/>
      <c r="J682" s="75"/>
      <c r="K682" s="75"/>
      <c r="L682" s="75"/>
      <c r="M682" s="75"/>
      <c r="N682" s="75"/>
      <c r="O682" s="75"/>
      <c r="P682" s="75"/>
      <c r="Q682" s="75"/>
      <c r="R682" s="75"/>
      <c r="S682" s="75"/>
      <c r="T682" s="75"/>
      <c r="U682" s="75"/>
    </row>
    <row r="683" spans="1:21" s="79" customFormat="1" ht="15" customHeight="1" x14ac:dyDescent="0.25">
      <c r="A683" s="75"/>
      <c r="B683" s="75"/>
      <c r="C683" s="75"/>
      <c r="D683" s="75"/>
      <c r="E683" s="75"/>
      <c r="F683" s="75"/>
      <c r="G683" s="75"/>
      <c r="H683" s="75"/>
      <c r="I683" s="75"/>
      <c r="J683" s="75"/>
      <c r="K683" s="75"/>
      <c r="L683" s="75"/>
      <c r="M683" s="75"/>
      <c r="N683" s="75"/>
      <c r="O683" s="75"/>
      <c r="P683" s="75"/>
      <c r="Q683" s="75"/>
      <c r="R683" s="75"/>
      <c r="S683" s="75"/>
      <c r="T683" s="75"/>
      <c r="U683" s="75"/>
    </row>
    <row r="684" spans="1:21" s="79" customFormat="1" ht="15" customHeight="1" x14ac:dyDescent="0.25">
      <c r="A684" s="75"/>
      <c r="B684" s="75"/>
      <c r="C684" s="75"/>
      <c r="D684" s="75"/>
      <c r="E684" s="75"/>
      <c r="F684" s="75"/>
      <c r="G684" s="75"/>
      <c r="H684" s="75"/>
      <c r="I684" s="75"/>
      <c r="J684" s="75"/>
      <c r="K684" s="75"/>
      <c r="L684" s="75"/>
      <c r="M684" s="75"/>
      <c r="N684" s="75"/>
      <c r="O684" s="75"/>
      <c r="P684" s="75"/>
      <c r="Q684" s="75"/>
      <c r="R684" s="75"/>
      <c r="S684" s="75"/>
      <c r="T684" s="75"/>
      <c r="U684" s="75"/>
    </row>
    <row r="685" spans="1:21" s="79" customFormat="1" ht="15" customHeight="1" x14ac:dyDescent="0.25">
      <c r="A685" s="75"/>
      <c r="B685" s="75"/>
      <c r="C685" s="75"/>
      <c r="D685" s="75"/>
      <c r="E685" s="75"/>
      <c r="F685" s="75"/>
      <c r="G685" s="75"/>
      <c r="H685" s="75"/>
      <c r="I685" s="75"/>
      <c r="J685" s="75"/>
      <c r="K685" s="75"/>
      <c r="L685" s="75"/>
      <c r="M685" s="75"/>
      <c r="N685" s="75"/>
      <c r="O685" s="75"/>
      <c r="P685" s="75"/>
      <c r="Q685" s="75"/>
      <c r="R685" s="75"/>
      <c r="S685" s="75"/>
      <c r="T685" s="75"/>
      <c r="U685" s="75"/>
    </row>
    <row r="686" spans="1:21" s="79" customFormat="1" ht="15" customHeight="1" x14ac:dyDescent="0.25">
      <c r="A686" s="75"/>
      <c r="B686" s="75"/>
      <c r="C686" s="75"/>
      <c r="D686" s="75"/>
      <c r="E686" s="75"/>
      <c r="F686" s="75"/>
      <c r="G686" s="75"/>
      <c r="H686" s="75"/>
      <c r="I686" s="75"/>
      <c r="J686" s="75"/>
      <c r="K686" s="75"/>
      <c r="L686" s="75"/>
      <c r="M686" s="75"/>
      <c r="N686" s="75"/>
      <c r="O686" s="75"/>
      <c r="P686" s="75"/>
      <c r="Q686" s="75"/>
      <c r="R686" s="75"/>
      <c r="S686" s="75"/>
      <c r="T686" s="75"/>
      <c r="U686" s="75"/>
    </row>
    <row r="687" spans="1:21" s="79" customFormat="1" ht="15" customHeight="1" x14ac:dyDescent="0.25">
      <c r="A687" s="75"/>
      <c r="B687" s="75"/>
      <c r="C687" s="75"/>
      <c r="D687" s="75"/>
      <c r="E687" s="75"/>
      <c r="F687" s="75"/>
      <c r="G687" s="75"/>
      <c r="H687" s="75"/>
      <c r="I687" s="75"/>
      <c r="J687" s="75"/>
      <c r="K687" s="75"/>
      <c r="L687" s="75"/>
      <c r="M687" s="75"/>
      <c r="N687" s="75"/>
      <c r="O687" s="75"/>
      <c r="P687" s="75"/>
      <c r="Q687" s="75"/>
      <c r="R687" s="75"/>
      <c r="S687" s="75"/>
      <c r="T687" s="75"/>
      <c r="U687" s="75"/>
    </row>
    <row r="688" spans="1:21" s="79" customFormat="1" ht="15" customHeight="1" x14ac:dyDescent="0.25">
      <c r="A688" s="75"/>
      <c r="B688" s="75"/>
      <c r="C688" s="75"/>
      <c r="D688" s="75"/>
      <c r="E688" s="75"/>
      <c r="F688" s="75"/>
      <c r="G688" s="75"/>
      <c r="H688" s="75"/>
      <c r="I688" s="75"/>
      <c r="J688" s="75"/>
      <c r="K688" s="75"/>
      <c r="L688" s="75"/>
      <c r="M688" s="75"/>
      <c r="N688" s="75"/>
      <c r="O688" s="75"/>
      <c r="P688" s="75"/>
      <c r="Q688" s="75"/>
      <c r="R688" s="75"/>
      <c r="S688" s="75"/>
      <c r="T688" s="75"/>
      <c r="U688" s="75"/>
    </row>
    <row r="689" spans="1:21" s="79" customFormat="1" ht="15" customHeight="1" x14ac:dyDescent="0.25">
      <c r="A689" s="75"/>
      <c r="B689" s="75"/>
      <c r="C689" s="75"/>
      <c r="D689" s="75"/>
      <c r="E689" s="75"/>
      <c r="F689" s="75"/>
      <c r="G689" s="75"/>
      <c r="H689" s="75"/>
      <c r="I689" s="75"/>
      <c r="J689" s="75"/>
      <c r="K689" s="75"/>
      <c r="L689" s="75"/>
      <c r="M689" s="75"/>
      <c r="N689" s="75"/>
      <c r="O689" s="75"/>
      <c r="P689" s="75"/>
      <c r="Q689" s="75"/>
      <c r="R689" s="75"/>
      <c r="S689" s="75"/>
      <c r="T689" s="75"/>
      <c r="U689" s="75"/>
    </row>
    <row r="690" spans="1:21" s="79" customFormat="1" ht="15" customHeight="1" x14ac:dyDescent="0.25">
      <c r="A690" s="75"/>
      <c r="B690" s="75"/>
      <c r="C690" s="75"/>
      <c r="D690" s="75"/>
      <c r="E690" s="75"/>
      <c r="F690" s="75"/>
      <c r="G690" s="75"/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75"/>
      <c r="S690" s="75"/>
      <c r="T690" s="75"/>
      <c r="U690" s="75"/>
    </row>
    <row r="691" spans="1:21" s="79" customFormat="1" ht="15" customHeight="1" x14ac:dyDescent="0.25">
      <c r="A691" s="75"/>
      <c r="B691" s="75"/>
      <c r="C691" s="75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5"/>
      <c r="T691" s="75"/>
      <c r="U691" s="75"/>
    </row>
    <row r="692" spans="1:21" s="79" customFormat="1" ht="15" customHeight="1" x14ac:dyDescent="0.25">
      <c r="A692" s="75"/>
      <c r="B692" s="75"/>
      <c r="C692" s="75"/>
      <c r="D692" s="75"/>
      <c r="E692" s="75"/>
      <c r="F692" s="75"/>
      <c r="G692" s="75"/>
      <c r="H692" s="75"/>
      <c r="I692" s="75"/>
      <c r="J692" s="75"/>
      <c r="K692" s="75"/>
      <c r="L692" s="75"/>
      <c r="M692" s="75"/>
      <c r="N692" s="75"/>
      <c r="O692" s="75"/>
      <c r="P692" s="75"/>
      <c r="Q692" s="75"/>
      <c r="R692" s="75"/>
      <c r="S692" s="75"/>
      <c r="T692" s="75"/>
      <c r="U692" s="75"/>
    </row>
    <row r="693" spans="1:21" s="79" customFormat="1" ht="15" customHeight="1" x14ac:dyDescent="0.25">
      <c r="A693" s="75"/>
      <c r="B693" s="75"/>
      <c r="C693" s="75"/>
      <c r="D693" s="75"/>
      <c r="E693" s="75"/>
      <c r="F693" s="75"/>
      <c r="G693" s="75"/>
      <c r="H693" s="75"/>
      <c r="I693" s="75"/>
      <c r="J693" s="75"/>
      <c r="K693" s="75"/>
      <c r="L693" s="75"/>
      <c r="M693" s="75"/>
      <c r="N693" s="75"/>
      <c r="O693" s="75"/>
      <c r="P693" s="75"/>
      <c r="Q693" s="75"/>
      <c r="R693" s="75"/>
      <c r="S693" s="75"/>
      <c r="T693" s="75"/>
      <c r="U693" s="75"/>
    </row>
    <row r="694" spans="1:21" s="79" customFormat="1" ht="15" customHeight="1" x14ac:dyDescent="0.25">
      <c r="A694" s="75"/>
      <c r="B694" s="75"/>
      <c r="C694" s="75"/>
      <c r="D694" s="75"/>
      <c r="E694" s="75"/>
      <c r="F694" s="75"/>
      <c r="G694" s="75"/>
      <c r="H694" s="75"/>
      <c r="I694" s="75"/>
      <c r="J694" s="75"/>
      <c r="K694" s="75"/>
      <c r="L694" s="75"/>
      <c r="M694" s="75"/>
      <c r="N694" s="75"/>
      <c r="O694" s="75"/>
      <c r="P694" s="75"/>
      <c r="Q694" s="75"/>
      <c r="R694" s="75"/>
      <c r="S694" s="75"/>
      <c r="T694" s="75"/>
      <c r="U694" s="75"/>
    </row>
    <row r="695" spans="1:21" s="79" customFormat="1" ht="15" customHeight="1" x14ac:dyDescent="0.25">
      <c r="A695" s="75"/>
      <c r="B695" s="75"/>
      <c r="C695" s="75"/>
      <c r="D695" s="75"/>
      <c r="E695" s="75"/>
      <c r="F695" s="75"/>
      <c r="G695" s="75"/>
      <c r="H695" s="75"/>
      <c r="I695" s="75"/>
      <c r="J695" s="75"/>
      <c r="K695" s="75"/>
      <c r="L695" s="75"/>
      <c r="M695" s="75"/>
      <c r="N695" s="75"/>
      <c r="O695" s="75"/>
      <c r="P695" s="75"/>
      <c r="Q695" s="75"/>
      <c r="R695" s="75"/>
      <c r="S695" s="75"/>
      <c r="T695" s="75"/>
      <c r="U695" s="75"/>
    </row>
    <row r="696" spans="1:21" s="79" customFormat="1" ht="15" customHeight="1" x14ac:dyDescent="0.25">
      <c r="A696" s="75"/>
      <c r="B696" s="75"/>
      <c r="C696" s="75"/>
      <c r="D696" s="75"/>
      <c r="E696" s="75"/>
      <c r="F696" s="75"/>
      <c r="G696" s="75"/>
      <c r="H696" s="75"/>
      <c r="I696" s="75"/>
      <c r="J696" s="75"/>
      <c r="K696" s="75"/>
      <c r="L696" s="75"/>
      <c r="M696" s="75"/>
      <c r="N696" s="75"/>
      <c r="O696" s="75"/>
      <c r="P696" s="75"/>
      <c r="Q696" s="75"/>
      <c r="R696" s="75"/>
      <c r="S696" s="75"/>
      <c r="T696" s="75"/>
      <c r="U696" s="75"/>
    </row>
    <row r="697" spans="1:21" s="79" customFormat="1" ht="15" customHeight="1" x14ac:dyDescent="0.25">
      <c r="A697" s="75"/>
      <c r="B697" s="75"/>
      <c r="C697" s="75"/>
      <c r="D697" s="75"/>
      <c r="E697" s="75"/>
      <c r="F697" s="75"/>
      <c r="G697" s="75"/>
      <c r="H697" s="75"/>
      <c r="I697" s="75"/>
      <c r="J697" s="75"/>
      <c r="K697" s="75"/>
      <c r="L697" s="75"/>
      <c r="M697" s="75"/>
      <c r="N697" s="75"/>
      <c r="O697" s="75"/>
      <c r="P697" s="75"/>
      <c r="Q697" s="75"/>
      <c r="R697" s="75"/>
      <c r="S697" s="75"/>
      <c r="T697" s="75"/>
      <c r="U697" s="75"/>
    </row>
    <row r="698" spans="1:21" s="79" customFormat="1" ht="15" customHeight="1" x14ac:dyDescent="0.25">
      <c r="A698" s="75"/>
      <c r="B698" s="75"/>
      <c r="C698" s="75"/>
      <c r="D698" s="75"/>
      <c r="E698" s="75"/>
      <c r="F698" s="75"/>
      <c r="G698" s="75"/>
      <c r="H698" s="75"/>
      <c r="I698" s="75"/>
      <c r="J698" s="75"/>
      <c r="K698" s="75"/>
      <c r="L698" s="75"/>
      <c r="M698" s="75"/>
      <c r="N698" s="75"/>
      <c r="O698" s="75"/>
      <c r="P698" s="75"/>
      <c r="Q698" s="75"/>
      <c r="R698" s="75"/>
      <c r="S698" s="75"/>
      <c r="T698" s="75"/>
      <c r="U698" s="75"/>
    </row>
    <row r="699" spans="1:21" s="79" customFormat="1" ht="15" customHeight="1" x14ac:dyDescent="0.25">
      <c r="A699" s="75"/>
      <c r="B699" s="75"/>
      <c r="C699" s="75"/>
      <c r="D699" s="75"/>
      <c r="E699" s="75"/>
      <c r="F699" s="75"/>
      <c r="G699" s="75"/>
      <c r="H699" s="75"/>
      <c r="I699" s="75"/>
      <c r="J699" s="75"/>
      <c r="K699" s="75"/>
      <c r="L699" s="75"/>
      <c r="M699" s="75"/>
      <c r="N699" s="75"/>
      <c r="O699" s="75"/>
      <c r="P699" s="75"/>
      <c r="Q699" s="75"/>
      <c r="R699" s="75"/>
      <c r="S699" s="75"/>
      <c r="T699" s="75"/>
      <c r="U699" s="75"/>
    </row>
    <row r="700" spans="1:21" s="79" customFormat="1" ht="15" customHeight="1" x14ac:dyDescent="0.25">
      <c r="A700" s="75"/>
      <c r="B700" s="75"/>
      <c r="C700" s="75"/>
      <c r="D700" s="75"/>
      <c r="E700" s="75"/>
      <c r="F700" s="75"/>
      <c r="G700" s="75"/>
      <c r="H700" s="75"/>
      <c r="I700" s="75"/>
      <c r="J700" s="75"/>
      <c r="K700" s="75"/>
      <c r="L700" s="75"/>
      <c r="M700" s="75"/>
      <c r="N700" s="75"/>
      <c r="O700" s="75"/>
      <c r="P700" s="75"/>
      <c r="Q700" s="75"/>
      <c r="R700" s="75"/>
      <c r="S700" s="75"/>
      <c r="T700" s="75"/>
      <c r="U700" s="75"/>
    </row>
    <row r="701" spans="1:21" s="79" customFormat="1" ht="15" customHeight="1" x14ac:dyDescent="0.25">
      <c r="A701" s="75"/>
      <c r="B701" s="75"/>
      <c r="C701" s="75"/>
      <c r="D701" s="75"/>
      <c r="E701" s="75"/>
      <c r="F701" s="75"/>
      <c r="G701" s="75"/>
      <c r="H701" s="75"/>
      <c r="I701" s="75"/>
      <c r="J701" s="75"/>
      <c r="K701" s="75"/>
      <c r="L701" s="75"/>
      <c r="M701" s="75"/>
      <c r="N701" s="75"/>
      <c r="O701" s="75"/>
      <c r="P701" s="75"/>
      <c r="Q701" s="75"/>
      <c r="R701" s="75"/>
      <c r="S701" s="75"/>
      <c r="T701" s="75"/>
      <c r="U701" s="75"/>
    </row>
    <row r="702" spans="1:21" s="79" customFormat="1" ht="15" customHeight="1" x14ac:dyDescent="0.25">
      <c r="A702" s="75"/>
      <c r="B702" s="75"/>
      <c r="C702" s="75"/>
      <c r="D702" s="75"/>
      <c r="E702" s="75"/>
      <c r="F702" s="75"/>
      <c r="G702" s="75"/>
      <c r="H702" s="75"/>
      <c r="I702" s="75"/>
      <c r="J702" s="75"/>
      <c r="K702" s="75"/>
      <c r="L702" s="75"/>
      <c r="M702" s="75"/>
      <c r="N702" s="75"/>
      <c r="O702" s="75"/>
      <c r="P702" s="75"/>
      <c r="Q702" s="75"/>
      <c r="R702" s="75"/>
      <c r="S702" s="75"/>
      <c r="T702" s="75"/>
      <c r="U702" s="75"/>
    </row>
    <row r="703" spans="1:21" s="79" customFormat="1" ht="15" customHeight="1" x14ac:dyDescent="0.25">
      <c r="A703" s="75"/>
      <c r="B703" s="75"/>
      <c r="C703" s="75"/>
      <c r="D703" s="75"/>
      <c r="E703" s="75"/>
      <c r="F703" s="75"/>
      <c r="G703" s="75"/>
      <c r="H703" s="75"/>
      <c r="I703" s="75"/>
      <c r="J703" s="75"/>
      <c r="K703" s="75"/>
      <c r="L703" s="75"/>
      <c r="M703" s="75"/>
      <c r="N703" s="75"/>
      <c r="O703" s="75"/>
      <c r="P703" s="75"/>
      <c r="Q703" s="75"/>
      <c r="R703" s="75"/>
      <c r="S703" s="75"/>
      <c r="T703" s="75"/>
      <c r="U703" s="75"/>
    </row>
    <row r="704" spans="1:21" s="79" customFormat="1" ht="15" customHeight="1" x14ac:dyDescent="0.25">
      <c r="A704" s="75"/>
      <c r="B704" s="75"/>
      <c r="C704" s="75"/>
      <c r="D704" s="75"/>
      <c r="E704" s="75"/>
      <c r="F704" s="75"/>
      <c r="G704" s="75"/>
      <c r="H704" s="75"/>
      <c r="I704" s="75"/>
      <c r="J704" s="75"/>
      <c r="K704" s="75"/>
      <c r="L704" s="75"/>
      <c r="M704" s="75"/>
      <c r="N704" s="75"/>
      <c r="O704" s="75"/>
      <c r="P704" s="75"/>
      <c r="Q704" s="75"/>
      <c r="R704" s="75"/>
      <c r="S704" s="75"/>
      <c r="T704" s="75"/>
      <c r="U704" s="75"/>
    </row>
    <row r="705" spans="1:21" s="79" customFormat="1" ht="15" customHeight="1" x14ac:dyDescent="0.25">
      <c r="A705" s="75"/>
      <c r="B705" s="75"/>
      <c r="C705" s="75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5"/>
      <c r="O705" s="75"/>
      <c r="P705" s="75"/>
      <c r="Q705" s="75"/>
      <c r="R705" s="75"/>
      <c r="S705" s="75"/>
      <c r="T705" s="75"/>
      <c r="U705" s="75"/>
    </row>
    <row r="706" spans="1:21" s="79" customFormat="1" ht="15" customHeight="1" x14ac:dyDescent="0.25">
      <c r="A706" s="75"/>
      <c r="B706" s="75"/>
      <c r="C706" s="75"/>
      <c r="D706" s="75"/>
      <c r="E706" s="75"/>
      <c r="F706" s="75"/>
      <c r="G706" s="75"/>
      <c r="H706" s="75"/>
      <c r="I706" s="75"/>
      <c r="J706" s="75"/>
      <c r="K706" s="75"/>
      <c r="L706" s="75"/>
      <c r="M706" s="75"/>
      <c r="N706" s="75"/>
      <c r="O706" s="75"/>
      <c r="P706" s="75"/>
      <c r="Q706" s="75"/>
      <c r="R706" s="75"/>
      <c r="S706" s="75"/>
      <c r="T706" s="75"/>
      <c r="U706" s="75"/>
    </row>
    <row r="707" spans="1:21" s="79" customFormat="1" ht="15" customHeight="1" x14ac:dyDescent="0.25">
      <c r="A707" s="75"/>
      <c r="B707" s="75"/>
      <c r="C707" s="75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5"/>
      <c r="T707" s="75"/>
      <c r="U707" s="75"/>
    </row>
    <row r="708" spans="1:21" s="79" customFormat="1" ht="15" customHeight="1" x14ac:dyDescent="0.25">
      <c r="A708" s="75"/>
      <c r="B708" s="75"/>
      <c r="C708" s="75"/>
      <c r="D708" s="75"/>
      <c r="E708" s="75"/>
      <c r="F708" s="75"/>
      <c r="G708" s="75"/>
      <c r="H708" s="75"/>
      <c r="I708" s="75"/>
      <c r="J708" s="75"/>
      <c r="K708" s="75"/>
      <c r="L708" s="75"/>
      <c r="M708" s="75"/>
      <c r="N708" s="75"/>
      <c r="O708" s="75"/>
      <c r="P708" s="75"/>
      <c r="Q708" s="75"/>
      <c r="R708" s="75"/>
      <c r="S708" s="75"/>
      <c r="T708" s="75"/>
      <c r="U708" s="75"/>
    </row>
    <row r="709" spans="1:21" s="79" customFormat="1" ht="15" customHeight="1" x14ac:dyDescent="0.25">
      <c r="A709" s="75"/>
      <c r="B709" s="75"/>
      <c r="C709" s="75"/>
      <c r="D709" s="75"/>
      <c r="E709" s="75"/>
      <c r="F709" s="75"/>
      <c r="G709" s="75"/>
      <c r="H709" s="75"/>
      <c r="I709" s="75"/>
      <c r="J709" s="75"/>
      <c r="K709" s="75"/>
      <c r="L709" s="75"/>
      <c r="M709" s="75"/>
      <c r="N709" s="75"/>
      <c r="O709" s="75"/>
      <c r="P709" s="75"/>
      <c r="Q709" s="75"/>
      <c r="R709" s="75"/>
      <c r="S709" s="75"/>
      <c r="T709" s="75"/>
      <c r="U709" s="75"/>
    </row>
    <row r="710" spans="1:21" s="79" customFormat="1" ht="15" customHeight="1" x14ac:dyDescent="0.25">
      <c r="A710" s="75"/>
      <c r="B710" s="75"/>
      <c r="C710" s="75"/>
      <c r="D710" s="75"/>
      <c r="E710" s="75"/>
      <c r="F710" s="75"/>
      <c r="G710" s="75"/>
      <c r="H710" s="75"/>
      <c r="I710" s="75"/>
      <c r="J710" s="75"/>
      <c r="K710" s="75"/>
      <c r="L710" s="75"/>
      <c r="M710" s="75"/>
      <c r="N710" s="75"/>
      <c r="O710" s="75"/>
      <c r="P710" s="75"/>
      <c r="Q710" s="75"/>
      <c r="R710" s="75"/>
      <c r="S710" s="75"/>
      <c r="T710" s="75"/>
      <c r="U710" s="75"/>
    </row>
    <row r="711" spans="1:21" s="79" customFormat="1" ht="15" customHeight="1" x14ac:dyDescent="0.25">
      <c r="A711" s="75"/>
      <c r="B711" s="75"/>
      <c r="C711" s="75"/>
      <c r="D711" s="75"/>
      <c r="E711" s="75"/>
      <c r="F711" s="75"/>
      <c r="G711" s="75"/>
      <c r="H711" s="75"/>
      <c r="I711" s="75"/>
      <c r="J711" s="75"/>
      <c r="K711" s="75"/>
      <c r="L711" s="75"/>
      <c r="M711" s="75"/>
      <c r="N711" s="75"/>
      <c r="O711" s="75"/>
      <c r="P711" s="75"/>
      <c r="Q711" s="75"/>
      <c r="R711" s="75"/>
      <c r="S711" s="75"/>
      <c r="T711" s="75"/>
      <c r="U711" s="75"/>
    </row>
    <row r="712" spans="1:21" s="79" customFormat="1" ht="15" customHeight="1" x14ac:dyDescent="0.25">
      <c r="A712" s="75"/>
      <c r="B712" s="75"/>
      <c r="C712" s="75"/>
      <c r="D712" s="75"/>
      <c r="E712" s="75"/>
      <c r="F712" s="75"/>
      <c r="G712" s="75"/>
      <c r="H712" s="75"/>
      <c r="I712" s="75"/>
      <c r="J712" s="75"/>
      <c r="K712" s="75"/>
      <c r="L712" s="75"/>
      <c r="M712" s="75"/>
      <c r="N712" s="75"/>
      <c r="O712" s="75"/>
      <c r="P712" s="75"/>
      <c r="Q712" s="75"/>
      <c r="R712" s="75"/>
      <c r="S712" s="75"/>
      <c r="T712" s="75"/>
      <c r="U712" s="75"/>
    </row>
    <row r="713" spans="1:21" s="79" customFormat="1" ht="15" customHeight="1" x14ac:dyDescent="0.25">
      <c r="A713" s="75"/>
      <c r="B713" s="75"/>
      <c r="C713" s="75"/>
      <c r="D713" s="75"/>
      <c r="E713" s="75"/>
      <c r="F713" s="75"/>
      <c r="G713" s="75"/>
      <c r="H713" s="75"/>
      <c r="I713" s="75"/>
      <c r="J713" s="75"/>
      <c r="K713" s="75"/>
      <c r="L713" s="75"/>
      <c r="M713" s="75"/>
      <c r="N713" s="75"/>
      <c r="O713" s="75"/>
      <c r="P713" s="75"/>
      <c r="Q713" s="75"/>
      <c r="R713" s="75"/>
      <c r="S713" s="75"/>
      <c r="T713" s="75"/>
      <c r="U713" s="75"/>
    </row>
    <row r="714" spans="1:21" s="79" customFormat="1" ht="15" customHeight="1" x14ac:dyDescent="0.25">
      <c r="A714" s="75"/>
      <c r="B714" s="75"/>
      <c r="C714" s="75"/>
      <c r="D714" s="75"/>
      <c r="E714" s="75"/>
      <c r="F714" s="75"/>
      <c r="G714" s="75"/>
      <c r="H714" s="75"/>
      <c r="I714" s="75"/>
      <c r="J714" s="75"/>
      <c r="K714" s="75"/>
      <c r="L714" s="75"/>
      <c r="M714" s="75"/>
      <c r="N714" s="75"/>
      <c r="O714" s="75"/>
      <c r="P714" s="75"/>
      <c r="Q714" s="75"/>
      <c r="R714" s="75"/>
      <c r="S714" s="75"/>
      <c r="T714" s="75"/>
      <c r="U714" s="75"/>
    </row>
    <row r="715" spans="1:21" s="79" customFormat="1" ht="15" customHeight="1" x14ac:dyDescent="0.25">
      <c r="A715" s="75"/>
      <c r="B715" s="75"/>
      <c r="C715" s="75"/>
      <c r="D715" s="75"/>
      <c r="E715" s="75"/>
      <c r="F715" s="75"/>
      <c r="G715" s="75"/>
      <c r="H715" s="75"/>
      <c r="I715" s="75"/>
      <c r="J715" s="75"/>
      <c r="K715" s="75"/>
      <c r="L715" s="75"/>
      <c r="M715" s="75"/>
      <c r="N715" s="75"/>
      <c r="O715" s="75"/>
      <c r="P715" s="75"/>
      <c r="Q715" s="75"/>
      <c r="R715" s="75"/>
      <c r="S715" s="75"/>
      <c r="T715" s="75"/>
      <c r="U715" s="75"/>
    </row>
    <row r="716" spans="1:21" s="79" customFormat="1" ht="15" customHeight="1" x14ac:dyDescent="0.25">
      <c r="A716" s="75"/>
      <c r="B716" s="75"/>
      <c r="C716" s="75"/>
      <c r="D716" s="75"/>
      <c r="E716" s="75"/>
      <c r="F716" s="75"/>
      <c r="G716" s="75"/>
      <c r="H716" s="75"/>
      <c r="I716" s="75"/>
      <c r="J716" s="75"/>
      <c r="K716" s="75"/>
      <c r="L716" s="75"/>
      <c r="M716" s="75"/>
      <c r="N716" s="75"/>
      <c r="O716" s="75"/>
      <c r="P716" s="75"/>
      <c r="Q716" s="75"/>
      <c r="R716" s="75"/>
      <c r="S716" s="75"/>
      <c r="T716" s="75"/>
      <c r="U716" s="75"/>
    </row>
    <row r="717" spans="1:21" s="79" customFormat="1" ht="15" customHeight="1" x14ac:dyDescent="0.25">
      <c r="A717" s="75"/>
      <c r="B717" s="75"/>
      <c r="C717" s="75"/>
      <c r="D717" s="75"/>
      <c r="E717" s="75"/>
      <c r="F717" s="75"/>
      <c r="G717" s="75"/>
      <c r="H717" s="75"/>
      <c r="I717" s="75"/>
      <c r="J717" s="75"/>
      <c r="K717" s="75"/>
      <c r="L717" s="75"/>
      <c r="M717" s="75"/>
      <c r="N717" s="75"/>
      <c r="O717" s="75"/>
      <c r="P717" s="75"/>
      <c r="Q717" s="75"/>
      <c r="R717" s="75"/>
      <c r="S717" s="75"/>
      <c r="T717" s="75"/>
      <c r="U717" s="75"/>
    </row>
    <row r="718" spans="1:21" s="79" customFormat="1" ht="15" customHeight="1" x14ac:dyDescent="0.25">
      <c r="A718" s="75"/>
      <c r="B718" s="75"/>
      <c r="C718" s="75"/>
      <c r="D718" s="75"/>
      <c r="E718" s="75"/>
      <c r="F718" s="75"/>
      <c r="G718" s="75"/>
      <c r="H718" s="75"/>
      <c r="I718" s="75"/>
      <c r="J718" s="75"/>
      <c r="K718" s="75"/>
      <c r="L718" s="75"/>
      <c r="M718" s="75"/>
      <c r="N718" s="75"/>
      <c r="O718" s="75"/>
      <c r="P718" s="75"/>
      <c r="Q718" s="75"/>
      <c r="R718" s="75"/>
      <c r="S718" s="75"/>
      <c r="T718" s="75"/>
      <c r="U718" s="75"/>
    </row>
    <row r="719" spans="1:21" s="79" customFormat="1" ht="15" customHeight="1" x14ac:dyDescent="0.25">
      <c r="A719" s="75"/>
      <c r="B719" s="75"/>
      <c r="C719" s="75"/>
      <c r="D719" s="75"/>
      <c r="E719" s="75"/>
      <c r="F719" s="75"/>
      <c r="G719" s="75"/>
      <c r="H719" s="75"/>
      <c r="I719" s="75"/>
      <c r="J719" s="75"/>
      <c r="K719" s="75"/>
      <c r="L719" s="75"/>
      <c r="M719" s="75"/>
      <c r="N719" s="75"/>
      <c r="O719" s="75"/>
      <c r="P719" s="75"/>
      <c r="Q719" s="75"/>
      <c r="R719" s="75"/>
      <c r="S719" s="75"/>
      <c r="T719" s="75"/>
      <c r="U719" s="75"/>
    </row>
    <row r="720" spans="1:21" s="79" customFormat="1" ht="15" customHeight="1" x14ac:dyDescent="0.25">
      <c r="A720" s="75"/>
      <c r="B720" s="75"/>
      <c r="C720" s="75"/>
      <c r="D720" s="75"/>
      <c r="E720" s="75"/>
      <c r="F720" s="75"/>
      <c r="G720" s="75"/>
      <c r="H720" s="75"/>
      <c r="I720" s="75"/>
      <c r="J720" s="75"/>
      <c r="K720" s="75"/>
      <c r="L720" s="75"/>
      <c r="M720" s="75"/>
      <c r="N720" s="75"/>
      <c r="O720" s="75"/>
      <c r="P720" s="75"/>
      <c r="Q720" s="75"/>
      <c r="R720" s="75"/>
      <c r="S720" s="75"/>
      <c r="T720" s="75"/>
      <c r="U720" s="75"/>
    </row>
    <row r="721" spans="1:21" s="79" customFormat="1" ht="15" customHeight="1" x14ac:dyDescent="0.25">
      <c r="A721" s="75"/>
      <c r="B721" s="75"/>
      <c r="C721" s="75"/>
      <c r="D721" s="75"/>
      <c r="E721" s="75"/>
      <c r="F721" s="75"/>
      <c r="G721" s="75"/>
      <c r="H721" s="75"/>
      <c r="I721" s="75"/>
      <c r="J721" s="75"/>
      <c r="K721" s="75"/>
      <c r="L721" s="75"/>
      <c r="M721" s="75"/>
      <c r="N721" s="75"/>
      <c r="O721" s="75"/>
      <c r="P721" s="75"/>
      <c r="Q721" s="75"/>
      <c r="R721" s="75"/>
      <c r="S721" s="75"/>
      <c r="T721" s="75"/>
      <c r="U721" s="75"/>
    </row>
    <row r="722" spans="1:21" s="79" customFormat="1" ht="15" customHeight="1" x14ac:dyDescent="0.25">
      <c r="A722" s="75"/>
      <c r="B722" s="75"/>
      <c r="C722" s="75"/>
      <c r="D722" s="75"/>
      <c r="E722" s="75"/>
      <c r="F722" s="75"/>
      <c r="G722" s="75"/>
      <c r="H722" s="75"/>
      <c r="I722" s="75"/>
      <c r="J722" s="75"/>
      <c r="K722" s="75"/>
      <c r="L722" s="75"/>
      <c r="M722" s="75"/>
      <c r="N722" s="75"/>
      <c r="O722" s="75"/>
      <c r="P722" s="75"/>
      <c r="Q722" s="75"/>
      <c r="R722" s="75"/>
      <c r="S722" s="75"/>
      <c r="T722" s="75"/>
      <c r="U722" s="75"/>
    </row>
    <row r="723" spans="1:21" s="79" customFormat="1" ht="15" customHeight="1" x14ac:dyDescent="0.25">
      <c r="A723" s="75"/>
      <c r="B723" s="75"/>
      <c r="C723" s="75"/>
      <c r="D723" s="75"/>
      <c r="E723" s="75"/>
      <c r="F723" s="75"/>
      <c r="G723" s="75"/>
      <c r="H723" s="75"/>
      <c r="I723" s="75"/>
      <c r="J723" s="75"/>
      <c r="K723" s="75"/>
      <c r="L723" s="75"/>
      <c r="M723" s="75"/>
      <c r="N723" s="75"/>
      <c r="O723" s="75"/>
      <c r="P723" s="75"/>
      <c r="Q723" s="75"/>
      <c r="R723" s="75"/>
      <c r="S723" s="75"/>
      <c r="T723" s="75"/>
      <c r="U723" s="75"/>
    </row>
    <row r="724" spans="1:21" s="79" customFormat="1" ht="15" customHeight="1" x14ac:dyDescent="0.25">
      <c r="A724" s="75"/>
      <c r="B724" s="75"/>
      <c r="C724" s="75"/>
      <c r="D724" s="75"/>
      <c r="E724" s="75"/>
      <c r="F724" s="75"/>
      <c r="G724" s="75"/>
      <c r="H724" s="75"/>
      <c r="I724" s="75"/>
      <c r="J724" s="75"/>
      <c r="K724" s="75"/>
      <c r="L724" s="75"/>
      <c r="M724" s="75"/>
      <c r="N724" s="75"/>
      <c r="O724" s="75"/>
      <c r="P724" s="75"/>
      <c r="Q724" s="75"/>
      <c r="R724" s="75"/>
      <c r="S724" s="75"/>
      <c r="T724" s="75"/>
      <c r="U724" s="75"/>
    </row>
    <row r="725" spans="1:21" s="79" customFormat="1" ht="15" customHeight="1" x14ac:dyDescent="0.25">
      <c r="A725" s="75"/>
      <c r="B725" s="75"/>
      <c r="C725" s="75"/>
      <c r="D725" s="75"/>
      <c r="E725" s="75"/>
      <c r="F725" s="75"/>
      <c r="G725" s="75"/>
      <c r="H725" s="75"/>
      <c r="I725" s="75"/>
      <c r="J725" s="75"/>
      <c r="K725" s="75"/>
      <c r="L725" s="75"/>
      <c r="M725" s="75"/>
      <c r="N725" s="75"/>
      <c r="O725" s="75"/>
      <c r="P725" s="75"/>
      <c r="Q725" s="75"/>
      <c r="R725" s="75"/>
      <c r="S725" s="75"/>
      <c r="T725" s="75"/>
      <c r="U725" s="75"/>
    </row>
    <row r="726" spans="1:21" s="79" customFormat="1" ht="15" customHeight="1" x14ac:dyDescent="0.25">
      <c r="A726" s="75"/>
      <c r="B726" s="75"/>
      <c r="C726" s="75"/>
      <c r="D726" s="75"/>
      <c r="E726" s="75"/>
      <c r="F726" s="75"/>
      <c r="G726" s="75"/>
      <c r="H726" s="75"/>
      <c r="I726" s="75"/>
      <c r="J726" s="75"/>
      <c r="K726" s="75"/>
      <c r="L726" s="75"/>
      <c r="M726" s="75"/>
      <c r="N726" s="75"/>
      <c r="O726" s="75"/>
      <c r="P726" s="75"/>
      <c r="Q726" s="75"/>
      <c r="R726" s="75"/>
      <c r="S726" s="75"/>
      <c r="T726" s="75"/>
      <c r="U726" s="75"/>
    </row>
    <row r="727" spans="1:21" s="79" customFormat="1" ht="15" customHeight="1" x14ac:dyDescent="0.25">
      <c r="A727" s="75"/>
      <c r="B727" s="75"/>
      <c r="C727" s="75"/>
      <c r="D727" s="75"/>
      <c r="E727" s="75"/>
      <c r="F727" s="75"/>
      <c r="G727" s="75"/>
      <c r="H727" s="75"/>
      <c r="I727" s="75"/>
      <c r="J727" s="75"/>
      <c r="K727" s="75"/>
      <c r="L727" s="75"/>
      <c r="M727" s="75"/>
      <c r="N727" s="75"/>
      <c r="O727" s="75"/>
      <c r="P727" s="75"/>
      <c r="Q727" s="75"/>
      <c r="R727" s="75"/>
      <c r="S727" s="75"/>
      <c r="T727" s="75"/>
      <c r="U727" s="75"/>
    </row>
    <row r="728" spans="1:21" s="79" customFormat="1" ht="15" customHeight="1" x14ac:dyDescent="0.25">
      <c r="A728" s="75"/>
      <c r="B728" s="75"/>
      <c r="C728" s="75"/>
      <c r="D728" s="75"/>
      <c r="E728" s="75"/>
      <c r="F728" s="75"/>
      <c r="G728" s="75"/>
      <c r="H728" s="75"/>
      <c r="I728" s="75"/>
      <c r="J728" s="75"/>
      <c r="K728" s="75"/>
      <c r="L728" s="75"/>
      <c r="M728" s="75"/>
      <c r="N728" s="75"/>
      <c r="O728" s="75"/>
      <c r="P728" s="75"/>
      <c r="Q728" s="75"/>
      <c r="R728" s="75"/>
      <c r="S728" s="75"/>
      <c r="T728" s="75"/>
      <c r="U728" s="75"/>
    </row>
    <row r="729" spans="1:21" s="79" customFormat="1" ht="15" customHeight="1" x14ac:dyDescent="0.25">
      <c r="A729" s="75"/>
      <c r="B729" s="75"/>
      <c r="C729" s="75"/>
      <c r="D729" s="75"/>
      <c r="E729" s="75"/>
      <c r="F729" s="75"/>
      <c r="G729" s="75"/>
      <c r="H729" s="75"/>
      <c r="I729" s="75"/>
      <c r="J729" s="75"/>
      <c r="K729" s="75"/>
      <c r="L729" s="75"/>
      <c r="M729" s="75"/>
      <c r="N729" s="75"/>
      <c r="O729" s="75"/>
      <c r="P729" s="75"/>
      <c r="Q729" s="75"/>
      <c r="R729" s="75"/>
      <c r="S729" s="75"/>
      <c r="T729" s="75"/>
      <c r="U729" s="75"/>
    </row>
    <row r="730" spans="1:21" s="79" customFormat="1" ht="15" customHeight="1" x14ac:dyDescent="0.25">
      <c r="A730" s="75"/>
      <c r="B730" s="75"/>
      <c r="C730" s="75"/>
      <c r="D730" s="75"/>
      <c r="E730" s="75"/>
      <c r="F730" s="75"/>
      <c r="G730" s="75"/>
      <c r="H730" s="75"/>
      <c r="I730" s="75"/>
      <c r="J730" s="75"/>
      <c r="K730" s="75"/>
      <c r="L730" s="75"/>
      <c r="M730" s="75"/>
      <c r="N730" s="75"/>
      <c r="O730" s="75"/>
      <c r="P730" s="75"/>
      <c r="Q730" s="75"/>
      <c r="R730" s="75"/>
      <c r="S730" s="75"/>
      <c r="T730" s="75"/>
      <c r="U730" s="75"/>
    </row>
    <row r="731" spans="1:21" s="79" customFormat="1" ht="15" customHeight="1" x14ac:dyDescent="0.25">
      <c r="A731" s="75"/>
      <c r="B731" s="75"/>
      <c r="C731" s="75"/>
      <c r="D731" s="75"/>
      <c r="E731" s="75"/>
      <c r="F731" s="75"/>
      <c r="G731" s="75"/>
      <c r="H731" s="75"/>
      <c r="I731" s="75"/>
      <c r="J731" s="75"/>
      <c r="K731" s="75"/>
      <c r="L731" s="75"/>
      <c r="M731" s="75"/>
      <c r="N731" s="75"/>
      <c r="O731" s="75"/>
      <c r="P731" s="75"/>
      <c r="Q731" s="75"/>
      <c r="R731" s="75"/>
      <c r="S731" s="75"/>
      <c r="T731" s="75"/>
      <c r="U731" s="75"/>
    </row>
    <row r="732" spans="1:21" s="79" customFormat="1" ht="15" customHeight="1" x14ac:dyDescent="0.25">
      <c r="A732" s="75"/>
      <c r="B732" s="75"/>
      <c r="C732" s="75"/>
      <c r="D732" s="75"/>
      <c r="E732" s="75"/>
      <c r="F732" s="75"/>
      <c r="G732" s="75"/>
      <c r="H732" s="75"/>
      <c r="I732" s="75"/>
      <c r="J732" s="75"/>
      <c r="K732" s="75"/>
      <c r="L732" s="75"/>
      <c r="M732" s="75"/>
      <c r="N732" s="75"/>
      <c r="O732" s="75"/>
      <c r="P732" s="75"/>
      <c r="Q732" s="75"/>
      <c r="R732" s="75"/>
      <c r="S732" s="75"/>
      <c r="T732" s="75"/>
      <c r="U732" s="75"/>
    </row>
    <row r="733" spans="1:21" s="79" customFormat="1" ht="15" customHeight="1" x14ac:dyDescent="0.25">
      <c r="A733" s="75"/>
      <c r="B733" s="75"/>
      <c r="C733" s="75"/>
      <c r="D733" s="75"/>
      <c r="E733" s="75"/>
      <c r="F733" s="75"/>
      <c r="G733" s="75"/>
      <c r="H733" s="75"/>
      <c r="I733" s="75"/>
      <c r="J733" s="75"/>
      <c r="K733" s="75"/>
      <c r="L733" s="75"/>
      <c r="M733" s="75"/>
      <c r="N733" s="75"/>
      <c r="O733" s="75"/>
      <c r="P733" s="75"/>
      <c r="Q733" s="75"/>
      <c r="R733" s="75"/>
      <c r="S733" s="75"/>
      <c r="T733" s="75"/>
      <c r="U733" s="75"/>
    </row>
    <row r="734" spans="1:21" s="79" customFormat="1" ht="15" customHeight="1" x14ac:dyDescent="0.25">
      <c r="A734" s="75"/>
      <c r="B734" s="75"/>
      <c r="C734" s="75"/>
      <c r="D734" s="75"/>
      <c r="E734" s="75"/>
      <c r="F734" s="75"/>
      <c r="G734" s="75"/>
      <c r="H734" s="75"/>
      <c r="I734" s="75"/>
      <c r="J734" s="75"/>
      <c r="K734" s="75"/>
      <c r="L734" s="75"/>
      <c r="M734" s="75"/>
      <c r="N734" s="75"/>
      <c r="O734" s="75"/>
      <c r="P734" s="75"/>
      <c r="Q734" s="75"/>
      <c r="R734" s="75"/>
      <c r="S734" s="75"/>
      <c r="T734" s="75"/>
      <c r="U734" s="75"/>
    </row>
    <row r="735" spans="1:21" s="79" customFormat="1" ht="15" customHeight="1" x14ac:dyDescent="0.25">
      <c r="A735" s="75"/>
      <c r="B735" s="75"/>
      <c r="C735" s="75"/>
      <c r="D735" s="75"/>
      <c r="E735" s="75"/>
      <c r="F735" s="75"/>
      <c r="G735" s="75"/>
      <c r="H735" s="75"/>
      <c r="I735" s="75"/>
      <c r="J735" s="75"/>
      <c r="K735" s="75"/>
      <c r="L735" s="75"/>
      <c r="M735" s="75"/>
      <c r="N735" s="75"/>
      <c r="O735" s="75"/>
      <c r="P735" s="75"/>
      <c r="Q735" s="75"/>
      <c r="R735" s="75"/>
      <c r="S735" s="75"/>
      <c r="T735" s="75"/>
      <c r="U735" s="75"/>
    </row>
    <row r="736" spans="1:21" s="79" customFormat="1" ht="15" customHeight="1" x14ac:dyDescent="0.25">
      <c r="A736" s="75"/>
      <c r="B736" s="75"/>
      <c r="C736" s="75"/>
      <c r="D736" s="75"/>
      <c r="E736" s="75"/>
      <c r="F736" s="75"/>
      <c r="G736" s="75"/>
      <c r="H736" s="75"/>
      <c r="I736" s="75"/>
      <c r="J736" s="75"/>
      <c r="K736" s="75"/>
      <c r="L736" s="75"/>
      <c r="M736" s="75"/>
      <c r="N736" s="75"/>
      <c r="O736" s="75"/>
      <c r="P736" s="75"/>
      <c r="Q736" s="75"/>
      <c r="R736" s="75"/>
      <c r="S736" s="75"/>
      <c r="T736" s="75"/>
      <c r="U736" s="75"/>
    </row>
    <row r="737" spans="1:21" s="79" customFormat="1" ht="15" customHeight="1" x14ac:dyDescent="0.25">
      <c r="A737" s="75"/>
      <c r="B737" s="75"/>
      <c r="C737" s="75"/>
      <c r="D737" s="75"/>
      <c r="E737" s="75"/>
      <c r="F737" s="75"/>
      <c r="G737" s="75"/>
      <c r="H737" s="75"/>
      <c r="I737" s="75"/>
      <c r="J737" s="75"/>
      <c r="K737" s="75"/>
      <c r="L737" s="75"/>
      <c r="M737" s="75"/>
      <c r="N737" s="75"/>
      <c r="O737" s="75"/>
      <c r="P737" s="75"/>
      <c r="Q737" s="75"/>
      <c r="R737" s="75"/>
      <c r="S737" s="75"/>
      <c r="T737" s="75"/>
      <c r="U737" s="75"/>
    </row>
    <row r="738" spans="1:21" s="79" customFormat="1" ht="15" customHeight="1" x14ac:dyDescent="0.25">
      <c r="A738" s="75"/>
      <c r="B738" s="75"/>
      <c r="C738" s="75"/>
      <c r="D738" s="75"/>
      <c r="E738" s="75"/>
      <c r="F738" s="75"/>
      <c r="G738" s="75"/>
      <c r="H738" s="75"/>
      <c r="I738" s="75"/>
      <c r="J738" s="75"/>
      <c r="K738" s="75"/>
      <c r="L738" s="75"/>
      <c r="M738" s="75"/>
      <c r="N738" s="75"/>
      <c r="O738" s="75"/>
      <c r="P738" s="75"/>
      <c r="Q738" s="75"/>
      <c r="R738" s="75"/>
      <c r="S738" s="75"/>
      <c r="T738" s="75"/>
      <c r="U738" s="75"/>
    </row>
    <row r="739" spans="1:21" s="79" customFormat="1" ht="15" customHeight="1" x14ac:dyDescent="0.25">
      <c r="A739" s="75"/>
      <c r="B739" s="75"/>
      <c r="C739" s="75"/>
      <c r="D739" s="75"/>
      <c r="E739" s="75"/>
      <c r="F739" s="75"/>
      <c r="G739" s="75"/>
      <c r="H739" s="75"/>
      <c r="I739" s="75"/>
      <c r="J739" s="75"/>
      <c r="K739" s="75"/>
      <c r="L739" s="75"/>
      <c r="M739" s="75"/>
      <c r="N739" s="75"/>
      <c r="O739" s="75"/>
      <c r="P739" s="75"/>
      <c r="Q739" s="75"/>
      <c r="R739" s="75"/>
      <c r="S739" s="75"/>
      <c r="T739" s="75"/>
      <c r="U739" s="75"/>
    </row>
    <row r="740" spans="1:21" s="79" customFormat="1" ht="15" customHeight="1" x14ac:dyDescent="0.25">
      <c r="A740" s="75"/>
      <c r="B740" s="75"/>
      <c r="C740" s="75"/>
      <c r="D740" s="75"/>
      <c r="E740" s="75"/>
      <c r="F740" s="75"/>
      <c r="G740" s="75"/>
      <c r="H740" s="75"/>
      <c r="I740" s="75"/>
      <c r="J740" s="75"/>
      <c r="K740" s="75"/>
      <c r="L740" s="75"/>
      <c r="M740" s="75"/>
      <c r="N740" s="75"/>
      <c r="O740" s="75"/>
      <c r="P740" s="75"/>
      <c r="Q740" s="75"/>
      <c r="R740" s="75"/>
      <c r="S740" s="75"/>
      <c r="T740" s="75"/>
      <c r="U740" s="75"/>
    </row>
    <row r="741" spans="1:21" s="79" customFormat="1" ht="15" customHeight="1" x14ac:dyDescent="0.25">
      <c r="A741" s="75"/>
      <c r="B741" s="75"/>
      <c r="C741" s="75"/>
      <c r="D741" s="75"/>
      <c r="E741" s="75"/>
      <c r="F741" s="75"/>
      <c r="G741" s="75"/>
      <c r="H741" s="75"/>
      <c r="I741" s="75"/>
      <c r="J741" s="75"/>
      <c r="K741" s="75"/>
      <c r="L741" s="75"/>
      <c r="M741" s="75"/>
      <c r="N741" s="75"/>
      <c r="O741" s="75"/>
      <c r="P741" s="75"/>
      <c r="Q741" s="75"/>
      <c r="R741" s="75"/>
      <c r="S741" s="75"/>
      <c r="T741" s="75"/>
      <c r="U741" s="75"/>
    </row>
    <row r="742" spans="1:21" s="79" customFormat="1" ht="15" customHeight="1" x14ac:dyDescent="0.25">
      <c r="A742" s="75"/>
      <c r="B742" s="75"/>
      <c r="C742" s="75"/>
      <c r="D742" s="75"/>
      <c r="E742" s="75"/>
      <c r="F742" s="75"/>
      <c r="G742" s="75"/>
      <c r="H742" s="75"/>
      <c r="I742" s="75"/>
      <c r="J742" s="75"/>
      <c r="K742" s="75"/>
      <c r="L742" s="75"/>
      <c r="M742" s="75"/>
      <c r="N742" s="75"/>
      <c r="O742" s="75"/>
      <c r="P742" s="75"/>
      <c r="Q742" s="75"/>
      <c r="R742" s="75"/>
      <c r="S742" s="75"/>
      <c r="T742" s="75"/>
      <c r="U742" s="75"/>
    </row>
    <row r="743" spans="1:21" s="79" customFormat="1" ht="15" customHeight="1" x14ac:dyDescent="0.25">
      <c r="A743" s="75"/>
      <c r="B743" s="75"/>
      <c r="C743" s="75"/>
      <c r="D743" s="75"/>
      <c r="E743" s="75"/>
      <c r="F743" s="75"/>
      <c r="G743" s="75"/>
      <c r="H743" s="75"/>
      <c r="I743" s="75"/>
      <c r="J743" s="75"/>
      <c r="K743" s="75"/>
      <c r="L743" s="75"/>
      <c r="M743" s="75"/>
      <c r="N743" s="75"/>
      <c r="O743" s="75"/>
      <c r="P743" s="75"/>
      <c r="Q743" s="75"/>
      <c r="R743" s="75"/>
      <c r="S743" s="75"/>
      <c r="T743" s="75"/>
      <c r="U743" s="75"/>
    </row>
    <row r="744" spans="1:21" s="79" customFormat="1" ht="15" customHeight="1" x14ac:dyDescent="0.25">
      <c r="A744" s="75"/>
      <c r="B744" s="75"/>
      <c r="C744" s="75"/>
      <c r="D744" s="75"/>
      <c r="E744" s="75"/>
      <c r="F744" s="75"/>
      <c r="G744" s="75"/>
      <c r="H744" s="75"/>
      <c r="I744" s="75"/>
      <c r="J744" s="75"/>
      <c r="K744" s="75"/>
      <c r="L744" s="75"/>
      <c r="M744" s="75"/>
      <c r="N744" s="75"/>
      <c r="O744" s="75"/>
      <c r="P744" s="75"/>
      <c r="Q744" s="75"/>
      <c r="R744" s="75"/>
      <c r="S744" s="75"/>
      <c r="T744" s="75"/>
      <c r="U744" s="75"/>
    </row>
    <row r="745" spans="1:21" s="79" customFormat="1" ht="15" customHeight="1" x14ac:dyDescent="0.25">
      <c r="A745" s="75"/>
      <c r="B745" s="75"/>
      <c r="C745" s="75"/>
      <c r="D745" s="75"/>
      <c r="E745" s="75"/>
      <c r="F745" s="75"/>
      <c r="G745" s="75"/>
      <c r="H745" s="75"/>
      <c r="I745" s="75"/>
      <c r="J745" s="75"/>
      <c r="K745" s="75"/>
      <c r="L745" s="75"/>
      <c r="M745" s="75"/>
      <c r="N745" s="75"/>
      <c r="O745" s="75"/>
      <c r="P745" s="75"/>
      <c r="Q745" s="75"/>
      <c r="R745" s="75"/>
      <c r="S745" s="75"/>
      <c r="T745" s="75"/>
      <c r="U745" s="75"/>
    </row>
    <row r="746" spans="1:21" s="79" customFormat="1" ht="15" customHeight="1" x14ac:dyDescent="0.25">
      <c r="A746" s="75"/>
      <c r="B746" s="75"/>
      <c r="C746" s="75"/>
      <c r="D746" s="75"/>
      <c r="E746" s="75"/>
      <c r="F746" s="75"/>
      <c r="G746" s="75"/>
      <c r="H746" s="75"/>
      <c r="I746" s="75"/>
      <c r="J746" s="75"/>
      <c r="K746" s="75"/>
      <c r="L746" s="75"/>
      <c r="M746" s="75"/>
      <c r="N746" s="75"/>
      <c r="O746" s="75"/>
      <c r="P746" s="75"/>
      <c r="Q746" s="75"/>
      <c r="R746" s="75"/>
      <c r="S746" s="75"/>
      <c r="T746" s="75"/>
      <c r="U746" s="75"/>
    </row>
    <row r="747" spans="1:21" s="79" customFormat="1" ht="15" customHeight="1" x14ac:dyDescent="0.25">
      <c r="A747" s="75"/>
      <c r="B747" s="75"/>
      <c r="C747" s="75"/>
      <c r="D747" s="75"/>
      <c r="E747" s="75"/>
      <c r="F747" s="75"/>
      <c r="G747" s="75"/>
      <c r="H747" s="75"/>
      <c r="I747" s="75"/>
      <c r="J747" s="75"/>
      <c r="K747" s="75"/>
      <c r="L747" s="75"/>
      <c r="M747" s="75"/>
      <c r="N747" s="75"/>
      <c r="O747" s="75"/>
      <c r="P747" s="75"/>
      <c r="Q747" s="75"/>
      <c r="R747" s="75"/>
      <c r="S747" s="75"/>
      <c r="T747" s="75"/>
      <c r="U747" s="75"/>
    </row>
    <row r="748" spans="1:21" s="79" customFormat="1" ht="15" customHeight="1" x14ac:dyDescent="0.25">
      <c r="A748" s="75"/>
      <c r="B748" s="75"/>
      <c r="C748" s="75"/>
      <c r="D748" s="75"/>
      <c r="E748" s="75"/>
      <c r="F748" s="75"/>
      <c r="G748" s="75"/>
      <c r="H748" s="75"/>
      <c r="I748" s="75"/>
      <c r="J748" s="75"/>
      <c r="K748" s="75"/>
      <c r="L748" s="75"/>
      <c r="M748" s="75"/>
      <c r="N748" s="75"/>
      <c r="O748" s="75"/>
      <c r="P748" s="75"/>
      <c r="Q748" s="75"/>
      <c r="R748" s="75"/>
      <c r="S748" s="75"/>
      <c r="T748" s="75"/>
      <c r="U748" s="75"/>
    </row>
    <row r="749" spans="1:21" s="79" customFormat="1" ht="15" customHeight="1" x14ac:dyDescent="0.25">
      <c r="A749" s="75"/>
      <c r="B749" s="75"/>
      <c r="C749" s="75"/>
      <c r="D749" s="75"/>
      <c r="E749" s="75"/>
      <c r="F749" s="75"/>
      <c r="G749" s="75"/>
      <c r="H749" s="75"/>
      <c r="I749" s="75"/>
      <c r="J749" s="75"/>
      <c r="K749" s="75"/>
      <c r="L749" s="75"/>
      <c r="M749" s="75"/>
      <c r="N749" s="75"/>
      <c r="O749" s="75"/>
      <c r="P749" s="75"/>
      <c r="Q749" s="75"/>
      <c r="R749" s="75"/>
      <c r="S749" s="75"/>
      <c r="T749" s="75"/>
      <c r="U749" s="75"/>
    </row>
    <row r="750" spans="1:21" s="79" customFormat="1" ht="15" customHeight="1" x14ac:dyDescent="0.25">
      <c r="A750" s="75"/>
      <c r="B750" s="75"/>
      <c r="C750" s="75"/>
      <c r="D750" s="75"/>
      <c r="E750" s="75"/>
      <c r="F750" s="75"/>
      <c r="G750" s="75"/>
      <c r="H750" s="75"/>
      <c r="I750" s="75"/>
      <c r="J750" s="75"/>
      <c r="K750" s="75"/>
      <c r="L750" s="75"/>
      <c r="M750" s="75"/>
      <c r="N750" s="75"/>
      <c r="O750" s="75"/>
      <c r="P750" s="75"/>
      <c r="Q750" s="75"/>
      <c r="R750" s="75"/>
      <c r="S750" s="75"/>
      <c r="T750" s="75"/>
      <c r="U750" s="75"/>
    </row>
    <row r="751" spans="1:21" s="79" customFormat="1" ht="15" customHeight="1" x14ac:dyDescent="0.25">
      <c r="A751" s="75"/>
      <c r="B751" s="75"/>
      <c r="C751" s="75"/>
      <c r="D751" s="75"/>
      <c r="E751" s="75"/>
      <c r="F751" s="75"/>
      <c r="G751" s="75"/>
      <c r="H751" s="75"/>
      <c r="I751" s="75"/>
      <c r="J751" s="75"/>
      <c r="K751" s="75"/>
      <c r="L751" s="75"/>
      <c r="M751" s="75"/>
      <c r="N751" s="75"/>
      <c r="O751" s="75"/>
      <c r="P751" s="75"/>
      <c r="Q751" s="75"/>
      <c r="R751" s="75"/>
      <c r="S751" s="75"/>
      <c r="T751" s="75"/>
      <c r="U751" s="75"/>
    </row>
    <row r="752" spans="1:21" s="79" customFormat="1" ht="15" customHeight="1" x14ac:dyDescent="0.25">
      <c r="A752" s="75"/>
      <c r="B752" s="75"/>
      <c r="C752" s="75"/>
      <c r="D752" s="75"/>
      <c r="E752" s="75"/>
      <c r="F752" s="75"/>
      <c r="G752" s="75"/>
      <c r="H752" s="75"/>
      <c r="I752" s="75"/>
      <c r="J752" s="75"/>
      <c r="K752" s="75"/>
      <c r="L752" s="75"/>
      <c r="M752" s="75"/>
      <c r="N752" s="75"/>
      <c r="O752" s="75"/>
      <c r="P752" s="75"/>
      <c r="Q752" s="75"/>
      <c r="R752" s="75"/>
      <c r="S752" s="75"/>
      <c r="T752" s="75"/>
      <c r="U752" s="75"/>
    </row>
    <row r="753" spans="1:21" s="79" customFormat="1" ht="15" customHeight="1" x14ac:dyDescent="0.25">
      <c r="A753" s="75"/>
      <c r="B753" s="75"/>
      <c r="C753" s="75"/>
      <c r="D753" s="75"/>
      <c r="E753" s="75"/>
      <c r="F753" s="75"/>
      <c r="G753" s="75"/>
      <c r="H753" s="75"/>
      <c r="I753" s="75"/>
      <c r="J753" s="75"/>
      <c r="K753" s="75"/>
      <c r="L753" s="75"/>
      <c r="M753" s="75"/>
      <c r="N753" s="75"/>
      <c r="O753" s="75"/>
      <c r="P753" s="75"/>
      <c r="Q753" s="75"/>
      <c r="R753" s="75"/>
      <c r="S753" s="75"/>
      <c r="T753" s="75"/>
      <c r="U753" s="75"/>
    </row>
    <row r="754" spans="1:21" s="79" customFormat="1" ht="15" customHeight="1" x14ac:dyDescent="0.25">
      <c r="A754" s="75"/>
      <c r="B754" s="75"/>
      <c r="C754" s="75"/>
      <c r="D754" s="75"/>
      <c r="E754" s="75"/>
      <c r="F754" s="75"/>
      <c r="G754" s="75"/>
      <c r="H754" s="75"/>
      <c r="I754" s="75"/>
      <c r="J754" s="75"/>
      <c r="K754" s="75"/>
      <c r="L754" s="75"/>
      <c r="M754" s="75"/>
      <c r="N754" s="75"/>
      <c r="O754" s="75"/>
      <c r="P754" s="75"/>
      <c r="Q754" s="75"/>
      <c r="R754" s="75"/>
      <c r="S754" s="75"/>
      <c r="T754" s="75"/>
      <c r="U754" s="75"/>
    </row>
    <row r="755" spans="1:21" s="79" customFormat="1" ht="15" customHeight="1" x14ac:dyDescent="0.25">
      <c r="A755" s="75"/>
      <c r="B755" s="75"/>
      <c r="C755" s="75"/>
      <c r="D755" s="75"/>
      <c r="E755" s="75"/>
      <c r="F755" s="75"/>
      <c r="G755" s="75"/>
      <c r="H755" s="75"/>
      <c r="I755" s="75"/>
      <c r="J755" s="75"/>
      <c r="K755" s="75"/>
      <c r="L755" s="75"/>
      <c r="M755" s="75"/>
      <c r="N755" s="75"/>
      <c r="O755" s="75"/>
      <c r="P755" s="75"/>
      <c r="Q755" s="75"/>
      <c r="R755" s="75"/>
      <c r="S755" s="75"/>
      <c r="T755" s="75"/>
      <c r="U755" s="75"/>
    </row>
    <row r="756" spans="1:21" s="79" customFormat="1" ht="15" customHeight="1" x14ac:dyDescent="0.25">
      <c r="A756" s="75"/>
      <c r="B756" s="75"/>
      <c r="C756" s="75"/>
      <c r="D756" s="75"/>
      <c r="E756" s="75"/>
      <c r="F756" s="75"/>
      <c r="G756" s="75"/>
      <c r="H756" s="75"/>
      <c r="I756" s="75"/>
      <c r="J756" s="75"/>
      <c r="K756" s="75"/>
      <c r="L756" s="75"/>
      <c r="M756" s="75"/>
      <c r="N756" s="75"/>
      <c r="O756" s="75"/>
      <c r="P756" s="75"/>
      <c r="Q756" s="75"/>
      <c r="R756" s="75"/>
      <c r="S756" s="75"/>
      <c r="T756" s="75"/>
      <c r="U756" s="75"/>
    </row>
    <row r="757" spans="1:21" s="79" customFormat="1" ht="15" customHeight="1" x14ac:dyDescent="0.25">
      <c r="A757" s="75"/>
      <c r="B757" s="75"/>
      <c r="C757" s="75"/>
      <c r="D757" s="75"/>
      <c r="E757" s="75"/>
      <c r="F757" s="75"/>
      <c r="G757" s="75"/>
      <c r="H757" s="75"/>
      <c r="I757" s="75"/>
      <c r="J757" s="75"/>
      <c r="K757" s="75"/>
      <c r="L757" s="75"/>
      <c r="M757" s="75"/>
      <c r="N757" s="75"/>
      <c r="O757" s="75"/>
      <c r="P757" s="75"/>
      <c r="Q757" s="75"/>
      <c r="R757" s="75"/>
      <c r="S757" s="75"/>
      <c r="T757" s="75"/>
      <c r="U757" s="75"/>
    </row>
    <row r="758" spans="1:21" s="79" customFormat="1" ht="15" customHeight="1" x14ac:dyDescent="0.25">
      <c r="A758" s="75"/>
      <c r="B758" s="75"/>
      <c r="C758" s="75"/>
      <c r="D758" s="75"/>
      <c r="E758" s="75"/>
      <c r="F758" s="75"/>
      <c r="G758" s="75"/>
      <c r="H758" s="75"/>
      <c r="I758" s="75"/>
      <c r="J758" s="75"/>
      <c r="K758" s="75"/>
      <c r="L758" s="75"/>
      <c r="M758" s="75"/>
      <c r="N758" s="75"/>
      <c r="O758" s="75"/>
      <c r="P758" s="75"/>
      <c r="Q758" s="75"/>
      <c r="R758" s="75"/>
      <c r="S758" s="75"/>
      <c r="T758" s="75"/>
      <c r="U758" s="75"/>
    </row>
    <row r="759" spans="1:21" s="79" customFormat="1" ht="15" customHeight="1" x14ac:dyDescent="0.25">
      <c r="A759" s="75"/>
      <c r="B759" s="75"/>
      <c r="C759" s="75"/>
      <c r="D759" s="75"/>
      <c r="E759" s="75"/>
      <c r="F759" s="75"/>
      <c r="G759" s="75"/>
      <c r="H759" s="75"/>
      <c r="I759" s="75"/>
      <c r="J759" s="75"/>
      <c r="K759" s="75"/>
      <c r="L759" s="75"/>
      <c r="M759" s="75"/>
      <c r="N759" s="75"/>
      <c r="O759" s="75"/>
      <c r="P759" s="75"/>
      <c r="Q759" s="75"/>
      <c r="R759" s="75"/>
      <c r="S759" s="75"/>
      <c r="T759" s="75"/>
      <c r="U759" s="75"/>
    </row>
    <row r="760" spans="1:21" s="79" customFormat="1" ht="15" customHeight="1" x14ac:dyDescent="0.25">
      <c r="A760" s="75"/>
      <c r="B760" s="75"/>
      <c r="C760" s="75"/>
      <c r="D760" s="75"/>
      <c r="E760" s="75"/>
      <c r="F760" s="75"/>
      <c r="G760" s="75"/>
      <c r="H760" s="75"/>
      <c r="I760" s="75"/>
      <c r="J760" s="75"/>
      <c r="K760" s="75"/>
      <c r="L760" s="75"/>
      <c r="M760" s="75"/>
      <c r="N760" s="75"/>
      <c r="O760" s="75"/>
      <c r="P760" s="75"/>
      <c r="Q760" s="75"/>
      <c r="R760" s="75"/>
      <c r="S760" s="75"/>
      <c r="T760" s="75"/>
      <c r="U760" s="75"/>
    </row>
    <row r="761" spans="1:21" s="79" customFormat="1" ht="15" customHeight="1" x14ac:dyDescent="0.25">
      <c r="A761" s="75"/>
      <c r="B761" s="75"/>
      <c r="C761" s="75"/>
      <c r="D761" s="75"/>
      <c r="E761" s="75"/>
      <c r="F761" s="75"/>
      <c r="G761" s="75"/>
      <c r="H761" s="75"/>
      <c r="I761" s="75"/>
      <c r="J761" s="75"/>
      <c r="K761" s="75"/>
      <c r="L761" s="75"/>
      <c r="M761" s="75"/>
      <c r="N761" s="75"/>
      <c r="O761" s="75"/>
      <c r="P761" s="75"/>
      <c r="Q761" s="75"/>
      <c r="R761" s="75"/>
      <c r="S761" s="75"/>
      <c r="T761" s="75"/>
      <c r="U761" s="75"/>
    </row>
    <row r="762" spans="1:21" s="79" customFormat="1" ht="15" customHeight="1" x14ac:dyDescent="0.25">
      <c r="A762" s="75"/>
      <c r="B762" s="75"/>
      <c r="C762" s="75"/>
      <c r="D762" s="75"/>
      <c r="E762" s="75"/>
      <c r="F762" s="75"/>
      <c r="G762" s="75"/>
      <c r="H762" s="75"/>
      <c r="I762" s="75"/>
      <c r="J762" s="75"/>
      <c r="K762" s="75"/>
      <c r="L762" s="75"/>
      <c r="M762" s="75"/>
      <c r="N762" s="75"/>
      <c r="O762" s="75"/>
      <c r="P762" s="75"/>
      <c r="Q762" s="75"/>
      <c r="R762" s="75"/>
      <c r="S762" s="75"/>
      <c r="T762" s="75"/>
      <c r="U762" s="75"/>
    </row>
    <row r="763" spans="1:21" s="79" customFormat="1" ht="15" customHeight="1" x14ac:dyDescent="0.25">
      <c r="A763" s="75"/>
      <c r="B763" s="75"/>
      <c r="C763" s="75"/>
      <c r="D763" s="75"/>
      <c r="E763" s="75"/>
      <c r="F763" s="75"/>
      <c r="G763" s="75"/>
      <c r="H763" s="75"/>
      <c r="I763" s="75"/>
      <c r="J763" s="75"/>
      <c r="K763" s="75"/>
      <c r="L763" s="75"/>
      <c r="M763" s="75"/>
      <c r="N763" s="75"/>
      <c r="O763" s="75"/>
      <c r="P763" s="75"/>
      <c r="Q763" s="75"/>
      <c r="R763" s="75"/>
      <c r="S763" s="75"/>
      <c r="T763" s="75"/>
      <c r="U763" s="75"/>
    </row>
    <row r="764" spans="1:21" s="79" customFormat="1" ht="15" customHeight="1" x14ac:dyDescent="0.25">
      <c r="A764" s="75"/>
      <c r="B764" s="75"/>
      <c r="C764" s="75"/>
      <c r="D764" s="75"/>
      <c r="E764" s="75"/>
      <c r="F764" s="75"/>
      <c r="G764" s="75"/>
      <c r="H764" s="75"/>
      <c r="I764" s="75"/>
      <c r="J764" s="75"/>
      <c r="K764" s="75"/>
      <c r="L764" s="75"/>
      <c r="M764" s="75"/>
      <c r="N764" s="75"/>
      <c r="O764" s="75"/>
      <c r="P764" s="75"/>
      <c r="Q764" s="75"/>
      <c r="R764" s="75"/>
      <c r="S764" s="75"/>
      <c r="T764" s="75"/>
      <c r="U764" s="75"/>
    </row>
    <row r="765" spans="1:21" s="79" customFormat="1" ht="15" customHeight="1" x14ac:dyDescent="0.25">
      <c r="A765" s="75"/>
      <c r="B765" s="75"/>
      <c r="C765" s="75"/>
      <c r="D765" s="75"/>
      <c r="E765" s="75"/>
      <c r="F765" s="75"/>
      <c r="G765" s="75"/>
      <c r="H765" s="75"/>
      <c r="I765" s="75"/>
      <c r="J765" s="75"/>
      <c r="K765" s="75"/>
      <c r="L765" s="75"/>
      <c r="M765" s="75"/>
      <c r="N765" s="75"/>
      <c r="O765" s="75"/>
      <c r="P765" s="75"/>
      <c r="Q765" s="75"/>
      <c r="R765" s="75"/>
      <c r="S765" s="75"/>
      <c r="T765" s="75"/>
      <c r="U765" s="75"/>
    </row>
    <row r="766" spans="1:21" s="79" customFormat="1" ht="15" customHeight="1" x14ac:dyDescent="0.25">
      <c r="A766" s="75"/>
      <c r="B766" s="75"/>
      <c r="C766" s="75"/>
      <c r="D766" s="75"/>
      <c r="E766" s="75"/>
      <c r="F766" s="75"/>
      <c r="G766" s="75"/>
      <c r="H766" s="75"/>
      <c r="I766" s="75"/>
      <c r="J766" s="75"/>
      <c r="K766" s="75"/>
      <c r="L766" s="75"/>
      <c r="M766" s="75"/>
      <c r="N766" s="75"/>
      <c r="O766" s="75"/>
      <c r="P766" s="75"/>
      <c r="Q766" s="75"/>
      <c r="R766" s="75"/>
      <c r="S766" s="75"/>
      <c r="T766" s="75"/>
      <c r="U766" s="75"/>
    </row>
    <row r="767" spans="1:21" s="79" customFormat="1" ht="15" customHeight="1" x14ac:dyDescent="0.25">
      <c r="A767" s="75"/>
      <c r="B767" s="75"/>
      <c r="C767" s="75"/>
      <c r="D767" s="75"/>
      <c r="E767" s="75"/>
      <c r="F767" s="75"/>
      <c r="G767" s="75"/>
      <c r="H767" s="75"/>
      <c r="I767" s="75"/>
      <c r="J767" s="75"/>
      <c r="K767" s="75"/>
      <c r="L767" s="75"/>
      <c r="M767" s="75"/>
      <c r="N767" s="75"/>
      <c r="O767" s="75"/>
      <c r="P767" s="75"/>
      <c r="Q767" s="75"/>
      <c r="R767" s="75"/>
      <c r="S767" s="75"/>
      <c r="T767" s="75"/>
      <c r="U767" s="75"/>
    </row>
    <row r="768" spans="1:21" s="79" customFormat="1" ht="15" customHeight="1" x14ac:dyDescent="0.25">
      <c r="A768" s="75"/>
      <c r="B768" s="75"/>
      <c r="C768" s="75"/>
      <c r="D768" s="75"/>
      <c r="E768" s="75"/>
      <c r="F768" s="75"/>
      <c r="G768" s="75"/>
      <c r="H768" s="75"/>
      <c r="I768" s="75"/>
      <c r="J768" s="75"/>
      <c r="K768" s="75"/>
      <c r="L768" s="75"/>
      <c r="M768" s="75"/>
      <c r="N768" s="75"/>
      <c r="O768" s="75"/>
      <c r="P768" s="75"/>
      <c r="Q768" s="75"/>
      <c r="R768" s="75"/>
      <c r="S768" s="75"/>
      <c r="T768" s="75"/>
      <c r="U768" s="75"/>
    </row>
    <row r="769" spans="1:21" s="79" customFormat="1" ht="15" customHeight="1" x14ac:dyDescent="0.25">
      <c r="A769" s="75"/>
      <c r="B769" s="75"/>
      <c r="C769" s="75"/>
      <c r="D769" s="75"/>
      <c r="E769" s="75"/>
      <c r="F769" s="75"/>
      <c r="G769" s="75"/>
      <c r="H769" s="75"/>
      <c r="I769" s="75"/>
      <c r="J769" s="75"/>
      <c r="K769" s="75"/>
      <c r="L769" s="75"/>
      <c r="M769" s="75"/>
      <c r="N769" s="75"/>
      <c r="O769" s="75"/>
      <c r="P769" s="75"/>
      <c r="Q769" s="75"/>
      <c r="R769" s="75"/>
      <c r="S769" s="75"/>
      <c r="T769" s="75"/>
      <c r="U769" s="75"/>
    </row>
    <row r="770" spans="1:21" s="79" customFormat="1" ht="15" customHeight="1" x14ac:dyDescent="0.25">
      <c r="A770" s="75"/>
      <c r="B770" s="75"/>
      <c r="C770" s="75"/>
      <c r="D770" s="75"/>
      <c r="E770" s="75"/>
      <c r="F770" s="75"/>
      <c r="G770" s="75"/>
      <c r="H770" s="75"/>
      <c r="I770" s="75"/>
      <c r="J770" s="75"/>
      <c r="K770" s="75"/>
      <c r="L770" s="75"/>
      <c r="M770" s="75"/>
      <c r="N770" s="75"/>
      <c r="O770" s="75"/>
      <c r="P770" s="75"/>
      <c r="Q770" s="75"/>
      <c r="R770" s="75"/>
      <c r="S770" s="75"/>
      <c r="T770" s="75"/>
      <c r="U770" s="75"/>
    </row>
    <row r="771" spans="1:21" s="79" customFormat="1" ht="15" customHeight="1" x14ac:dyDescent="0.25">
      <c r="A771" s="75"/>
      <c r="B771" s="75"/>
      <c r="C771" s="75"/>
      <c r="D771" s="75"/>
      <c r="E771" s="75"/>
      <c r="F771" s="75"/>
      <c r="G771" s="75"/>
      <c r="H771" s="75"/>
      <c r="I771" s="75"/>
      <c r="J771" s="75"/>
      <c r="K771" s="75"/>
      <c r="L771" s="75"/>
      <c r="M771" s="75"/>
      <c r="N771" s="75"/>
      <c r="O771" s="75"/>
      <c r="P771" s="75"/>
      <c r="Q771" s="75"/>
      <c r="R771" s="75"/>
      <c r="S771" s="75"/>
      <c r="T771" s="75"/>
      <c r="U771" s="75"/>
    </row>
    <row r="772" spans="1:21" s="79" customFormat="1" ht="15" customHeight="1" x14ac:dyDescent="0.25">
      <c r="A772" s="75"/>
      <c r="B772" s="75"/>
      <c r="C772" s="75"/>
      <c r="D772" s="75"/>
      <c r="E772" s="75"/>
      <c r="F772" s="75"/>
      <c r="G772" s="75"/>
      <c r="H772" s="75"/>
      <c r="I772" s="75"/>
      <c r="J772" s="75"/>
      <c r="K772" s="75"/>
      <c r="L772" s="75"/>
      <c r="M772" s="75"/>
      <c r="N772" s="75"/>
      <c r="O772" s="75"/>
      <c r="P772" s="75"/>
      <c r="Q772" s="75"/>
      <c r="R772" s="75"/>
      <c r="S772" s="75"/>
      <c r="T772" s="75"/>
      <c r="U772" s="75"/>
    </row>
    <row r="773" spans="1:21" s="79" customFormat="1" ht="15" customHeight="1" x14ac:dyDescent="0.25">
      <c r="A773" s="75"/>
      <c r="B773" s="75"/>
      <c r="C773" s="75"/>
      <c r="D773" s="75"/>
      <c r="E773" s="75"/>
      <c r="F773" s="75"/>
      <c r="G773" s="75"/>
      <c r="H773" s="75"/>
      <c r="I773" s="75"/>
      <c r="J773" s="75"/>
      <c r="K773" s="75"/>
      <c r="L773" s="75"/>
      <c r="M773" s="75"/>
      <c r="N773" s="75"/>
      <c r="O773" s="75"/>
      <c r="P773" s="75"/>
      <c r="Q773" s="75"/>
      <c r="R773" s="75"/>
      <c r="S773" s="75"/>
      <c r="T773" s="75"/>
      <c r="U773" s="75"/>
    </row>
    <row r="774" spans="1:21" s="79" customFormat="1" ht="15" customHeight="1" x14ac:dyDescent="0.25">
      <c r="A774" s="75"/>
      <c r="B774" s="75"/>
      <c r="C774" s="75"/>
      <c r="D774" s="75"/>
      <c r="E774" s="75"/>
      <c r="F774" s="75"/>
      <c r="G774" s="75"/>
      <c r="H774" s="75"/>
      <c r="I774" s="75"/>
      <c r="J774" s="75"/>
      <c r="K774" s="75"/>
      <c r="L774" s="75"/>
      <c r="M774" s="75"/>
      <c r="N774" s="75"/>
      <c r="O774" s="75"/>
      <c r="P774" s="75"/>
      <c r="Q774" s="75"/>
      <c r="R774" s="75"/>
      <c r="S774" s="75"/>
      <c r="T774" s="75"/>
      <c r="U774" s="75"/>
    </row>
    <row r="775" spans="1:21" s="79" customFormat="1" ht="15" customHeight="1" x14ac:dyDescent="0.25">
      <c r="A775" s="75"/>
      <c r="B775" s="75"/>
      <c r="C775" s="75"/>
      <c r="D775" s="75"/>
      <c r="E775" s="75"/>
      <c r="F775" s="75"/>
      <c r="G775" s="75"/>
      <c r="H775" s="75"/>
      <c r="I775" s="75"/>
      <c r="J775" s="75"/>
      <c r="K775" s="75"/>
      <c r="L775" s="75"/>
      <c r="M775" s="75"/>
      <c r="N775" s="75"/>
      <c r="O775" s="75"/>
      <c r="P775" s="75"/>
      <c r="Q775" s="75"/>
      <c r="R775" s="75"/>
      <c r="S775" s="75"/>
      <c r="T775" s="75"/>
      <c r="U775" s="75"/>
    </row>
    <row r="776" spans="1:21" s="79" customFormat="1" ht="15" customHeight="1" x14ac:dyDescent="0.25">
      <c r="A776" s="75"/>
      <c r="B776" s="75"/>
      <c r="C776" s="75"/>
      <c r="D776" s="75"/>
      <c r="E776" s="75"/>
      <c r="F776" s="75"/>
      <c r="G776" s="75"/>
      <c r="H776" s="75"/>
      <c r="I776" s="75"/>
      <c r="J776" s="75"/>
      <c r="K776" s="75"/>
      <c r="L776" s="75"/>
      <c r="M776" s="75"/>
      <c r="N776" s="75"/>
      <c r="O776" s="75"/>
      <c r="P776" s="75"/>
      <c r="Q776" s="75"/>
      <c r="R776" s="75"/>
      <c r="S776" s="75"/>
      <c r="T776" s="75"/>
      <c r="U776" s="75"/>
    </row>
    <row r="777" spans="1:21" s="79" customFormat="1" ht="15" customHeight="1" x14ac:dyDescent="0.25">
      <c r="A777" s="75"/>
      <c r="B777" s="75"/>
      <c r="C777" s="75"/>
      <c r="D777" s="75"/>
      <c r="E777" s="75"/>
      <c r="F777" s="75"/>
      <c r="G777" s="75"/>
      <c r="H777" s="75"/>
      <c r="I777" s="75"/>
      <c r="J777" s="75"/>
      <c r="K777" s="75"/>
      <c r="L777" s="75"/>
      <c r="M777" s="75"/>
      <c r="N777" s="75"/>
      <c r="O777" s="75"/>
      <c r="P777" s="75"/>
      <c r="Q777" s="75"/>
      <c r="R777" s="75"/>
      <c r="S777" s="75"/>
      <c r="T777" s="75"/>
      <c r="U777" s="75"/>
    </row>
    <row r="778" spans="1:21" s="79" customFormat="1" ht="15" customHeight="1" x14ac:dyDescent="0.25">
      <c r="A778" s="75"/>
      <c r="B778" s="75"/>
      <c r="C778" s="75"/>
      <c r="D778" s="75"/>
      <c r="E778" s="75"/>
      <c r="F778" s="75"/>
      <c r="G778" s="75"/>
      <c r="H778" s="75"/>
      <c r="I778" s="75"/>
      <c r="J778" s="75"/>
      <c r="K778" s="75"/>
      <c r="L778" s="75"/>
      <c r="M778" s="75"/>
      <c r="N778" s="75"/>
      <c r="O778" s="75"/>
      <c r="P778" s="75"/>
      <c r="Q778" s="75"/>
      <c r="R778" s="75"/>
      <c r="S778" s="75"/>
      <c r="T778" s="75"/>
      <c r="U778" s="75"/>
    </row>
    <row r="779" spans="1:21" s="79" customFormat="1" ht="15" customHeight="1" x14ac:dyDescent="0.25">
      <c r="A779" s="75"/>
      <c r="B779" s="75"/>
      <c r="C779" s="75"/>
      <c r="D779" s="75"/>
      <c r="E779" s="75"/>
      <c r="F779" s="75"/>
      <c r="G779" s="75"/>
      <c r="H779" s="75"/>
      <c r="I779" s="75"/>
      <c r="J779" s="75"/>
      <c r="K779" s="75"/>
      <c r="L779" s="75"/>
      <c r="M779" s="75"/>
      <c r="N779" s="75"/>
      <c r="O779" s="75"/>
      <c r="P779" s="75"/>
      <c r="Q779" s="75"/>
      <c r="R779" s="75"/>
      <c r="S779" s="75"/>
      <c r="T779" s="75"/>
      <c r="U779" s="75"/>
    </row>
    <row r="780" spans="1:21" s="79" customFormat="1" ht="15" customHeight="1" x14ac:dyDescent="0.25">
      <c r="A780" s="75"/>
      <c r="B780" s="75"/>
      <c r="C780" s="75"/>
      <c r="D780" s="75"/>
      <c r="E780" s="75"/>
      <c r="F780" s="75"/>
      <c r="G780" s="75"/>
      <c r="H780" s="75"/>
      <c r="I780" s="75"/>
      <c r="J780" s="75"/>
      <c r="K780" s="75"/>
      <c r="L780" s="75"/>
      <c r="M780" s="75"/>
      <c r="N780" s="75"/>
      <c r="O780" s="75"/>
      <c r="P780" s="75"/>
      <c r="Q780" s="75"/>
      <c r="R780" s="75"/>
      <c r="S780" s="75"/>
      <c r="T780" s="75"/>
      <c r="U780" s="75"/>
    </row>
    <row r="781" spans="1:21" s="79" customFormat="1" ht="15" customHeight="1" x14ac:dyDescent="0.25">
      <c r="A781" s="75"/>
      <c r="B781" s="75"/>
      <c r="C781" s="75"/>
      <c r="D781" s="75"/>
      <c r="E781" s="75"/>
      <c r="F781" s="75"/>
      <c r="G781" s="75"/>
      <c r="H781" s="75"/>
      <c r="I781" s="75"/>
      <c r="J781" s="75"/>
      <c r="K781" s="75"/>
      <c r="L781" s="75"/>
      <c r="M781" s="75"/>
      <c r="N781" s="75"/>
      <c r="O781" s="75"/>
      <c r="P781" s="75"/>
      <c r="Q781" s="75"/>
      <c r="R781" s="75"/>
      <c r="S781" s="75"/>
      <c r="T781" s="75"/>
      <c r="U781" s="75"/>
    </row>
    <row r="782" spans="1:21" s="79" customFormat="1" ht="15" customHeight="1" x14ac:dyDescent="0.25">
      <c r="A782" s="75"/>
      <c r="B782" s="75"/>
      <c r="C782" s="75"/>
      <c r="D782" s="75"/>
      <c r="E782" s="75"/>
      <c r="F782" s="75"/>
      <c r="G782" s="75"/>
      <c r="H782" s="75"/>
      <c r="I782" s="75"/>
      <c r="J782" s="75"/>
      <c r="K782" s="75"/>
      <c r="L782" s="75"/>
      <c r="M782" s="75"/>
      <c r="N782" s="75"/>
      <c r="O782" s="75"/>
      <c r="P782" s="75"/>
      <c r="Q782" s="75"/>
      <c r="R782" s="75"/>
      <c r="S782" s="75"/>
      <c r="T782" s="75"/>
      <c r="U782" s="75"/>
    </row>
    <row r="783" spans="1:21" s="79" customFormat="1" ht="15" customHeight="1" x14ac:dyDescent="0.25">
      <c r="A783" s="75"/>
      <c r="B783" s="75"/>
      <c r="C783" s="75"/>
      <c r="D783" s="75"/>
      <c r="E783" s="75"/>
      <c r="F783" s="75"/>
      <c r="G783" s="75"/>
      <c r="H783" s="75"/>
      <c r="I783" s="75"/>
      <c r="J783" s="75"/>
      <c r="K783" s="75"/>
      <c r="L783" s="75"/>
      <c r="M783" s="75"/>
      <c r="N783" s="75"/>
      <c r="O783" s="75"/>
      <c r="P783" s="75"/>
      <c r="Q783" s="75"/>
      <c r="R783" s="75"/>
      <c r="S783" s="75"/>
      <c r="T783" s="75"/>
      <c r="U783" s="75"/>
    </row>
    <row r="784" spans="1:21" s="79" customFormat="1" ht="15" customHeight="1" x14ac:dyDescent="0.25">
      <c r="A784" s="75"/>
      <c r="B784" s="75"/>
      <c r="C784" s="75"/>
      <c r="D784" s="75"/>
      <c r="E784" s="75"/>
      <c r="F784" s="75"/>
      <c r="G784" s="75"/>
      <c r="H784" s="75"/>
      <c r="I784" s="75"/>
      <c r="J784" s="75"/>
      <c r="K784" s="75"/>
      <c r="L784" s="75"/>
      <c r="M784" s="75"/>
      <c r="N784" s="75"/>
      <c r="O784" s="75"/>
      <c r="P784" s="75"/>
      <c r="Q784" s="75"/>
      <c r="R784" s="75"/>
      <c r="S784" s="75"/>
      <c r="T784" s="75"/>
      <c r="U784" s="75"/>
    </row>
    <row r="785" spans="1:21" s="79" customFormat="1" ht="15" customHeight="1" x14ac:dyDescent="0.25">
      <c r="A785" s="75"/>
      <c r="B785" s="75"/>
      <c r="C785" s="75"/>
      <c r="D785" s="75"/>
      <c r="E785" s="75"/>
      <c r="F785" s="75"/>
      <c r="G785" s="75"/>
      <c r="H785" s="75"/>
      <c r="I785" s="75"/>
      <c r="J785" s="75"/>
      <c r="K785" s="75"/>
      <c r="L785" s="75"/>
      <c r="M785" s="75"/>
      <c r="N785" s="75"/>
      <c r="O785" s="75"/>
      <c r="P785" s="75"/>
      <c r="Q785" s="75"/>
      <c r="R785" s="75"/>
      <c r="S785" s="75"/>
      <c r="T785" s="75"/>
      <c r="U785" s="75"/>
    </row>
    <row r="786" spans="1:21" s="79" customFormat="1" ht="15" customHeight="1" x14ac:dyDescent="0.25">
      <c r="A786" s="75"/>
      <c r="B786" s="75"/>
      <c r="C786" s="75"/>
      <c r="D786" s="75"/>
      <c r="E786" s="75"/>
      <c r="F786" s="75"/>
      <c r="G786" s="75"/>
      <c r="H786" s="75"/>
      <c r="I786" s="75"/>
      <c r="J786" s="75"/>
      <c r="K786" s="75"/>
      <c r="L786" s="75"/>
      <c r="M786" s="75"/>
      <c r="N786" s="75"/>
      <c r="O786" s="75"/>
      <c r="P786" s="75"/>
      <c r="Q786" s="75"/>
      <c r="R786" s="75"/>
      <c r="S786" s="75"/>
      <c r="T786" s="75"/>
      <c r="U786" s="75"/>
    </row>
    <row r="787" spans="1:21" s="79" customFormat="1" ht="15" customHeight="1" x14ac:dyDescent="0.25">
      <c r="A787" s="75"/>
      <c r="B787" s="75"/>
      <c r="C787" s="75"/>
      <c r="D787" s="75"/>
      <c r="E787" s="75"/>
      <c r="F787" s="75"/>
      <c r="G787" s="75"/>
      <c r="H787" s="75"/>
      <c r="I787" s="75"/>
      <c r="J787" s="75"/>
      <c r="K787" s="75"/>
      <c r="L787" s="75"/>
      <c r="M787" s="75"/>
      <c r="N787" s="75"/>
      <c r="O787" s="75"/>
      <c r="P787" s="75"/>
      <c r="Q787" s="75"/>
      <c r="R787" s="75"/>
      <c r="S787" s="75"/>
      <c r="T787" s="75"/>
      <c r="U787" s="75"/>
    </row>
    <row r="788" spans="1:21" s="79" customFormat="1" ht="15" customHeight="1" x14ac:dyDescent="0.25">
      <c r="A788" s="75"/>
      <c r="B788" s="75"/>
      <c r="C788" s="75"/>
      <c r="D788" s="75"/>
      <c r="E788" s="75"/>
      <c r="F788" s="75"/>
      <c r="G788" s="75"/>
      <c r="H788" s="75"/>
      <c r="I788" s="75"/>
      <c r="J788" s="75"/>
      <c r="K788" s="75"/>
      <c r="L788" s="75"/>
      <c r="M788" s="75"/>
      <c r="N788" s="75"/>
      <c r="O788" s="75"/>
      <c r="P788" s="75"/>
      <c r="Q788" s="75"/>
      <c r="R788" s="75"/>
      <c r="S788" s="75"/>
      <c r="T788" s="75"/>
      <c r="U788" s="75"/>
    </row>
    <row r="789" spans="1:21" s="79" customFormat="1" ht="15" customHeight="1" x14ac:dyDescent="0.25">
      <c r="A789" s="75"/>
      <c r="B789" s="75"/>
      <c r="C789" s="75"/>
      <c r="D789" s="75"/>
      <c r="E789" s="75"/>
      <c r="F789" s="75"/>
      <c r="G789" s="75"/>
      <c r="H789" s="75"/>
      <c r="I789" s="75"/>
      <c r="J789" s="75"/>
      <c r="K789" s="75"/>
      <c r="L789" s="75"/>
      <c r="M789" s="75"/>
      <c r="N789" s="75"/>
      <c r="O789" s="75"/>
      <c r="P789" s="75"/>
      <c r="Q789" s="75"/>
      <c r="R789" s="75"/>
      <c r="S789" s="75"/>
      <c r="T789" s="75"/>
      <c r="U789" s="75"/>
    </row>
    <row r="790" spans="1:21" s="79" customFormat="1" ht="15" customHeight="1" x14ac:dyDescent="0.25">
      <c r="A790" s="75"/>
      <c r="B790" s="75"/>
      <c r="C790" s="75"/>
      <c r="D790" s="75"/>
      <c r="E790" s="75"/>
      <c r="F790" s="75"/>
      <c r="G790" s="75"/>
      <c r="H790" s="75"/>
      <c r="I790" s="75"/>
      <c r="J790" s="75"/>
      <c r="K790" s="75"/>
      <c r="L790" s="75"/>
      <c r="M790" s="75"/>
      <c r="N790" s="75"/>
      <c r="O790" s="75"/>
      <c r="P790" s="75"/>
      <c r="Q790" s="75"/>
      <c r="R790" s="75"/>
      <c r="S790" s="75"/>
      <c r="T790" s="75"/>
      <c r="U790" s="75"/>
    </row>
    <row r="791" spans="1:21" s="79" customFormat="1" ht="15" customHeight="1" x14ac:dyDescent="0.25">
      <c r="A791" s="75"/>
      <c r="B791" s="75"/>
      <c r="C791" s="75"/>
      <c r="D791" s="75"/>
      <c r="E791" s="75"/>
      <c r="F791" s="75"/>
      <c r="G791" s="75"/>
      <c r="H791" s="75"/>
      <c r="I791" s="75"/>
      <c r="J791" s="75"/>
      <c r="K791" s="75"/>
      <c r="L791" s="75"/>
      <c r="M791" s="75"/>
      <c r="N791" s="75"/>
      <c r="O791" s="75"/>
      <c r="P791" s="75"/>
      <c r="Q791" s="75"/>
      <c r="R791" s="75"/>
      <c r="S791" s="75"/>
      <c r="T791" s="75"/>
      <c r="U791" s="75"/>
    </row>
    <row r="792" spans="1:21" s="79" customFormat="1" ht="15" customHeight="1" x14ac:dyDescent="0.25">
      <c r="A792" s="75"/>
      <c r="B792" s="75"/>
      <c r="C792" s="75"/>
      <c r="D792" s="75"/>
      <c r="E792" s="75"/>
      <c r="F792" s="75"/>
      <c r="G792" s="75"/>
      <c r="H792" s="75"/>
      <c r="I792" s="75"/>
      <c r="J792" s="75"/>
      <c r="K792" s="75"/>
      <c r="L792" s="75"/>
      <c r="M792" s="75"/>
      <c r="N792" s="75"/>
      <c r="O792" s="75"/>
      <c r="P792" s="75"/>
      <c r="Q792" s="75"/>
      <c r="R792" s="75"/>
      <c r="S792" s="75"/>
      <c r="T792" s="75"/>
      <c r="U792" s="75"/>
    </row>
    <row r="793" spans="1:21" s="79" customFormat="1" ht="15" customHeight="1" x14ac:dyDescent="0.25">
      <c r="A793" s="75"/>
      <c r="B793" s="75"/>
      <c r="C793" s="75"/>
      <c r="D793" s="75"/>
      <c r="E793" s="75"/>
      <c r="F793" s="75"/>
      <c r="G793" s="75"/>
      <c r="H793" s="75"/>
      <c r="I793" s="75"/>
      <c r="J793" s="75"/>
      <c r="K793" s="75"/>
      <c r="L793" s="75"/>
      <c r="M793" s="75"/>
      <c r="N793" s="75"/>
      <c r="O793" s="75"/>
      <c r="P793" s="75"/>
      <c r="Q793" s="75"/>
      <c r="R793" s="75"/>
      <c r="S793" s="75"/>
      <c r="T793" s="75"/>
      <c r="U793" s="75"/>
    </row>
    <row r="794" spans="1:21" s="79" customFormat="1" ht="15" customHeight="1" x14ac:dyDescent="0.25">
      <c r="A794" s="75"/>
      <c r="B794" s="75"/>
      <c r="C794" s="75"/>
      <c r="D794" s="75"/>
      <c r="E794" s="75"/>
      <c r="F794" s="75"/>
      <c r="G794" s="75"/>
      <c r="H794" s="75"/>
      <c r="I794" s="75"/>
      <c r="J794" s="75"/>
      <c r="K794" s="75"/>
      <c r="L794" s="75"/>
      <c r="M794" s="75"/>
      <c r="N794" s="75"/>
      <c r="O794" s="75"/>
      <c r="P794" s="75"/>
      <c r="Q794" s="75"/>
      <c r="R794" s="75"/>
      <c r="S794" s="75"/>
      <c r="T794" s="75"/>
      <c r="U794" s="75"/>
    </row>
    <row r="795" spans="1:21" s="79" customFormat="1" ht="15" customHeight="1" x14ac:dyDescent="0.25">
      <c r="A795" s="75"/>
      <c r="B795" s="75"/>
      <c r="C795" s="75"/>
      <c r="D795" s="75"/>
      <c r="E795" s="75"/>
      <c r="F795" s="75"/>
      <c r="G795" s="75"/>
      <c r="H795" s="75"/>
      <c r="I795" s="75"/>
      <c r="J795" s="75"/>
      <c r="K795" s="75"/>
      <c r="L795" s="75"/>
      <c r="M795" s="75"/>
      <c r="N795" s="75"/>
      <c r="O795" s="75"/>
      <c r="P795" s="75"/>
      <c r="Q795" s="75"/>
      <c r="R795" s="75"/>
      <c r="S795" s="75"/>
      <c r="T795" s="75"/>
      <c r="U795" s="75"/>
    </row>
    <row r="796" spans="1:21" s="79" customFormat="1" ht="15" customHeight="1" x14ac:dyDescent="0.25">
      <c r="A796" s="75"/>
      <c r="B796" s="75"/>
      <c r="C796" s="75"/>
      <c r="D796" s="75"/>
      <c r="E796" s="75"/>
      <c r="F796" s="75"/>
      <c r="G796" s="75"/>
      <c r="H796" s="75"/>
      <c r="I796" s="75"/>
      <c r="J796" s="75"/>
      <c r="K796" s="75"/>
      <c r="L796" s="75"/>
      <c r="M796" s="75"/>
      <c r="N796" s="75"/>
      <c r="O796" s="75"/>
      <c r="P796" s="75"/>
      <c r="Q796" s="75"/>
      <c r="R796" s="75"/>
      <c r="S796" s="75"/>
      <c r="T796" s="75"/>
      <c r="U796" s="75"/>
    </row>
    <row r="797" spans="1:21" s="79" customFormat="1" ht="15" customHeight="1" x14ac:dyDescent="0.25">
      <c r="A797" s="75"/>
      <c r="B797" s="75"/>
      <c r="C797" s="75"/>
      <c r="D797" s="75"/>
      <c r="E797" s="75"/>
      <c r="F797" s="75"/>
      <c r="G797" s="75"/>
      <c r="H797" s="75"/>
      <c r="I797" s="75"/>
      <c r="J797" s="75"/>
      <c r="K797" s="75"/>
      <c r="L797" s="75"/>
      <c r="M797" s="75"/>
      <c r="N797" s="75"/>
      <c r="O797" s="75"/>
      <c r="P797" s="75"/>
      <c r="Q797" s="75"/>
      <c r="R797" s="75"/>
      <c r="S797" s="75"/>
      <c r="T797" s="75"/>
      <c r="U797" s="75"/>
    </row>
    <row r="798" spans="1:21" s="79" customFormat="1" ht="15" customHeight="1" x14ac:dyDescent="0.25">
      <c r="A798" s="75"/>
      <c r="B798" s="75"/>
      <c r="C798" s="75"/>
      <c r="D798" s="75"/>
      <c r="E798" s="75"/>
      <c r="F798" s="75"/>
      <c r="G798" s="75"/>
      <c r="H798" s="75"/>
      <c r="I798" s="75"/>
      <c r="J798" s="75"/>
      <c r="K798" s="75"/>
      <c r="L798" s="75"/>
      <c r="M798" s="75"/>
      <c r="N798" s="75"/>
      <c r="O798" s="75"/>
      <c r="P798" s="75"/>
      <c r="Q798" s="75"/>
      <c r="R798" s="75"/>
      <c r="S798" s="75"/>
      <c r="T798" s="75"/>
      <c r="U798" s="75"/>
    </row>
    <row r="799" spans="1:21" s="79" customFormat="1" ht="15" customHeight="1" x14ac:dyDescent="0.25">
      <c r="A799" s="75"/>
      <c r="B799" s="75"/>
      <c r="C799" s="75"/>
      <c r="D799" s="75"/>
      <c r="E799" s="75"/>
      <c r="F799" s="75"/>
      <c r="G799" s="75"/>
      <c r="H799" s="75"/>
      <c r="I799" s="75"/>
      <c r="J799" s="75"/>
      <c r="K799" s="75"/>
      <c r="L799" s="75"/>
      <c r="M799" s="75"/>
      <c r="N799" s="75"/>
      <c r="O799" s="75"/>
      <c r="P799" s="75"/>
      <c r="Q799" s="75"/>
      <c r="R799" s="75"/>
      <c r="S799" s="75"/>
      <c r="T799" s="75"/>
      <c r="U799" s="75"/>
    </row>
    <row r="800" spans="1:21" s="79" customFormat="1" ht="15" customHeight="1" x14ac:dyDescent="0.25">
      <c r="A800" s="75"/>
      <c r="B800" s="75"/>
      <c r="C800" s="75"/>
      <c r="D800" s="75"/>
      <c r="E800" s="75"/>
      <c r="F800" s="75"/>
      <c r="G800" s="75"/>
      <c r="H800" s="75"/>
      <c r="I800" s="75"/>
      <c r="J800" s="75"/>
      <c r="K800" s="75"/>
      <c r="L800" s="75"/>
      <c r="M800" s="75"/>
      <c r="N800" s="75"/>
      <c r="O800" s="75"/>
      <c r="P800" s="75"/>
      <c r="Q800" s="75"/>
      <c r="R800" s="75"/>
      <c r="S800" s="75"/>
      <c r="T800" s="75"/>
      <c r="U800" s="75"/>
    </row>
    <row r="801" spans="1:21" s="79" customFormat="1" ht="15" customHeight="1" x14ac:dyDescent="0.25">
      <c r="A801" s="75"/>
      <c r="B801" s="75"/>
      <c r="C801" s="75"/>
      <c r="D801" s="75"/>
      <c r="E801" s="75"/>
      <c r="F801" s="75"/>
      <c r="G801" s="75"/>
      <c r="H801" s="75"/>
      <c r="I801" s="75"/>
      <c r="J801" s="75"/>
      <c r="K801" s="75"/>
      <c r="L801" s="75"/>
      <c r="M801" s="75"/>
      <c r="N801" s="75"/>
      <c r="O801" s="75"/>
      <c r="P801" s="75"/>
      <c r="Q801" s="75"/>
      <c r="R801" s="75"/>
      <c r="S801" s="75"/>
      <c r="T801" s="75"/>
      <c r="U801" s="75"/>
    </row>
    <row r="802" spans="1:21" s="79" customFormat="1" ht="15" customHeight="1" x14ac:dyDescent="0.25">
      <c r="A802" s="75"/>
      <c r="B802" s="75"/>
      <c r="C802" s="75"/>
      <c r="D802" s="75"/>
      <c r="E802" s="75"/>
      <c r="F802" s="75"/>
      <c r="G802" s="75"/>
      <c r="H802" s="75"/>
      <c r="I802" s="75"/>
      <c r="J802" s="75"/>
      <c r="K802" s="75"/>
      <c r="L802" s="75"/>
      <c r="M802" s="75"/>
      <c r="N802" s="75"/>
      <c r="O802" s="75"/>
      <c r="P802" s="75"/>
      <c r="Q802" s="75"/>
      <c r="R802" s="75"/>
      <c r="S802" s="75"/>
      <c r="T802" s="75"/>
      <c r="U802" s="75"/>
    </row>
    <row r="803" spans="1:21" s="79" customFormat="1" ht="15" customHeight="1" x14ac:dyDescent="0.25">
      <c r="A803" s="75"/>
      <c r="B803" s="75"/>
      <c r="C803" s="75"/>
      <c r="D803" s="75"/>
      <c r="E803" s="75"/>
      <c r="F803" s="75"/>
      <c r="G803" s="75"/>
      <c r="H803" s="75"/>
      <c r="I803" s="75"/>
      <c r="J803" s="75"/>
      <c r="K803" s="75"/>
      <c r="L803" s="75"/>
      <c r="M803" s="75"/>
      <c r="N803" s="75"/>
      <c r="O803" s="75"/>
      <c r="P803" s="75"/>
      <c r="Q803" s="75"/>
      <c r="R803" s="75"/>
      <c r="S803" s="75"/>
      <c r="T803" s="75"/>
      <c r="U803" s="75"/>
    </row>
    <row r="804" spans="1:21" s="79" customFormat="1" ht="15" customHeight="1" x14ac:dyDescent="0.25">
      <c r="A804" s="75"/>
      <c r="B804" s="75"/>
      <c r="C804" s="75"/>
      <c r="D804" s="75"/>
      <c r="E804" s="75"/>
      <c r="F804" s="75"/>
      <c r="G804" s="75"/>
      <c r="H804" s="75"/>
      <c r="I804" s="75"/>
      <c r="J804" s="75"/>
      <c r="K804" s="75"/>
      <c r="L804" s="75"/>
      <c r="M804" s="75"/>
      <c r="N804" s="75"/>
      <c r="O804" s="75"/>
      <c r="P804" s="75"/>
      <c r="Q804" s="75"/>
      <c r="R804" s="75"/>
      <c r="S804" s="75"/>
      <c r="T804" s="75"/>
      <c r="U804" s="75"/>
    </row>
    <row r="805" spans="1:21" s="79" customFormat="1" ht="15" customHeight="1" x14ac:dyDescent="0.25">
      <c r="A805" s="75"/>
      <c r="B805" s="75"/>
      <c r="C805" s="75"/>
      <c r="D805" s="75"/>
      <c r="E805" s="75"/>
      <c r="F805" s="75"/>
      <c r="G805" s="75"/>
      <c r="H805" s="75"/>
      <c r="I805" s="75"/>
      <c r="J805" s="75"/>
      <c r="K805" s="75"/>
      <c r="L805" s="75"/>
      <c r="M805" s="75"/>
      <c r="N805" s="75"/>
      <c r="O805" s="75"/>
      <c r="P805" s="75"/>
      <c r="Q805" s="75"/>
      <c r="R805" s="75"/>
      <c r="S805" s="75"/>
      <c r="T805" s="75"/>
      <c r="U805" s="75"/>
    </row>
    <row r="806" spans="1:21" s="79" customFormat="1" ht="15" customHeight="1" x14ac:dyDescent="0.25">
      <c r="A806" s="75"/>
      <c r="B806" s="75"/>
      <c r="C806" s="75"/>
      <c r="D806" s="75"/>
      <c r="E806" s="75"/>
      <c r="F806" s="75"/>
      <c r="G806" s="75"/>
      <c r="H806" s="75"/>
      <c r="I806" s="75"/>
      <c r="J806" s="75"/>
      <c r="K806" s="75"/>
      <c r="L806" s="75"/>
      <c r="M806" s="75"/>
      <c r="N806" s="75"/>
      <c r="O806" s="75"/>
      <c r="P806" s="75"/>
      <c r="Q806" s="75"/>
      <c r="R806" s="75"/>
      <c r="S806" s="75"/>
      <c r="T806" s="75"/>
      <c r="U806" s="75"/>
    </row>
    <row r="807" spans="1:21" s="79" customFormat="1" ht="15" customHeight="1" x14ac:dyDescent="0.25">
      <c r="A807" s="75"/>
      <c r="B807" s="75"/>
      <c r="C807" s="75"/>
      <c r="D807" s="75"/>
      <c r="E807" s="75"/>
      <c r="F807" s="75"/>
      <c r="G807" s="75"/>
      <c r="H807" s="75"/>
      <c r="I807" s="75"/>
      <c r="J807" s="75"/>
      <c r="K807" s="75"/>
      <c r="L807" s="75"/>
      <c r="M807" s="75"/>
      <c r="N807" s="75"/>
      <c r="O807" s="75"/>
      <c r="P807" s="75"/>
      <c r="Q807" s="75"/>
      <c r="R807" s="75"/>
      <c r="S807" s="75"/>
      <c r="T807" s="75"/>
      <c r="U807" s="75"/>
    </row>
    <row r="808" spans="1:21" s="79" customFormat="1" ht="15" customHeight="1" x14ac:dyDescent="0.25">
      <c r="A808" s="75"/>
      <c r="B808" s="75"/>
      <c r="C808" s="75"/>
      <c r="D808" s="75"/>
      <c r="E808" s="75"/>
      <c r="F808" s="75"/>
      <c r="G808" s="75"/>
      <c r="H808" s="75"/>
      <c r="I808" s="75"/>
      <c r="J808" s="75"/>
      <c r="K808" s="75"/>
      <c r="L808" s="75"/>
      <c r="M808" s="75"/>
      <c r="N808" s="75"/>
      <c r="O808" s="75"/>
      <c r="P808" s="75"/>
      <c r="Q808" s="75"/>
      <c r="R808" s="75"/>
      <c r="S808" s="75"/>
      <c r="T808" s="75"/>
      <c r="U808" s="75"/>
    </row>
    <row r="809" spans="1:21" s="79" customFormat="1" ht="15" customHeight="1" x14ac:dyDescent="0.25">
      <c r="A809" s="75"/>
      <c r="B809" s="75"/>
      <c r="C809" s="75"/>
      <c r="D809" s="75"/>
      <c r="E809" s="75"/>
      <c r="F809" s="75"/>
      <c r="G809" s="75"/>
      <c r="H809" s="75"/>
      <c r="I809" s="75"/>
      <c r="J809" s="75"/>
      <c r="K809" s="75"/>
      <c r="L809" s="75"/>
      <c r="M809" s="75"/>
      <c r="N809" s="75"/>
      <c r="O809" s="75"/>
      <c r="P809" s="75"/>
      <c r="Q809" s="75"/>
      <c r="R809" s="75"/>
      <c r="S809" s="75"/>
      <c r="T809" s="75"/>
      <c r="U809" s="75"/>
    </row>
    <row r="810" spans="1:21" s="79" customFormat="1" ht="15" customHeight="1" x14ac:dyDescent="0.25">
      <c r="A810" s="75"/>
      <c r="B810" s="75"/>
      <c r="C810" s="75"/>
      <c r="D810" s="75"/>
      <c r="E810" s="75"/>
      <c r="F810" s="75"/>
      <c r="G810" s="75"/>
      <c r="H810" s="75"/>
      <c r="I810" s="75"/>
      <c r="J810" s="75"/>
      <c r="K810" s="75"/>
      <c r="L810" s="75"/>
      <c r="M810" s="75"/>
      <c r="N810" s="75"/>
      <c r="O810" s="75"/>
      <c r="P810" s="75"/>
      <c r="Q810" s="75"/>
      <c r="R810" s="75"/>
      <c r="S810" s="75"/>
      <c r="T810" s="75"/>
      <c r="U810" s="75"/>
    </row>
    <row r="811" spans="1:21" s="79" customFormat="1" ht="15" customHeight="1" x14ac:dyDescent="0.25">
      <c r="A811" s="75"/>
      <c r="B811" s="75"/>
      <c r="C811" s="75"/>
      <c r="D811" s="75"/>
      <c r="E811" s="75"/>
      <c r="F811" s="75"/>
      <c r="G811" s="75"/>
      <c r="H811" s="75"/>
      <c r="I811" s="75"/>
      <c r="J811" s="75"/>
      <c r="K811" s="75"/>
      <c r="L811" s="75"/>
      <c r="M811" s="75"/>
      <c r="N811" s="75"/>
      <c r="O811" s="75"/>
      <c r="P811" s="75"/>
      <c r="Q811" s="75"/>
      <c r="R811" s="75"/>
      <c r="S811" s="75"/>
      <c r="T811" s="75"/>
      <c r="U811" s="75"/>
    </row>
    <row r="812" spans="1:21" s="79" customFormat="1" ht="15" customHeight="1" x14ac:dyDescent="0.25">
      <c r="A812" s="75"/>
      <c r="B812" s="75"/>
      <c r="C812" s="75"/>
      <c r="D812" s="75"/>
      <c r="E812" s="75"/>
      <c r="F812" s="75"/>
      <c r="G812" s="75"/>
      <c r="H812" s="75"/>
      <c r="I812" s="75"/>
      <c r="J812" s="75"/>
      <c r="K812" s="75"/>
      <c r="L812" s="75"/>
      <c r="M812" s="75"/>
      <c r="N812" s="75"/>
      <c r="O812" s="75"/>
      <c r="P812" s="75"/>
      <c r="Q812" s="75"/>
      <c r="R812" s="75"/>
      <c r="S812" s="75"/>
      <c r="T812" s="75"/>
      <c r="U812" s="75"/>
    </row>
    <row r="813" spans="1:21" s="79" customFormat="1" ht="15" customHeight="1" x14ac:dyDescent="0.25">
      <c r="A813" s="75"/>
      <c r="B813" s="75"/>
      <c r="C813" s="75"/>
      <c r="D813" s="75"/>
      <c r="E813" s="75"/>
      <c r="F813" s="75"/>
      <c r="G813" s="75"/>
      <c r="H813" s="75"/>
      <c r="I813" s="75"/>
      <c r="J813" s="75"/>
      <c r="K813" s="75"/>
      <c r="L813" s="75"/>
      <c r="M813" s="75"/>
      <c r="N813" s="75"/>
      <c r="O813" s="75"/>
      <c r="P813" s="75"/>
      <c r="Q813" s="75"/>
      <c r="R813" s="75"/>
      <c r="S813" s="75"/>
      <c r="T813" s="75"/>
      <c r="U813" s="75"/>
    </row>
    <row r="814" spans="1:21" s="79" customFormat="1" ht="15" customHeight="1" x14ac:dyDescent="0.25">
      <c r="A814" s="75"/>
      <c r="B814" s="75"/>
      <c r="C814" s="75"/>
      <c r="D814" s="75"/>
      <c r="E814" s="75"/>
      <c r="F814" s="75"/>
      <c r="G814" s="75"/>
      <c r="H814" s="75"/>
      <c r="I814" s="75"/>
      <c r="J814" s="75"/>
      <c r="K814" s="75"/>
      <c r="L814" s="75"/>
      <c r="M814" s="75"/>
      <c r="N814" s="75"/>
      <c r="O814" s="75"/>
      <c r="P814" s="75"/>
      <c r="Q814" s="75"/>
      <c r="R814" s="75"/>
      <c r="S814" s="75"/>
      <c r="T814" s="75"/>
      <c r="U814" s="75"/>
    </row>
    <row r="815" spans="1:21" s="79" customFormat="1" ht="15" customHeight="1" x14ac:dyDescent="0.25">
      <c r="A815" s="75"/>
      <c r="B815" s="75"/>
      <c r="C815" s="75"/>
      <c r="D815" s="75"/>
      <c r="E815" s="75"/>
      <c r="F815" s="75"/>
      <c r="G815" s="75"/>
      <c r="H815" s="75"/>
      <c r="I815" s="75"/>
      <c r="J815" s="75"/>
      <c r="K815" s="75"/>
      <c r="L815" s="75"/>
      <c r="M815" s="75"/>
      <c r="N815" s="75"/>
      <c r="O815" s="75"/>
      <c r="P815" s="75"/>
      <c r="Q815" s="75"/>
      <c r="R815" s="75"/>
      <c r="S815" s="75"/>
      <c r="T815" s="75"/>
      <c r="U815" s="75"/>
    </row>
    <row r="816" spans="1:21" s="79" customFormat="1" ht="15" customHeight="1" x14ac:dyDescent="0.25">
      <c r="A816" s="75"/>
      <c r="B816" s="75"/>
      <c r="C816" s="75"/>
      <c r="D816" s="75"/>
      <c r="E816" s="75"/>
      <c r="F816" s="75"/>
      <c r="G816" s="75"/>
      <c r="H816" s="75"/>
      <c r="I816" s="75"/>
      <c r="J816" s="75"/>
      <c r="K816" s="75"/>
      <c r="L816" s="75"/>
      <c r="M816" s="75"/>
      <c r="N816" s="75"/>
      <c r="O816" s="75"/>
      <c r="P816" s="75"/>
      <c r="Q816" s="75"/>
      <c r="R816" s="75"/>
      <c r="S816" s="75"/>
      <c r="T816" s="75"/>
      <c r="U816" s="75"/>
    </row>
    <row r="817" spans="1:21" s="79" customFormat="1" ht="15" customHeight="1" x14ac:dyDescent="0.25">
      <c r="A817" s="75"/>
      <c r="B817" s="75"/>
      <c r="C817" s="75"/>
      <c r="D817" s="75"/>
      <c r="E817" s="75"/>
      <c r="F817" s="75"/>
      <c r="G817" s="75"/>
      <c r="H817" s="75"/>
      <c r="I817" s="75"/>
      <c r="J817" s="75"/>
      <c r="K817" s="75"/>
      <c r="L817" s="75"/>
      <c r="M817" s="75"/>
      <c r="N817" s="75"/>
      <c r="O817" s="75"/>
      <c r="P817" s="75"/>
      <c r="Q817" s="75"/>
      <c r="R817" s="75"/>
      <c r="S817" s="75"/>
      <c r="T817" s="75"/>
      <c r="U817" s="75"/>
    </row>
    <row r="818" spans="1:21" s="79" customFormat="1" ht="15" customHeight="1" x14ac:dyDescent="0.25">
      <c r="A818" s="75"/>
      <c r="B818" s="75"/>
      <c r="C818" s="75"/>
      <c r="D818" s="75"/>
      <c r="E818" s="75"/>
      <c r="F818" s="75"/>
      <c r="G818" s="75"/>
      <c r="H818" s="75"/>
      <c r="I818" s="75"/>
      <c r="J818" s="75"/>
      <c r="K818" s="75"/>
      <c r="L818" s="75"/>
      <c r="M818" s="75"/>
      <c r="N818" s="75"/>
      <c r="O818" s="75"/>
      <c r="P818" s="75"/>
      <c r="Q818" s="75"/>
      <c r="R818" s="75"/>
      <c r="S818" s="75"/>
      <c r="T818" s="75"/>
      <c r="U818" s="75"/>
    </row>
    <row r="819" spans="1:21" s="79" customFormat="1" ht="15" customHeight="1" x14ac:dyDescent="0.25">
      <c r="A819" s="75"/>
      <c r="B819" s="75"/>
      <c r="C819" s="75"/>
      <c r="D819" s="75"/>
      <c r="E819" s="75"/>
      <c r="F819" s="75"/>
      <c r="G819" s="75"/>
      <c r="H819" s="75"/>
      <c r="I819" s="75"/>
      <c r="J819" s="75"/>
      <c r="K819" s="75"/>
      <c r="L819" s="75"/>
      <c r="M819" s="75"/>
      <c r="N819" s="75"/>
      <c r="O819" s="75"/>
      <c r="P819" s="75"/>
      <c r="Q819" s="75"/>
      <c r="R819" s="75"/>
      <c r="S819" s="75"/>
      <c r="T819" s="75"/>
      <c r="U819" s="75"/>
    </row>
    <row r="820" spans="1:21" s="79" customFormat="1" ht="15" customHeight="1" x14ac:dyDescent="0.25">
      <c r="A820" s="75"/>
      <c r="B820" s="75"/>
      <c r="C820" s="75"/>
      <c r="D820" s="75"/>
      <c r="E820" s="75"/>
      <c r="F820" s="75"/>
      <c r="G820" s="75"/>
      <c r="H820" s="75"/>
      <c r="I820" s="75"/>
      <c r="J820" s="75"/>
      <c r="K820" s="75"/>
      <c r="L820" s="75"/>
      <c r="M820" s="75"/>
      <c r="N820" s="75"/>
      <c r="O820" s="75"/>
      <c r="P820" s="75"/>
      <c r="Q820" s="75"/>
      <c r="R820" s="75"/>
      <c r="S820" s="75"/>
      <c r="T820" s="75"/>
      <c r="U820" s="75"/>
    </row>
    <row r="821" spans="1:21" s="79" customFormat="1" ht="15" customHeight="1" x14ac:dyDescent="0.25">
      <c r="A821" s="75"/>
      <c r="B821" s="75"/>
      <c r="C821" s="75"/>
      <c r="D821" s="75"/>
      <c r="E821" s="75"/>
      <c r="F821" s="75"/>
      <c r="G821" s="75"/>
      <c r="H821" s="75"/>
      <c r="I821" s="75"/>
      <c r="J821" s="75"/>
      <c r="K821" s="75"/>
      <c r="L821" s="75"/>
      <c r="M821" s="75"/>
      <c r="N821" s="75"/>
      <c r="O821" s="75"/>
      <c r="P821" s="75"/>
      <c r="Q821" s="75"/>
      <c r="R821" s="75"/>
      <c r="S821" s="75"/>
      <c r="T821" s="75"/>
      <c r="U821" s="75"/>
    </row>
    <row r="822" spans="1:21" s="79" customFormat="1" ht="15" customHeight="1" x14ac:dyDescent="0.25">
      <c r="A822" s="75"/>
      <c r="B822" s="75"/>
      <c r="C822" s="75"/>
      <c r="D822" s="75"/>
      <c r="E822" s="75"/>
      <c r="F822" s="75"/>
      <c r="G822" s="75"/>
      <c r="H822" s="75"/>
      <c r="I822" s="75"/>
      <c r="J822" s="75"/>
      <c r="K822" s="75"/>
      <c r="L822" s="75"/>
      <c r="M822" s="75"/>
      <c r="N822" s="75"/>
      <c r="O822" s="75"/>
      <c r="P822" s="75"/>
      <c r="Q822" s="75"/>
      <c r="R822" s="75"/>
      <c r="S822" s="75"/>
      <c r="T822" s="75"/>
      <c r="U822" s="75"/>
    </row>
    <row r="823" spans="1:21" s="79" customFormat="1" ht="15" customHeight="1" x14ac:dyDescent="0.25">
      <c r="A823" s="75"/>
      <c r="B823" s="75"/>
      <c r="C823" s="75"/>
      <c r="D823" s="75"/>
      <c r="E823" s="75"/>
      <c r="F823" s="75"/>
      <c r="G823" s="75"/>
      <c r="H823" s="75"/>
      <c r="I823" s="75"/>
      <c r="J823" s="75"/>
      <c r="K823" s="75"/>
      <c r="L823" s="75"/>
      <c r="M823" s="75"/>
      <c r="N823" s="75"/>
      <c r="O823" s="75"/>
      <c r="P823" s="75"/>
      <c r="Q823" s="75"/>
      <c r="R823" s="75"/>
      <c r="S823" s="75"/>
      <c r="T823" s="75"/>
      <c r="U823" s="75"/>
    </row>
  </sheetData>
  <sheetProtection selectLockedCells="1"/>
  <autoFilter ref="A1:U434" xr:uid="{00000000-0009-0000-0000-000007000000}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&amp;LProblem Status Report Template (RAG) V5.0&amp;C_x000D_&amp;1#&amp;"Arial"&amp;9&amp;K000000 Confidential&amp;RLast Updated: 26/02/2020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Lookups!$B$2:$B$3</xm:f>
          </x14:formula1>
          <xm:sqref>S45:S679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autoPageBreaks="0"/>
  </sheetPr>
  <dimension ref="A1:CK510"/>
  <sheetViews>
    <sheetView showGridLines="0" zoomScaleNormal="100" workbookViewId="0">
      <pane xSplit="3" ySplit="5" topLeftCell="D6" activePane="bottomRight" state="frozen"/>
      <selection activeCell="H23" sqref="H23"/>
      <selection pane="topRight" activeCell="H23" sqref="H23"/>
      <selection pane="bottomLeft" activeCell="H23" sqref="H23"/>
      <selection pane="bottomRight" activeCell="A2" sqref="A2:B2"/>
    </sheetView>
  </sheetViews>
  <sheetFormatPr defaultColWidth="8.85546875" defaultRowHeight="12.75" x14ac:dyDescent="0.2"/>
  <cols>
    <col min="1" max="1" width="19.28515625" style="120" customWidth="1"/>
    <col min="2" max="2" width="30.85546875" style="120" customWidth="1"/>
    <col min="3" max="3" width="18.85546875" style="120" customWidth="1"/>
    <col min="4" max="4" width="15" style="120" customWidth="1"/>
    <col min="5" max="5" width="43.85546875" style="120" customWidth="1"/>
    <col min="6" max="6" width="25.140625" style="120" customWidth="1"/>
    <col min="7" max="7" width="27.7109375" style="120" bestFit="1" customWidth="1"/>
    <col min="8" max="8" width="57.85546875" style="120" customWidth="1"/>
    <col min="9" max="9" width="34.28515625" style="120" customWidth="1"/>
    <col min="10" max="11" width="32.28515625" style="120" customWidth="1"/>
    <col min="12" max="16384" width="8.85546875" style="120"/>
  </cols>
  <sheetData>
    <row r="1" spans="1:89" s="117" customFormat="1" ht="48" customHeight="1" x14ac:dyDescent="0.2">
      <c r="C1" s="200" t="s">
        <v>63</v>
      </c>
      <c r="D1" s="201"/>
      <c r="E1" s="201"/>
      <c r="F1" s="201"/>
      <c r="G1" s="201"/>
      <c r="H1" s="201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202"/>
      <c r="Z1" s="202"/>
      <c r="AA1" s="202"/>
      <c r="AB1" s="202"/>
      <c r="AC1" s="202"/>
      <c r="AD1" s="202"/>
      <c r="AE1" s="202"/>
      <c r="AF1" s="202"/>
      <c r="AG1" s="202"/>
      <c r="AH1" s="202"/>
      <c r="AI1" s="202"/>
      <c r="AJ1" s="202"/>
      <c r="AK1" s="202"/>
      <c r="AL1" s="202"/>
      <c r="AM1" s="202"/>
      <c r="AN1" s="202"/>
      <c r="AO1" s="202"/>
      <c r="AP1" s="202"/>
      <c r="AQ1" s="202"/>
      <c r="AR1" s="202"/>
      <c r="AS1" s="202"/>
      <c r="AT1" s="202"/>
      <c r="AU1" s="202"/>
      <c r="AV1" s="202"/>
    </row>
    <row r="2" spans="1:89" s="119" customFormat="1" ht="18.75" x14ac:dyDescent="0.2">
      <c r="A2" s="203" t="str">
        <f>IF(Lookups!C2&lt;&gt;"",(Lookups!C2),"")</f>
        <v/>
      </c>
      <c r="B2" s="204"/>
      <c r="C2" s="201"/>
      <c r="D2" s="201"/>
      <c r="E2" s="201"/>
      <c r="F2" s="201"/>
      <c r="G2" s="201"/>
      <c r="H2" s="201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202"/>
      <c r="AQ2" s="202"/>
      <c r="AR2" s="202"/>
      <c r="AS2" s="202"/>
      <c r="AT2" s="202"/>
      <c r="AU2" s="202"/>
      <c r="AV2" s="202"/>
    </row>
    <row r="3" spans="1:89" s="118" customFormat="1" ht="15.75" x14ac:dyDescent="0.2">
      <c r="A3" s="203" t="str">
        <f>IF(Lookups!D2&lt;&gt;"",(Lookups!D2),"")</f>
        <v/>
      </c>
      <c r="B3" s="204"/>
      <c r="C3" s="201"/>
      <c r="D3" s="201"/>
      <c r="E3" s="201"/>
      <c r="F3" s="201"/>
      <c r="G3" s="201"/>
      <c r="H3" s="201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2"/>
      <c r="AN3" s="202"/>
      <c r="AO3" s="202"/>
      <c r="AP3" s="202"/>
      <c r="AQ3" s="202"/>
      <c r="AR3" s="202"/>
      <c r="AS3" s="202"/>
      <c r="AT3" s="202"/>
      <c r="AU3" s="202"/>
      <c r="AV3" s="202"/>
    </row>
    <row r="4" spans="1:89" s="118" customFormat="1" ht="15.75" x14ac:dyDescent="0.2">
      <c r="A4" s="205" t="s">
        <v>64</v>
      </c>
      <c r="B4" s="206"/>
      <c r="C4" s="201"/>
      <c r="D4" s="201"/>
      <c r="E4" s="201"/>
      <c r="F4" s="201"/>
      <c r="G4" s="201"/>
      <c r="H4" s="201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  <c r="AK4" s="202"/>
      <c r="AL4" s="202"/>
      <c r="AM4" s="202"/>
      <c r="AN4" s="202"/>
      <c r="AO4" s="202"/>
      <c r="AP4" s="202"/>
      <c r="AQ4" s="202"/>
      <c r="AR4" s="202"/>
      <c r="AS4" s="202"/>
      <c r="AT4" s="202"/>
      <c r="AU4" s="202"/>
      <c r="AV4" s="202"/>
    </row>
    <row r="5" spans="1:89" s="35" customFormat="1" ht="15.75" x14ac:dyDescent="0.2">
      <c r="A5" s="126" t="s">
        <v>0</v>
      </c>
      <c r="B5" s="207" t="s">
        <v>27</v>
      </c>
      <c r="C5" s="208"/>
      <c r="D5" s="126" t="s">
        <v>65</v>
      </c>
      <c r="E5" s="127" t="s">
        <v>66</v>
      </c>
      <c r="F5" s="126" t="s">
        <v>3</v>
      </c>
      <c r="G5" s="126" t="s">
        <v>28</v>
      </c>
      <c r="H5" s="126" t="s">
        <v>67</v>
      </c>
      <c r="J5" s="120"/>
      <c r="K5" s="120"/>
      <c r="L5" s="120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</row>
    <row r="6" spans="1:89" x14ac:dyDescent="0.2">
      <c r="A6" s="121"/>
      <c r="B6" s="199"/>
      <c r="C6" s="199"/>
      <c r="D6" s="122" t="s">
        <v>78</v>
      </c>
      <c r="E6" s="123" t="s">
        <v>78</v>
      </c>
      <c r="F6" s="123" t="s">
        <v>78</v>
      </c>
      <c r="G6" s="124" t="s">
        <v>78</v>
      </c>
      <c r="H6" s="125" t="s">
        <v>78</v>
      </c>
    </row>
    <row r="7" spans="1:89" x14ac:dyDescent="0.2">
      <c r="A7" s="121"/>
      <c r="B7" s="199" t="s">
        <v>78</v>
      </c>
      <c r="C7" s="199"/>
      <c r="D7" s="122" t="s">
        <v>78</v>
      </c>
      <c r="E7" s="123" t="s">
        <v>78</v>
      </c>
      <c r="F7" s="123" t="s">
        <v>78</v>
      </c>
      <c r="G7" s="124" t="s">
        <v>78</v>
      </c>
      <c r="H7" s="125" t="s">
        <v>78</v>
      </c>
    </row>
    <row r="8" spans="1:89" x14ac:dyDescent="0.2">
      <c r="A8" s="121"/>
      <c r="B8" s="199" t="s">
        <v>78</v>
      </c>
      <c r="C8" s="199"/>
      <c r="D8" s="122" t="s">
        <v>78</v>
      </c>
      <c r="E8" s="123" t="s">
        <v>78</v>
      </c>
      <c r="F8" s="123" t="s">
        <v>78</v>
      </c>
      <c r="G8" s="124" t="s">
        <v>78</v>
      </c>
      <c r="H8" s="125" t="s">
        <v>78</v>
      </c>
    </row>
    <row r="9" spans="1:89" x14ac:dyDescent="0.2">
      <c r="A9" s="121"/>
      <c r="B9" s="199" t="s">
        <v>78</v>
      </c>
      <c r="C9" s="199"/>
      <c r="D9" s="122" t="s">
        <v>78</v>
      </c>
      <c r="E9" s="123" t="s">
        <v>78</v>
      </c>
      <c r="F9" s="123" t="s">
        <v>78</v>
      </c>
      <c r="G9" s="124" t="s">
        <v>78</v>
      </c>
      <c r="H9" s="125" t="s">
        <v>78</v>
      </c>
    </row>
    <row r="10" spans="1:89" x14ac:dyDescent="0.2">
      <c r="A10" s="121"/>
      <c r="B10" s="199" t="s">
        <v>78</v>
      </c>
      <c r="C10" s="199"/>
      <c r="D10" s="122" t="s">
        <v>78</v>
      </c>
      <c r="E10" s="123" t="s">
        <v>78</v>
      </c>
      <c r="F10" s="123" t="s">
        <v>78</v>
      </c>
      <c r="G10" s="124" t="s">
        <v>78</v>
      </c>
      <c r="H10" s="125" t="s">
        <v>78</v>
      </c>
    </row>
    <row r="11" spans="1:89" x14ac:dyDescent="0.2">
      <c r="A11" s="121"/>
      <c r="B11" s="199" t="s">
        <v>78</v>
      </c>
      <c r="C11" s="199"/>
      <c r="D11" s="122" t="s">
        <v>78</v>
      </c>
      <c r="E11" s="123" t="s">
        <v>78</v>
      </c>
      <c r="F11" s="123" t="s">
        <v>78</v>
      </c>
      <c r="G11" s="124" t="s">
        <v>78</v>
      </c>
      <c r="H11" s="125" t="s">
        <v>78</v>
      </c>
    </row>
    <row r="12" spans="1:89" x14ac:dyDescent="0.2">
      <c r="A12" s="121"/>
      <c r="B12" s="199" t="s">
        <v>78</v>
      </c>
      <c r="C12" s="199"/>
      <c r="D12" s="122" t="s">
        <v>78</v>
      </c>
      <c r="E12" s="123" t="s">
        <v>78</v>
      </c>
      <c r="F12" s="123" t="s">
        <v>78</v>
      </c>
      <c r="G12" s="124" t="s">
        <v>78</v>
      </c>
      <c r="H12" s="125" t="s">
        <v>78</v>
      </c>
    </row>
    <row r="13" spans="1:89" x14ac:dyDescent="0.2">
      <c r="A13" s="121"/>
      <c r="B13" s="199" t="s">
        <v>78</v>
      </c>
      <c r="C13" s="199"/>
      <c r="D13" s="122" t="s">
        <v>78</v>
      </c>
      <c r="E13" s="123" t="s">
        <v>78</v>
      </c>
      <c r="F13" s="123" t="s">
        <v>78</v>
      </c>
      <c r="G13" s="124" t="s">
        <v>78</v>
      </c>
      <c r="H13" s="125" t="s">
        <v>78</v>
      </c>
    </row>
    <row r="14" spans="1:89" x14ac:dyDescent="0.2">
      <c r="A14" s="121"/>
      <c r="B14" s="199" t="s">
        <v>78</v>
      </c>
      <c r="C14" s="199"/>
      <c r="D14" s="122" t="s">
        <v>78</v>
      </c>
      <c r="E14" s="123" t="s">
        <v>78</v>
      </c>
      <c r="F14" s="123" t="s">
        <v>78</v>
      </c>
      <c r="G14" s="124" t="s">
        <v>78</v>
      </c>
      <c r="H14" s="125" t="s">
        <v>78</v>
      </c>
    </row>
    <row r="15" spans="1:89" x14ac:dyDescent="0.2">
      <c r="A15" s="121"/>
      <c r="B15" s="199" t="s">
        <v>78</v>
      </c>
      <c r="C15" s="199"/>
      <c r="D15" s="122" t="s">
        <v>78</v>
      </c>
      <c r="E15" s="123" t="s">
        <v>78</v>
      </c>
      <c r="F15" s="123" t="s">
        <v>78</v>
      </c>
      <c r="G15" s="124" t="s">
        <v>78</v>
      </c>
      <c r="H15" s="125" t="s">
        <v>78</v>
      </c>
    </row>
    <row r="16" spans="1:89" x14ac:dyDescent="0.2">
      <c r="A16" s="121"/>
      <c r="B16" s="199" t="s">
        <v>78</v>
      </c>
      <c r="C16" s="199"/>
      <c r="D16" s="122" t="s">
        <v>78</v>
      </c>
      <c r="E16" s="123" t="s">
        <v>78</v>
      </c>
      <c r="F16" s="123" t="s">
        <v>78</v>
      </c>
      <c r="G16" s="124" t="s">
        <v>78</v>
      </c>
      <c r="H16" s="125" t="s">
        <v>78</v>
      </c>
    </row>
    <row r="17" spans="1:8" x14ac:dyDescent="0.2">
      <c r="A17" s="121"/>
      <c r="B17" s="199" t="s">
        <v>78</v>
      </c>
      <c r="C17" s="199"/>
      <c r="D17" s="122" t="s">
        <v>78</v>
      </c>
      <c r="E17" s="123" t="s">
        <v>78</v>
      </c>
      <c r="F17" s="123" t="s">
        <v>78</v>
      </c>
      <c r="G17" s="124" t="s">
        <v>78</v>
      </c>
      <c r="H17" s="125" t="s">
        <v>78</v>
      </c>
    </row>
    <row r="18" spans="1:8" x14ac:dyDescent="0.2">
      <c r="A18" s="121"/>
      <c r="B18" s="199" t="s">
        <v>78</v>
      </c>
      <c r="C18" s="199"/>
      <c r="D18" s="122" t="s">
        <v>78</v>
      </c>
      <c r="E18" s="123" t="s">
        <v>78</v>
      </c>
      <c r="F18" s="123" t="s">
        <v>78</v>
      </c>
      <c r="G18" s="124" t="s">
        <v>78</v>
      </c>
      <c r="H18" s="125" t="s">
        <v>78</v>
      </c>
    </row>
    <row r="19" spans="1:8" x14ac:dyDescent="0.2">
      <c r="A19" s="121"/>
      <c r="B19" s="199" t="s">
        <v>78</v>
      </c>
      <c r="C19" s="199"/>
      <c r="D19" s="122" t="s">
        <v>78</v>
      </c>
      <c r="E19" s="123" t="s">
        <v>78</v>
      </c>
      <c r="F19" s="123" t="s">
        <v>78</v>
      </c>
      <c r="G19" s="124" t="s">
        <v>78</v>
      </c>
      <c r="H19" s="125" t="s">
        <v>78</v>
      </c>
    </row>
    <row r="20" spans="1:8" x14ac:dyDescent="0.2">
      <c r="A20" s="121"/>
      <c r="B20" s="199" t="s">
        <v>78</v>
      </c>
      <c r="C20" s="199"/>
      <c r="D20" s="122" t="s">
        <v>78</v>
      </c>
      <c r="E20" s="123" t="s">
        <v>78</v>
      </c>
      <c r="F20" s="123" t="s">
        <v>78</v>
      </c>
      <c r="G20" s="124" t="s">
        <v>78</v>
      </c>
      <c r="H20" s="125" t="s">
        <v>78</v>
      </c>
    </row>
    <row r="21" spans="1:8" x14ac:dyDescent="0.2">
      <c r="A21" s="121"/>
      <c r="B21" s="199" t="s">
        <v>78</v>
      </c>
      <c r="C21" s="199"/>
      <c r="D21" s="122" t="s">
        <v>78</v>
      </c>
      <c r="E21" s="123" t="s">
        <v>78</v>
      </c>
      <c r="F21" s="123" t="s">
        <v>78</v>
      </c>
      <c r="G21" s="124" t="s">
        <v>78</v>
      </c>
      <c r="H21" s="125" t="s">
        <v>78</v>
      </c>
    </row>
    <row r="22" spans="1:8" x14ac:dyDescent="0.2">
      <c r="A22" s="121"/>
      <c r="B22" s="199" t="s">
        <v>78</v>
      </c>
      <c r="C22" s="199"/>
      <c r="D22" s="122" t="s">
        <v>78</v>
      </c>
      <c r="E22" s="123" t="s">
        <v>78</v>
      </c>
      <c r="F22" s="123" t="s">
        <v>78</v>
      </c>
      <c r="G22" s="124" t="s">
        <v>78</v>
      </c>
      <c r="H22" s="125" t="s">
        <v>78</v>
      </c>
    </row>
    <row r="23" spans="1:8" x14ac:dyDescent="0.2">
      <c r="A23" s="121"/>
      <c r="B23" s="199" t="s">
        <v>78</v>
      </c>
      <c r="C23" s="199"/>
      <c r="D23" s="122" t="s">
        <v>78</v>
      </c>
      <c r="E23" s="123" t="s">
        <v>78</v>
      </c>
      <c r="F23" s="123" t="s">
        <v>78</v>
      </c>
      <c r="G23" s="124" t="s">
        <v>78</v>
      </c>
      <c r="H23" s="125" t="s">
        <v>78</v>
      </c>
    </row>
    <row r="24" spans="1:8" x14ac:dyDescent="0.2">
      <c r="A24" s="121"/>
      <c r="B24" s="199" t="s">
        <v>78</v>
      </c>
      <c r="C24" s="199"/>
      <c r="D24" s="122" t="s">
        <v>78</v>
      </c>
      <c r="E24" s="123" t="s">
        <v>78</v>
      </c>
      <c r="F24" s="123" t="s">
        <v>78</v>
      </c>
      <c r="G24" s="124" t="s">
        <v>78</v>
      </c>
      <c r="H24" s="125" t="s">
        <v>78</v>
      </c>
    </row>
    <row r="25" spans="1:8" x14ac:dyDescent="0.2">
      <c r="A25" s="121"/>
      <c r="B25" s="199" t="s">
        <v>78</v>
      </c>
      <c r="C25" s="199"/>
      <c r="D25" s="122" t="s">
        <v>78</v>
      </c>
      <c r="E25" s="123" t="s">
        <v>78</v>
      </c>
      <c r="F25" s="123" t="s">
        <v>78</v>
      </c>
      <c r="G25" s="124" t="s">
        <v>78</v>
      </c>
      <c r="H25" s="125" t="s">
        <v>78</v>
      </c>
    </row>
    <row r="26" spans="1:8" x14ac:dyDescent="0.2">
      <c r="A26" s="121"/>
      <c r="B26" s="199" t="s">
        <v>78</v>
      </c>
      <c r="C26" s="199"/>
      <c r="D26" s="122" t="s">
        <v>78</v>
      </c>
      <c r="E26" s="123" t="s">
        <v>78</v>
      </c>
      <c r="F26" s="123" t="s">
        <v>78</v>
      </c>
      <c r="G26" s="124" t="s">
        <v>78</v>
      </c>
      <c r="H26" s="125" t="s">
        <v>78</v>
      </c>
    </row>
    <row r="27" spans="1:8" x14ac:dyDescent="0.2">
      <c r="A27" s="121"/>
      <c r="B27" s="199" t="s">
        <v>78</v>
      </c>
      <c r="C27" s="199"/>
      <c r="D27" s="122" t="s">
        <v>78</v>
      </c>
      <c r="E27" s="123" t="s">
        <v>78</v>
      </c>
      <c r="F27" s="123" t="s">
        <v>78</v>
      </c>
      <c r="G27" s="124" t="s">
        <v>78</v>
      </c>
      <c r="H27" s="125" t="s">
        <v>78</v>
      </c>
    </row>
    <row r="28" spans="1:8" x14ac:dyDescent="0.2">
      <c r="A28" s="121"/>
      <c r="B28" s="199" t="s">
        <v>78</v>
      </c>
      <c r="C28" s="199"/>
      <c r="D28" s="122" t="s">
        <v>78</v>
      </c>
      <c r="E28" s="123" t="s">
        <v>78</v>
      </c>
      <c r="F28" s="123" t="s">
        <v>78</v>
      </c>
      <c r="G28" s="124" t="s">
        <v>78</v>
      </c>
      <c r="H28" s="125" t="s">
        <v>78</v>
      </c>
    </row>
    <row r="29" spans="1:8" x14ac:dyDescent="0.2">
      <c r="A29" s="121"/>
      <c r="B29" s="199" t="s">
        <v>78</v>
      </c>
      <c r="C29" s="199"/>
      <c r="D29" s="122" t="s">
        <v>78</v>
      </c>
      <c r="E29" s="123" t="s">
        <v>78</v>
      </c>
      <c r="F29" s="123" t="s">
        <v>78</v>
      </c>
      <c r="G29" s="124" t="s">
        <v>78</v>
      </c>
      <c r="H29" s="125" t="s">
        <v>78</v>
      </c>
    </row>
    <row r="30" spans="1:8" x14ac:dyDescent="0.2">
      <c r="A30" s="121"/>
      <c r="B30" s="199" t="s">
        <v>78</v>
      </c>
      <c r="C30" s="199"/>
      <c r="D30" s="122" t="s">
        <v>78</v>
      </c>
      <c r="E30" s="123" t="s">
        <v>78</v>
      </c>
      <c r="F30" s="123" t="s">
        <v>78</v>
      </c>
      <c r="G30" s="124" t="s">
        <v>78</v>
      </c>
      <c r="H30" s="125" t="s">
        <v>78</v>
      </c>
    </row>
    <row r="31" spans="1:8" x14ac:dyDescent="0.2">
      <c r="A31" s="121"/>
      <c r="B31" s="199" t="s">
        <v>78</v>
      </c>
      <c r="C31" s="199"/>
      <c r="D31" s="122" t="s">
        <v>78</v>
      </c>
      <c r="E31" s="123" t="s">
        <v>78</v>
      </c>
      <c r="F31" s="123" t="s">
        <v>78</v>
      </c>
      <c r="G31" s="124" t="s">
        <v>78</v>
      </c>
      <c r="H31" s="125" t="s">
        <v>78</v>
      </c>
    </row>
    <row r="32" spans="1:8" x14ac:dyDescent="0.2">
      <c r="A32" s="121"/>
      <c r="B32" s="199" t="s">
        <v>78</v>
      </c>
      <c r="C32" s="199"/>
      <c r="D32" s="122" t="s">
        <v>78</v>
      </c>
      <c r="E32" s="123" t="s">
        <v>78</v>
      </c>
      <c r="F32" s="123" t="s">
        <v>78</v>
      </c>
      <c r="G32" s="124" t="s">
        <v>78</v>
      </c>
      <c r="H32" s="125" t="s">
        <v>78</v>
      </c>
    </row>
    <row r="33" spans="1:8" x14ac:dyDescent="0.2">
      <c r="A33" s="121"/>
      <c r="B33" s="199" t="s">
        <v>78</v>
      </c>
      <c r="C33" s="199"/>
      <c r="D33" s="122" t="s">
        <v>78</v>
      </c>
      <c r="E33" s="123" t="s">
        <v>78</v>
      </c>
      <c r="F33" s="123" t="s">
        <v>78</v>
      </c>
      <c r="G33" s="124" t="s">
        <v>78</v>
      </c>
      <c r="H33" s="125" t="s">
        <v>78</v>
      </c>
    </row>
    <row r="34" spans="1:8" x14ac:dyDescent="0.2">
      <c r="A34" s="121"/>
      <c r="B34" s="199" t="s">
        <v>78</v>
      </c>
      <c r="C34" s="199"/>
      <c r="D34" s="122" t="s">
        <v>78</v>
      </c>
      <c r="E34" s="123" t="s">
        <v>78</v>
      </c>
      <c r="F34" s="123" t="s">
        <v>78</v>
      </c>
      <c r="G34" s="124" t="s">
        <v>78</v>
      </c>
      <c r="H34" s="125" t="s">
        <v>78</v>
      </c>
    </row>
    <row r="35" spans="1:8" x14ac:dyDescent="0.2">
      <c r="A35" s="121"/>
      <c r="B35" s="199" t="s">
        <v>78</v>
      </c>
      <c r="C35" s="199"/>
      <c r="D35" s="122" t="s">
        <v>78</v>
      </c>
      <c r="E35" s="123" t="s">
        <v>78</v>
      </c>
      <c r="F35" s="123" t="s">
        <v>78</v>
      </c>
      <c r="G35" s="124" t="s">
        <v>78</v>
      </c>
      <c r="H35" s="125" t="s">
        <v>78</v>
      </c>
    </row>
    <row r="36" spans="1:8" x14ac:dyDescent="0.2">
      <c r="A36" s="121"/>
      <c r="B36" s="199" t="s">
        <v>78</v>
      </c>
      <c r="C36" s="199"/>
      <c r="D36" s="122" t="s">
        <v>78</v>
      </c>
      <c r="E36" s="123" t="s">
        <v>78</v>
      </c>
      <c r="F36" s="123" t="s">
        <v>78</v>
      </c>
      <c r="G36" s="124" t="s">
        <v>78</v>
      </c>
      <c r="H36" s="125" t="s">
        <v>78</v>
      </c>
    </row>
    <row r="37" spans="1:8" x14ac:dyDescent="0.2">
      <c r="A37" s="121"/>
      <c r="B37" s="199" t="s">
        <v>78</v>
      </c>
      <c r="C37" s="199"/>
      <c r="D37" s="122" t="s">
        <v>78</v>
      </c>
      <c r="E37" s="123" t="s">
        <v>78</v>
      </c>
      <c r="F37" s="123" t="s">
        <v>78</v>
      </c>
      <c r="G37" s="124" t="s">
        <v>78</v>
      </c>
      <c r="H37" s="125" t="s">
        <v>78</v>
      </c>
    </row>
    <row r="38" spans="1:8" x14ac:dyDescent="0.2">
      <c r="A38" s="121"/>
      <c r="B38" s="199" t="s">
        <v>78</v>
      </c>
      <c r="C38" s="199"/>
      <c r="D38" s="122" t="s">
        <v>78</v>
      </c>
      <c r="E38" s="123" t="s">
        <v>78</v>
      </c>
      <c r="F38" s="123" t="s">
        <v>78</v>
      </c>
      <c r="G38" s="124" t="s">
        <v>78</v>
      </c>
      <c r="H38" s="125" t="s">
        <v>78</v>
      </c>
    </row>
    <row r="39" spans="1:8" x14ac:dyDescent="0.2">
      <c r="A39" s="121"/>
      <c r="B39" s="199" t="s">
        <v>78</v>
      </c>
      <c r="C39" s="199"/>
      <c r="D39" s="122" t="s">
        <v>78</v>
      </c>
      <c r="E39" s="123" t="s">
        <v>78</v>
      </c>
      <c r="F39" s="123" t="s">
        <v>78</v>
      </c>
      <c r="G39" s="124" t="s">
        <v>78</v>
      </c>
      <c r="H39" s="125" t="s">
        <v>78</v>
      </c>
    </row>
    <row r="40" spans="1:8" x14ac:dyDescent="0.2">
      <c r="A40" s="121"/>
      <c r="B40" s="199" t="s">
        <v>78</v>
      </c>
      <c r="C40" s="199"/>
      <c r="D40" s="122" t="s">
        <v>78</v>
      </c>
      <c r="E40" s="123" t="s">
        <v>78</v>
      </c>
      <c r="F40" s="123" t="s">
        <v>78</v>
      </c>
      <c r="G40" s="124" t="s">
        <v>78</v>
      </c>
      <c r="H40" s="125" t="s">
        <v>78</v>
      </c>
    </row>
    <row r="41" spans="1:8" x14ac:dyDescent="0.2">
      <c r="A41" s="121"/>
      <c r="B41" s="199" t="s">
        <v>78</v>
      </c>
      <c r="C41" s="199"/>
      <c r="D41" s="122" t="s">
        <v>78</v>
      </c>
      <c r="E41" s="123" t="s">
        <v>78</v>
      </c>
      <c r="F41" s="123" t="s">
        <v>78</v>
      </c>
      <c r="G41" s="124" t="s">
        <v>78</v>
      </c>
      <c r="H41" s="125" t="s">
        <v>78</v>
      </c>
    </row>
    <row r="42" spans="1:8" x14ac:dyDescent="0.2">
      <c r="A42" s="121"/>
      <c r="B42" s="199" t="s">
        <v>78</v>
      </c>
      <c r="C42" s="199"/>
      <c r="D42" s="122" t="s">
        <v>78</v>
      </c>
      <c r="E42" s="123" t="s">
        <v>78</v>
      </c>
      <c r="F42" s="123" t="s">
        <v>78</v>
      </c>
      <c r="G42" s="124" t="s">
        <v>78</v>
      </c>
      <c r="H42" s="125" t="s">
        <v>78</v>
      </c>
    </row>
    <row r="43" spans="1:8" x14ac:dyDescent="0.2">
      <c r="A43" s="121"/>
      <c r="B43" s="199" t="s">
        <v>78</v>
      </c>
      <c r="C43" s="199"/>
      <c r="D43" s="122" t="s">
        <v>78</v>
      </c>
      <c r="E43" s="123" t="s">
        <v>78</v>
      </c>
      <c r="F43" s="123" t="s">
        <v>78</v>
      </c>
      <c r="G43" s="124" t="s">
        <v>78</v>
      </c>
      <c r="H43" s="125" t="s">
        <v>78</v>
      </c>
    </row>
    <row r="44" spans="1:8" x14ac:dyDescent="0.2">
      <c r="A44" s="121"/>
      <c r="B44" s="199" t="s">
        <v>78</v>
      </c>
      <c r="C44" s="199"/>
      <c r="D44" s="122" t="s">
        <v>78</v>
      </c>
      <c r="E44" s="123" t="s">
        <v>78</v>
      </c>
      <c r="F44" s="123" t="s">
        <v>78</v>
      </c>
      <c r="G44" s="124" t="s">
        <v>78</v>
      </c>
      <c r="H44" s="125" t="s">
        <v>78</v>
      </c>
    </row>
    <row r="45" spans="1:8" x14ac:dyDescent="0.2">
      <c r="A45" s="121"/>
      <c r="B45" s="199" t="s">
        <v>78</v>
      </c>
      <c r="C45" s="199"/>
      <c r="D45" s="122" t="s">
        <v>78</v>
      </c>
      <c r="E45" s="123" t="s">
        <v>78</v>
      </c>
      <c r="F45" s="123" t="s">
        <v>78</v>
      </c>
      <c r="G45" s="124" t="s">
        <v>78</v>
      </c>
      <c r="H45" s="125" t="s">
        <v>78</v>
      </c>
    </row>
    <row r="46" spans="1:8" x14ac:dyDescent="0.2">
      <c r="A46" s="121"/>
      <c r="B46" s="199" t="s">
        <v>78</v>
      </c>
      <c r="C46" s="199"/>
      <c r="D46" s="122" t="s">
        <v>78</v>
      </c>
      <c r="E46" s="123" t="s">
        <v>78</v>
      </c>
      <c r="F46" s="123" t="s">
        <v>78</v>
      </c>
      <c r="G46" s="124" t="s">
        <v>78</v>
      </c>
      <c r="H46" s="125" t="s">
        <v>78</v>
      </c>
    </row>
    <row r="47" spans="1:8" x14ac:dyDescent="0.2">
      <c r="A47" s="121"/>
      <c r="B47" s="199" t="s">
        <v>78</v>
      </c>
      <c r="C47" s="199"/>
      <c r="D47" s="122" t="s">
        <v>78</v>
      </c>
      <c r="E47" s="123" t="s">
        <v>78</v>
      </c>
      <c r="F47" s="123" t="s">
        <v>78</v>
      </c>
      <c r="G47" s="124" t="s">
        <v>78</v>
      </c>
      <c r="H47" s="125" t="s">
        <v>78</v>
      </c>
    </row>
    <row r="48" spans="1:8" x14ac:dyDescent="0.2">
      <c r="A48" s="121"/>
      <c r="B48" s="199" t="s">
        <v>78</v>
      </c>
      <c r="C48" s="199"/>
      <c r="D48" s="122" t="s">
        <v>78</v>
      </c>
      <c r="E48" s="123" t="s">
        <v>78</v>
      </c>
      <c r="F48" s="123" t="s">
        <v>78</v>
      </c>
      <c r="G48" s="124" t="s">
        <v>78</v>
      </c>
      <c r="H48" s="125" t="s">
        <v>78</v>
      </c>
    </row>
    <row r="49" spans="1:8" x14ac:dyDescent="0.2">
      <c r="A49" s="121"/>
      <c r="B49" s="199" t="s">
        <v>78</v>
      </c>
      <c r="C49" s="199"/>
      <c r="D49" s="122" t="s">
        <v>78</v>
      </c>
      <c r="E49" s="123" t="s">
        <v>78</v>
      </c>
      <c r="F49" s="123" t="s">
        <v>78</v>
      </c>
      <c r="G49" s="124" t="s">
        <v>78</v>
      </c>
      <c r="H49" s="125" t="s">
        <v>78</v>
      </c>
    </row>
    <row r="50" spans="1:8" x14ac:dyDescent="0.2">
      <c r="A50" s="121"/>
      <c r="B50" s="199" t="s">
        <v>78</v>
      </c>
      <c r="C50" s="199"/>
      <c r="D50" s="122" t="s">
        <v>78</v>
      </c>
      <c r="E50" s="123" t="s">
        <v>78</v>
      </c>
      <c r="F50" s="123" t="s">
        <v>78</v>
      </c>
      <c r="G50" s="124" t="s">
        <v>78</v>
      </c>
      <c r="H50" s="125" t="s">
        <v>78</v>
      </c>
    </row>
    <row r="51" spans="1:8" x14ac:dyDescent="0.2">
      <c r="A51" s="121"/>
      <c r="B51" s="199" t="s">
        <v>78</v>
      </c>
      <c r="C51" s="199"/>
      <c r="D51" s="122" t="s">
        <v>78</v>
      </c>
      <c r="E51" s="123" t="s">
        <v>78</v>
      </c>
      <c r="F51" s="123" t="s">
        <v>78</v>
      </c>
      <c r="G51" s="124" t="s">
        <v>78</v>
      </c>
      <c r="H51" s="125" t="s">
        <v>78</v>
      </c>
    </row>
    <row r="52" spans="1:8" x14ac:dyDescent="0.2">
      <c r="A52" s="121"/>
      <c r="B52" s="199" t="s">
        <v>78</v>
      </c>
      <c r="C52" s="199"/>
      <c r="D52" s="122" t="s">
        <v>78</v>
      </c>
      <c r="E52" s="123" t="s">
        <v>78</v>
      </c>
      <c r="F52" s="123" t="s">
        <v>78</v>
      </c>
      <c r="G52" s="124" t="s">
        <v>78</v>
      </c>
      <c r="H52" s="125" t="s">
        <v>78</v>
      </c>
    </row>
    <row r="53" spans="1:8" x14ac:dyDescent="0.2">
      <c r="A53" s="121"/>
      <c r="B53" s="199" t="s">
        <v>78</v>
      </c>
      <c r="C53" s="199"/>
      <c r="D53" s="122" t="s">
        <v>78</v>
      </c>
      <c r="E53" s="123" t="s">
        <v>78</v>
      </c>
      <c r="F53" s="123" t="s">
        <v>78</v>
      </c>
      <c r="G53" s="124" t="s">
        <v>78</v>
      </c>
      <c r="H53" s="125" t="s">
        <v>78</v>
      </c>
    </row>
    <row r="54" spans="1:8" x14ac:dyDescent="0.2">
      <c r="A54" s="121"/>
      <c r="B54" s="199" t="s">
        <v>78</v>
      </c>
      <c r="C54" s="199"/>
      <c r="D54" s="122" t="s">
        <v>78</v>
      </c>
      <c r="E54" s="123" t="s">
        <v>78</v>
      </c>
      <c r="F54" s="123" t="s">
        <v>78</v>
      </c>
      <c r="G54" s="124" t="s">
        <v>78</v>
      </c>
      <c r="H54" s="125" t="s">
        <v>78</v>
      </c>
    </row>
    <row r="55" spans="1:8" x14ac:dyDescent="0.2">
      <c r="A55" s="121"/>
      <c r="B55" s="199" t="s">
        <v>78</v>
      </c>
      <c r="C55" s="199"/>
      <c r="D55" s="122" t="s">
        <v>78</v>
      </c>
      <c r="E55" s="123" t="s">
        <v>78</v>
      </c>
      <c r="F55" s="123" t="s">
        <v>78</v>
      </c>
      <c r="G55" s="124" t="s">
        <v>78</v>
      </c>
      <c r="H55" s="125" t="s">
        <v>78</v>
      </c>
    </row>
    <row r="56" spans="1:8" x14ac:dyDescent="0.2">
      <c r="A56" s="121"/>
      <c r="B56" s="199" t="s">
        <v>78</v>
      </c>
      <c r="C56" s="199"/>
      <c r="D56" s="122" t="s">
        <v>78</v>
      </c>
      <c r="E56" s="123" t="s">
        <v>78</v>
      </c>
      <c r="F56" s="123" t="s">
        <v>78</v>
      </c>
      <c r="G56" s="124" t="s">
        <v>78</v>
      </c>
      <c r="H56" s="125" t="s">
        <v>78</v>
      </c>
    </row>
    <row r="57" spans="1:8" x14ac:dyDescent="0.2">
      <c r="A57" s="121"/>
      <c r="B57" s="199" t="s">
        <v>78</v>
      </c>
      <c r="C57" s="199"/>
      <c r="D57" s="122" t="s">
        <v>78</v>
      </c>
      <c r="E57" s="123" t="s">
        <v>78</v>
      </c>
      <c r="F57" s="123" t="s">
        <v>78</v>
      </c>
      <c r="G57" s="124" t="s">
        <v>78</v>
      </c>
      <c r="H57" s="125" t="s">
        <v>78</v>
      </c>
    </row>
    <row r="58" spans="1:8" x14ac:dyDescent="0.2">
      <c r="A58" s="121"/>
      <c r="B58" s="199" t="s">
        <v>78</v>
      </c>
      <c r="C58" s="199"/>
      <c r="D58" s="122" t="s">
        <v>78</v>
      </c>
      <c r="E58" s="123" t="s">
        <v>78</v>
      </c>
      <c r="F58" s="123" t="s">
        <v>78</v>
      </c>
      <c r="G58" s="124" t="s">
        <v>78</v>
      </c>
      <c r="H58" s="125" t="s">
        <v>78</v>
      </c>
    </row>
    <row r="59" spans="1:8" x14ac:dyDescent="0.2">
      <c r="A59" s="121"/>
      <c r="B59" s="199" t="s">
        <v>78</v>
      </c>
      <c r="C59" s="199"/>
      <c r="D59" s="122" t="s">
        <v>78</v>
      </c>
      <c r="E59" s="123" t="s">
        <v>78</v>
      </c>
      <c r="F59" s="123" t="s">
        <v>78</v>
      </c>
      <c r="G59" s="124" t="s">
        <v>78</v>
      </c>
      <c r="H59" s="125" t="s">
        <v>78</v>
      </c>
    </row>
    <row r="60" spans="1:8" x14ac:dyDescent="0.2">
      <c r="A60" s="121"/>
      <c r="B60" s="199" t="s">
        <v>78</v>
      </c>
      <c r="C60" s="199"/>
      <c r="D60" s="122" t="s">
        <v>78</v>
      </c>
      <c r="E60" s="123" t="s">
        <v>78</v>
      </c>
      <c r="F60" s="123" t="s">
        <v>78</v>
      </c>
      <c r="G60" s="124" t="s">
        <v>78</v>
      </c>
      <c r="H60" s="125" t="s">
        <v>78</v>
      </c>
    </row>
    <row r="61" spans="1:8" x14ac:dyDescent="0.2">
      <c r="A61" s="121"/>
      <c r="B61" s="199" t="s">
        <v>78</v>
      </c>
      <c r="C61" s="199"/>
      <c r="D61" s="122" t="s">
        <v>78</v>
      </c>
      <c r="E61" s="123" t="s">
        <v>78</v>
      </c>
      <c r="F61" s="123" t="s">
        <v>78</v>
      </c>
      <c r="G61" s="124" t="s">
        <v>78</v>
      </c>
      <c r="H61" s="125" t="s">
        <v>78</v>
      </c>
    </row>
    <row r="62" spans="1:8" x14ac:dyDescent="0.2">
      <c r="A62" s="121"/>
      <c r="B62" s="199" t="s">
        <v>78</v>
      </c>
      <c r="C62" s="199"/>
      <c r="D62" s="122" t="s">
        <v>78</v>
      </c>
      <c r="E62" s="123" t="s">
        <v>78</v>
      </c>
      <c r="F62" s="123" t="s">
        <v>78</v>
      </c>
      <c r="G62" s="124" t="s">
        <v>78</v>
      </c>
      <c r="H62" s="125" t="s">
        <v>78</v>
      </c>
    </row>
    <row r="63" spans="1:8" x14ac:dyDescent="0.2">
      <c r="A63" s="121"/>
      <c r="B63" s="199" t="s">
        <v>78</v>
      </c>
      <c r="C63" s="199"/>
      <c r="D63" s="122" t="s">
        <v>78</v>
      </c>
      <c r="E63" s="123" t="s">
        <v>78</v>
      </c>
      <c r="F63" s="123" t="s">
        <v>78</v>
      </c>
      <c r="G63" s="124" t="s">
        <v>78</v>
      </c>
      <c r="H63" s="125" t="s">
        <v>78</v>
      </c>
    </row>
    <row r="64" spans="1:8" x14ac:dyDescent="0.2">
      <c r="A64" s="121"/>
      <c r="B64" s="199" t="s">
        <v>78</v>
      </c>
      <c r="C64" s="199"/>
      <c r="D64" s="122" t="s">
        <v>78</v>
      </c>
      <c r="E64" s="123" t="s">
        <v>78</v>
      </c>
      <c r="F64" s="123" t="s">
        <v>78</v>
      </c>
      <c r="G64" s="124" t="s">
        <v>78</v>
      </c>
      <c r="H64" s="125" t="s">
        <v>78</v>
      </c>
    </row>
    <row r="65" spans="1:8" x14ac:dyDescent="0.2">
      <c r="A65" s="121"/>
      <c r="B65" s="199" t="s">
        <v>78</v>
      </c>
      <c r="C65" s="199"/>
      <c r="D65" s="122" t="s">
        <v>78</v>
      </c>
      <c r="E65" s="123" t="s">
        <v>78</v>
      </c>
      <c r="F65" s="123" t="s">
        <v>78</v>
      </c>
      <c r="G65" s="124" t="s">
        <v>78</v>
      </c>
      <c r="H65" s="125" t="s">
        <v>78</v>
      </c>
    </row>
    <row r="66" spans="1:8" x14ac:dyDescent="0.2">
      <c r="A66" s="121"/>
      <c r="B66" s="199" t="s">
        <v>78</v>
      </c>
      <c r="C66" s="199"/>
      <c r="D66" s="122" t="s">
        <v>78</v>
      </c>
      <c r="E66" s="123" t="s">
        <v>78</v>
      </c>
      <c r="F66" s="123" t="s">
        <v>78</v>
      </c>
      <c r="G66" s="124" t="s">
        <v>78</v>
      </c>
      <c r="H66" s="125" t="s">
        <v>78</v>
      </c>
    </row>
    <row r="67" spans="1:8" x14ac:dyDescent="0.2">
      <c r="A67" s="121"/>
      <c r="B67" s="199" t="s">
        <v>78</v>
      </c>
      <c r="C67" s="199"/>
      <c r="D67" s="122" t="s">
        <v>78</v>
      </c>
      <c r="E67" s="123" t="s">
        <v>78</v>
      </c>
      <c r="F67" s="123" t="s">
        <v>78</v>
      </c>
      <c r="G67" s="124" t="s">
        <v>78</v>
      </c>
      <c r="H67" s="125" t="s">
        <v>78</v>
      </c>
    </row>
    <row r="68" spans="1:8" x14ac:dyDescent="0.2">
      <c r="A68" s="121"/>
      <c r="B68" s="199" t="s">
        <v>78</v>
      </c>
      <c r="C68" s="199"/>
      <c r="D68" s="122" t="s">
        <v>78</v>
      </c>
      <c r="E68" s="123" t="s">
        <v>78</v>
      </c>
      <c r="F68" s="123" t="s">
        <v>78</v>
      </c>
      <c r="G68" s="124" t="s">
        <v>78</v>
      </c>
      <c r="H68" s="125" t="s">
        <v>78</v>
      </c>
    </row>
    <row r="69" spans="1:8" x14ac:dyDescent="0.2">
      <c r="A69" s="121"/>
      <c r="B69" s="199" t="s">
        <v>78</v>
      </c>
      <c r="C69" s="199"/>
      <c r="D69" s="122" t="s">
        <v>78</v>
      </c>
      <c r="E69" s="123" t="s">
        <v>78</v>
      </c>
      <c r="F69" s="123" t="s">
        <v>78</v>
      </c>
      <c r="G69" s="124" t="s">
        <v>78</v>
      </c>
      <c r="H69" s="125" t="s">
        <v>78</v>
      </c>
    </row>
    <row r="70" spans="1:8" x14ac:dyDescent="0.2">
      <c r="A70" s="121"/>
      <c r="B70" s="199" t="s">
        <v>78</v>
      </c>
      <c r="C70" s="199"/>
      <c r="D70" s="122" t="s">
        <v>78</v>
      </c>
      <c r="E70" s="123" t="s">
        <v>78</v>
      </c>
      <c r="F70" s="123" t="s">
        <v>78</v>
      </c>
      <c r="G70" s="124" t="s">
        <v>78</v>
      </c>
      <c r="H70" s="125" t="s">
        <v>78</v>
      </c>
    </row>
    <row r="71" spans="1:8" x14ac:dyDescent="0.2">
      <c r="A71" s="121"/>
      <c r="B71" s="199" t="s">
        <v>78</v>
      </c>
      <c r="C71" s="199"/>
      <c r="D71" s="122" t="s">
        <v>78</v>
      </c>
      <c r="E71" s="123" t="s">
        <v>78</v>
      </c>
      <c r="F71" s="123" t="s">
        <v>78</v>
      </c>
      <c r="G71" s="124" t="s">
        <v>78</v>
      </c>
      <c r="H71" s="125" t="s">
        <v>78</v>
      </c>
    </row>
    <row r="72" spans="1:8" x14ac:dyDescent="0.2">
      <c r="A72" s="121"/>
      <c r="B72" s="199" t="s">
        <v>78</v>
      </c>
      <c r="C72" s="199"/>
      <c r="D72" s="122" t="s">
        <v>78</v>
      </c>
      <c r="E72" s="123" t="s">
        <v>78</v>
      </c>
      <c r="F72" s="123" t="s">
        <v>78</v>
      </c>
      <c r="G72" s="124" t="s">
        <v>78</v>
      </c>
      <c r="H72" s="125" t="s">
        <v>78</v>
      </c>
    </row>
    <row r="73" spans="1:8" x14ac:dyDescent="0.2">
      <c r="A73" s="121"/>
      <c r="B73" s="199" t="s">
        <v>78</v>
      </c>
      <c r="C73" s="199"/>
      <c r="D73" s="122" t="s">
        <v>78</v>
      </c>
      <c r="E73" s="123" t="s">
        <v>78</v>
      </c>
      <c r="F73" s="123" t="s">
        <v>78</v>
      </c>
      <c r="G73" s="124" t="s">
        <v>78</v>
      </c>
      <c r="H73" s="125" t="s">
        <v>78</v>
      </c>
    </row>
    <row r="74" spans="1:8" x14ac:dyDescent="0.2">
      <c r="A74" s="121"/>
      <c r="B74" s="199" t="s">
        <v>78</v>
      </c>
      <c r="C74" s="199"/>
      <c r="D74" s="122" t="s">
        <v>78</v>
      </c>
      <c r="E74" s="123" t="s">
        <v>78</v>
      </c>
      <c r="F74" s="123" t="s">
        <v>78</v>
      </c>
      <c r="G74" s="124" t="s">
        <v>78</v>
      </c>
      <c r="H74" s="125" t="s">
        <v>78</v>
      </c>
    </row>
    <row r="75" spans="1:8" x14ac:dyDescent="0.2">
      <c r="A75" s="121"/>
      <c r="B75" s="199" t="s">
        <v>78</v>
      </c>
      <c r="C75" s="199"/>
      <c r="D75" s="122" t="s">
        <v>78</v>
      </c>
      <c r="E75" s="123" t="s">
        <v>78</v>
      </c>
      <c r="F75" s="123" t="s">
        <v>78</v>
      </c>
      <c r="G75" s="124" t="s">
        <v>78</v>
      </c>
      <c r="H75" s="125" t="s">
        <v>78</v>
      </c>
    </row>
    <row r="76" spans="1:8" x14ac:dyDescent="0.2">
      <c r="A76" s="121"/>
      <c r="B76" s="199" t="s">
        <v>78</v>
      </c>
      <c r="C76" s="199"/>
      <c r="D76" s="122" t="s">
        <v>78</v>
      </c>
      <c r="E76" s="123" t="s">
        <v>78</v>
      </c>
      <c r="F76" s="123" t="s">
        <v>78</v>
      </c>
      <c r="G76" s="124" t="s">
        <v>78</v>
      </c>
      <c r="H76" s="125" t="s">
        <v>78</v>
      </c>
    </row>
    <row r="77" spans="1:8" x14ac:dyDescent="0.2">
      <c r="A77" s="121"/>
      <c r="B77" s="199" t="s">
        <v>78</v>
      </c>
      <c r="C77" s="199"/>
      <c r="D77" s="122" t="s">
        <v>78</v>
      </c>
      <c r="E77" s="123" t="s">
        <v>78</v>
      </c>
      <c r="F77" s="123" t="s">
        <v>78</v>
      </c>
      <c r="G77" s="124" t="s">
        <v>78</v>
      </c>
      <c r="H77" s="125" t="s">
        <v>78</v>
      </c>
    </row>
    <row r="78" spans="1:8" x14ac:dyDescent="0.2">
      <c r="A78" s="121"/>
      <c r="B78" s="199" t="s">
        <v>78</v>
      </c>
      <c r="C78" s="199"/>
      <c r="D78" s="122" t="s">
        <v>78</v>
      </c>
      <c r="E78" s="123" t="s">
        <v>78</v>
      </c>
      <c r="F78" s="123" t="s">
        <v>78</v>
      </c>
      <c r="G78" s="124" t="s">
        <v>78</v>
      </c>
      <c r="H78" s="125" t="s">
        <v>78</v>
      </c>
    </row>
    <row r="79" spans="1:8" x14ac:dyDescent="0.2">
      <c r="A79" s="121"/>
      <c r="B79" s="199" t="s">
        <v>78</v>
      </c>
      <c r="C79" s="199"/>
      <c r="D79" s="122" t="s">
        <v>78</v>
      </c>
      <c r="E79" s="123" t="s">
        <v>78</v>
      </c>
      <c r="F79" s="123" t="s">
        <v>78</v>
      </c>
      <c r="G79" s="124" t="s">
        <v>78</v>
      </c>
      <c r="H79" s="125" t="s">
        <v>78</v>
      </c>
    </row>
    <row r="80" spans="1:8" x14ac:dyDescent="0.2">
      <c r="A80" s="121"/>
      <c r="B80" s="199" t="s">
        <v>78</v>
      </c>
      <c r="C80" s="199"/>
      <c r="D80" s="122" t="s">
        <v>78</v>
      </c>
      <c r="E80" s="123" t="s">
        <v>78</v>
      </c>
      <c r="F80" s="123" t="s">
        <v>78</v>
      </c>
      <c r="G80" s="124" t="s">
        <v>78</v>
      </c>
      <c r="H80" s="125" t="s">
        <v>78</v>
      </c>
    </row>
    <row r="81" spans="1:8" x14ac:dyDescent="0.2">
      <c r="A81" s="121"/>
      <c r="B81" s="199" t="s">
        <v>78</v>
      </c>
      <c r="C81" s="199"/>
      <c r="D81" s="122" t="s">
        <v>78</v>
      </c>
      <c r="E81" s="123" t="s">
        <v>78</v>
      </c>
      <c r="F81" s="123" t="s">
        <v>78</v>
      </c>
      <c r="G81" s="124" t="s">
        <v>78</v>
      </c>
      <c r="H81" s="125" t="s">
        <v>78</v>
      </c>
    </row>
    <row r="82" spans="1:8" x14ac:dyDescent="0.2">
      <c r="A82" s="121"/>
      <c r="B82" s="199" t="s">
        <v>78</v>
      </c>
      <c r="C82" s="199"/>
      <c r="D82" s="122" t="s">
        <v>78</v>
      </c>
      <c r="E82" s="123" t="s">
        <v>78</v>
      </c>
      <c r="F82" s="123" t="s">
        <v>78</v>
      </c>
      <c r="G82" s="124" t="s">
        <v>78</v>
      </c>
      <c r="H82" s="125" t="s">
        <v>78</v>
      </c>
    </row>
    <row r="83" spans="1:8" x14ac:dyDescent="0.2">
      <c r="A83" s="121"/>
      <c r="B83" s="199" t="s">
        <v>78</v>
      </c>
      <c r="C83" s="199"/>
      <c r="D83" s="122" t="s">
        <v>78</v>
      </c>
      <c r="E83" s="123" t="s">
        <v>78</v>
      </c>
      <c r="F83" s="123" t="s">
        <v>78</v>
      </c>
      <c r="G83" s="124" t="s">
        <v>78</v>
      </c>
      <c r="H83" s="125" t="s">
        <v>78</v>
      </c>
    </row>
    <row r="84" spans="1:8" x14ac:dyDescent="0.2">
      <c r="A84" s="121"/>
      <c r="B84" s="199" t="s">
        <v>78</v>
      </c>
      <c r="C84" s="199"/>
      <c r="D84" s="122" t="s">
        <v>78</v>
      </c>
      <c r="E84" s="123" t="s">
        <v>78</v>
      </c>
      <c r="F84" s="123" t="s">
        <v>78</v>
      </c>
      <c r="G84" s="124" t="s">
        <v>78</v>
      </c>
      <c r="H84" s="125" t="s">
        <v>78</v>
      </c>
    </row>
    <row r="85" spans="1:8" x14ac:dyDescent="0.2">
      <c r="A85" s="121"/>
      <c r="B85" s="199" t="s">
        <v>78</v>
      </c>
      <c r="C85" s="199"/>
      <c r="D85" s="122" t="s">
        <v>78</v>
      </c>
      <c r="E85" s="123" t="s">
        <v>78</v>
      </c>
      <c r="F85" s="123" t="s">
        <v>78</v>
      </c>
      <c r="G85" s="124" t="s">
        <v>78</v>
      </c>
      <c r="H85" s="125" t="s">
        <v>78</v>
      </c>
    </row>
    <row r="86" spans="1:8" x14ac:dyDescent="0.2">
      <c r="A86" s="121"/>
      <c r="B86" s="199" t="s">
        <v>78</v>
      </c>
      <c r="C86" s="199"/>
      <c r="D86" s="122" t="s">
        <v>78</v>
      </c>
      <c r="E86" s="123" t="s">
        <v>78</v>
      </c>
      <c r="F86" s="123" t="s">
        <v>78</v>
      </c>
      <c r="G86" s="124" t="s">
        <v>78</v>
      </c>
      <c r="H86" s="125" t="s">
        <v>78</v>
      </c>
    </row>
    <row r="87" spans="1:8" x14ac:dyDescent="0.2">
      <c r="A87" s="121"/>
      <c r="B87" s="199" t="s">
        <v>78</v>
      </c>
      <c r="C87" s="199"/>
      <c r="D87" s="122" t="s">
        <v>78</v>
      </c>
      <c r="E87" s="123" t="s">
        <v>78</v>
      </c>
      <c r="F87" s="123" t="s">
        <v>78</v>
      </c>
      <c r="G87" s="124" t="s">
        <v>78</v>
      </c>
      <c r="H87" s="125" t="s">
        <v>78</v>
      </c>
    </row>
    <row r="88" spans="1:8" x14ac:dyDescent="0.2">
      <c r="A88" s="121"/>
      <c r="B88" s="199" t="s">
        <v>78</v>
      </c>
      <c r="C88" s="199"/>
      <c r="D88" s="122" t="s">
        <v>78</v>
      </c>
      <c r="E88" s="123" t="s">
        <v>78</v>
      </c>
      <c r="F88" s="123" t="s">
        <v>78</v>
      </c>
      <c r="G88" s="124" t="s">
        <v>78</v>
      </c>
      <c r="H88" s="125" t="s">
        <v>78</v>
      </c>
    </row>
    <row r="89" spans="1:8" x14ac:dyDescent="0.2">
      <c r="A89" s="121"/>
      <c r="B89" s="199" t="s">
        <v>78</v>
      </c>
      <c r="C89" s="199"/>
      <c r="D89" s="122" t="s">
        <v>78</v>
      </c>
      <c r="E89" s="123" t="s">
        <v>78</v>
      </c>
      <c r="F89" s="123" t="s">
        <v>78</v>
      </c>
      <c r="G89" s="124" t="s">
        <v>78</v>
      </c>
      <c r="H89" s="125" t="s">
        <v>78</v>
      </c>
    </row>
    <row r="90" spans="1:8" x14ac:dyDescent="0.2">
      <c r="A90" s="121"/>
      <c r="B90" s="199" t="s">
        <v>78</v>
      </c>
      <c r="C90" s="199"/>
      <c r="D90" s="122" t="s">
        <v>78</v>
      </c>
      <c r="E90" s="123" t="s">
        <v>78</v>
      </c>
      <c r="F90" s="123" t="s">
        <v>78</v>
      </c>
      <c r="G90" s="124" t="s">
        <v>78</v>
      </c>
      <c r="H90" s="125" t="s">
        <v>78</v>
      </c>
    </row>
    <row r="91" spans="1:8" x14ac:dyDescent="0.2">
      <c r="A91" s="121"/>
      <c r="B91" s="199" t="s">
        <v>78</v>
      </c>
      <c r="C91" s="199"/>
      <c r="D91" s="122" t="s">
        <v>78</v>
      </c>
      <c r="E91" s="123" t="s">
        <v>78</v>
      </c>
      <c r="F91" s="123" t="s">
        <v>78</v>
      </c>
      <c r="G91" s="124" t="s">
        <v>78</v>
      </c>
      <c r="H91" s="125" t="s">
        <v>78</v>
      </c>
    </row>
    <row r="92" spans="1:8" x14ac:dyDescent="0.2">
      <c r="A92" s="121"/>
      <c r="B92" s="199" t="s">
        <v>78</v>
      </c>
      <c r="C92" s="199"/>
      <c r="D92" s="122" t="s">
        <v>78</v>
      </c>
      <c r="E92" s="123" t="s">
        <v>78</v>
      </c>
      <c r="F92" s="123" t="s">
        <v>78</v>
      </c>
      <c r="G92" s="124" t="s">
        <v>78</v>
      </c>
      <c r="H92" s="125" t="s">
        <v>78</v>
      </c>
    </row>
    <row r="93" spans="1:8" x14ac:dyDescent="0.2">
      <c r="A93" s="121"/>
      <c r="B93" s="199" t="s">
        <v>78</v>
      </c>
      <c r="C93" s="199"/>
      <c r="D93" s="122" t="s">
        <v>78</v>
      </c>
      <c r="E93" s="123" t="s">
        <v>78</v>
      </c>
      <c r="F93" s="123" t="s">
        <v>78</v>
      </c>
      <c r="G93" s="124" t="s">
        <v>78</v>
      </c>
      <c r="H93" s="125" t="s">
        <v>78</v>
      </c>
    </row>
    <row r="94" spans="1:8" x14ac:dyDescent="0.2">
      <c r="A94" s="121"/>
      <c r="B94" s="199" t="s">
        <v>78</v>
      </c>
      <c r="C94" s="199"/>
      <c r="D94" s="122" t="s">
        <v>78</v>
      </c>
      <c r="E94" s="123" t="s">
        <v>78</v>
      </c>
      <c r="F94" s="123" t="s">
        <v>78</v>
      </c>
      <c r="G94" s="124" t="s">
        <v>78</v>
      </c>
      <c r="H94" s="125" t="s">
        <v>78</v>
      </c>
    </row>
    <row r="95" spans="1:8" x14ac:dyDescent="0.2">
      <c r="A95" s="121"/>
      <c r="B95" s="199" t="s">
        <v>78</v>
      </c>
      <c r="C95" s="199"/>
      <c r="D95" s="122" t="s">
        <v>78</v>
      </c>
      <c r="E95" s="123" t="s">
        <v>78</v>
      </c>
      <c r="F95" s="123" t="s">
        <v>78</v>
      </c>
      <c r="G95" s="124" t="s">
        <v>78</v>
      </c>
      <c r="H95" s="125" t="s">
        <v>78</v>
      </c>
    </row>
    <row r="96" spans="1:8" x14ac:dyDescent="0.2">
      <c r="A96" s="121"/>
      <c r="B96" s="199" t="s">
        <v>78</v>
      </c>
      <c r="C96" s="199"/>
      <c r="D96" s="122" t="s">
        <v>78</v>
      </c>
      <c r="E96" s="123" t="s">
        <v>78</v>
      </c>
      <c r="F96" s="123" t="s">
        <v>78</v>
      </c>
      <c r="G96" s="124" t="s">
        <v>78</v>
      </c>
      <c r="H96" s="125" t="s">
        <v>78</v>
      </c>
    </row>
    <row r="97" spans="1:8" x14ac:dyDescent="0.2">
      <c r="A97" s="121"/>
      <c r="B97" s="199" t="s">
        <v>78</v>
      </c>
      <c r="C97" s="199"/>
      <c r="D97" s="122" t="s">
        <v>78</v>
      </c>
      <c r="E97" s="123" t="s">
        <v>78</v>
      </c>
      <c r="F97" s="123" t="s">
        <v>78</v>
      </c>
      <c r="G97" s="124" t="s">
        <v>78</v>
      </c>
      <c r="H97" s="125" t="s">
        <v>78</v>
      </c>
    </row>
    <row r="98" spans="1:8" x14ac:dyDescent="0.2">
      <c r="A98" s="121"/>
      <c r="B98" s="199" t="s">
        <v>78</v>
      </c>
      <c r="C98" s="199"/>
      <c r="D98" s="122" t="s">
        <v>78</v>
      </c>
      <c r="E98" s="123" t="s">
        <v>78</v>
      </c>
      <c r="F98" s="123" t="s">
        <v>78</v>
      </c>
      <c r="G98" s="124" t="s">
        <v>78</v>
      </c>
      <c r="H98" s="125" t="s">
        <v>78</v>
      </c>
    </row>
    <row r="99" spans="1:8" x14ac:dyDescent="0.2">
      <c r="A99" s="121"/>
      <c r="B99" s="199" t="s">
        <v>78</v>
      </c>
      <c r="C99" s="199"/>
      <c r="D99" s="122" t="s">
        <v>78</v>
      </c>
      <c r="E99" s="123" t="s">
        <v>78</v>
      </c>
      <c r="F99" s="123" t="s">
        <v>78</v>
      </c>
      <c r="G99" s="124" t="s">
        <v>78</v>
      </c>
      <c r="H99" s="125" t="s">
        <v>78</v>
      </c>
    </row>
    <row r="100" spans="1:8" x14ac:dyDescent="0.2">
      <c r="A100" s="121"/>
      <c r="B100" s="199" t="s">
        <v>78</v>
      </c>
      <c r="C100" s="199"/>
      <c r="D100" s="122" t="s">
        <v>78</v>
      </c>
      <c r="E100" s="123" t="s">
        <v>78</v>
      </c>
      <c r="F100" s="123" t="s">
        <v>78</v>
      </c>
      <c r="G100" s="124" t="s">
        <v>78</v>
      </c>
      <c r="H100" s="125" t="s">
        <v>78</v>
      </c>
    </row>
    <row r="101" spans="1:8" x14ac:dyDescent="0.2">
      <c r="A101" s="121"/>
      <c r="B101" s="199" t="s">
        <v>78</v>
      </c>
      <c r="C101" s="199"/>
      <c r="D101" s="122" t="s">
        <v>78</v>
      </c>
      <c r="E101" s="123" t="s">
        <v>78</v>
      </c>
      <c r="F101" s="123" t="s">
        <v>78</v>
      </c>
      <c r="G101" s="124" t="s">
        <v>78</v>
      </c>
      <c r="H101" s="125" t="s">
        <v>78</v>
      </c>
    </row>
    <row r="102" spans="1:8" x14ac:dyDescent="0.2">
      <c r="A102" s="121"/>
      <c r="B102" s="199" t="s">
        <v>78</v>
      </c>
      <c r="C102" s="199"/>
      <c r="D102" s="122" t="s">
        <v>78</v>
      </c>
      <c r="E102" s="123" t="s">
        <v>78</v>
      </c>
      <c r="F102" s="123" t="s">
        <v>78</v>
      </c>
      <c r="G102" s="124" t="s">
        <v>78</v>
      </c>
      <c r="H102" s="125" t="s">
        <v>78</v>
      </c>
    </row>
    <row r="103" spans="1:8" x14ac:dyDescent="0.2">
      <c r="A103" s="121"/>
      <c r="B103" s="199" t="s">
        <v>78</v>
      </c>
      <c r="C103" s="199"/>
      <c r="D103" s="122" t="s">
        <v>78</v>
      </c>
      <c r="E103" s="123" t="s">
        <v>78</v>
      </c>
      <c r="F103" s="123" t="s">
        <v>78</v>
      </c>
      <c r="G103" s="124" t="s">
        <v>78</v>
      </c>
      <c r="H103" s="125" t="s">
        <v>78</v>
      </c>
    </row>
    <row r="104" spans="1:8" x14ac:dyDescent="0.2">
      <c r="A104" s="121"/>
      <c r="B104" s="199" t="s">
        <v>78</v>
      </c>
      <c r="C104" s="199"/>
      <c r="D104" s="122" t="s">
        <v>78</v>
      </c>
      <c r="E104" s="123" t="s">
        <v>78</v>
      </c>
      <c r="F104" s="123" t="s">
        <v>78</v>
      </c>
      <c r="G104" s="124" t="s">
        <v>78</v>
      </c>
      <c r="H104" s="125" t="s">
        <v>78</v>
      </c>
    </row>
    <row r="105" spans="1:8" x14ac:dyDescent="0.2">
      <c r="A105" s="121"/>
      <c r="B105" s="199" t="s">
        <v>78</v>
      </c>
      <c r="C105" s="199"/>
      <c r="D105" s="122" t="s">
        <v>78</v>
      </c>
      <c r="E105" s="123" t="s">
        <v>78</v>
      </c>
      <c r="F105" s="123" t="s">
        <v>78</v>
      </c>
      <c r="G105" s="124" t="s">
        <v>78</v>
      </c>
      <c r="H105" s="125" t="s">
        <v>78</v>
      </c>
    </row>
    <row r="106" spans="1:8" x14ac:dyDescent="0.2">
      <c r="A106" s="121"/>
      <c r="B106" s="199" t="s">
        <v>78</v>
      </c>
      <c r="C106" s="199"/>
      <c r="D106" s="122" t="s">
        <v>78</v>
      </c>
      <c r="E106" s="123" t="s">
        <v>78</v>
      </c>
      <c r="F106" s="123" t="s">
        <v>78</v>
      </c>
      <c r="G106" s="124" t="s">
        <v>78</v>
      </c>
      <c r="H106" s="125" t="s">
        <v>78</v>
      </c>
    </row>
    <row r="107" spans="1:8" x14ac:dyDescent="0.2">
      <c r="A107" s="121"/>
      <c r="B107" s="199" t="s">
        <v>78</v>
      </c>
      <c r="C107" s="199"/>
      <c r="D107" s="122" t="s">
        <v>78</v>
      </c>
      <c r="E107" s="123" t="s">
        <v>78</v>
      </c>
      <c r="F107" s="123" t="s">
        <v>78</v>
      </c>
      <c r="G107" s="124" t="s">
        <v>78</v>
      </c>
      <c r="H107" s="125" t="s">
        <v>78</v>
      </c>
    </row>
    <row r="108" spans="1:8" x14ac:dyDescent="0.2">
      <c r="A108" s="121"/>
      <c r="B108" s="199" t="s">
        <v>78</v>
      </c>
      <c r="C108" s="199"/>
      <c r="D108" s="122" t="s">
        <v>78</v>
      </c>
      <c r="E108" s="123" t="s">
        <v>78</v>
      </c>
      <c r="F108" s="123" t="s">
        <v>78</v>
      </c>
      <c r="G108" s="124" t="s">
        <v>78</v>
      </c>
      <c r="H108" s="125" t="s">
        <v>78</v>
      </c>
    </row>
    <row r="109" spans="1:8" x14ac:dyDescent="0.2">
      <c r="A109" s="121"/>
      <c r="B109" s="199" t="s">
        <v>78</v>
      </c>
      <c r="C109" s="199"/>
      <c r="D109" s="122" t="s">
        <v>78</v>
      </c>
      <c r="E109" s="123" t="s">
        <v>78</v>
      </c>
      <c r="F109" s="123" t="s">
        <v>78</v>
      </c>
      <c r="G109" s="124" t="s">
        <v>78</v>
      </c>
      <c r="H109" s="125" t="s">
        <v>78</v>
      </c>
    </row>
    <row r="110" spans="1:8" x14ac:dyDescent="0.2">
      <c r="A110" s="121"/>
      <c r="B110" s="199" t="s">
        <v>78</v>
      </c>
      <c r="C110" s="199"/>
      <c r="D110" s="122" t="s">
        <v>78</v>
      </c>
      <c r="E110" s="123" t="s">
        <v>78</v>
      </c>
      <c r="F110" s="123" t="s">
        <v>78</v>
      </c>
      <c r="G110" s="124" t="s">
        <v>78</v>
      </c>
      <c r="H110" s="125" t="s">
        <v>78</v>
      </c>
    </row>
    <row r="111" spans="1:8" x14ac:dyDescent="0.2">
      <c r="A111" s="121"/>
      <c r="B111" s="199" t="s">
        <v>78</v>
      </c>
      <c r="C111" s="199"/>
      <c r="D111" s="122" t="s">
        <v>78</v>
      </c>
      <c r="E111" s="123" t="s">
        <v>78</v>
      </c>
      <c r="F111" s="123" t="s">
        <v>78</v>
      </c>
      <c r="G111" s="124" t="s">
        <v>78</v>
      </c>
      <c r="H111" s="125" t="s">
        <v>78</v>
      </c>
    </row>
    <row r="112" spans="1:8" x14ac:dyDescent="0.2">
      <c r="A112" s="121"/>
      <c r="B112" s="199" t="s">
        <v>78</v>
      </c>
      <c r="C112" s="199"/>
      <c r="D112" s="122" t="s">
        <v>78</v>
      </c>
      <c r="E112" s="123" t="s">
        <v>78</v>
      </c>
      <c r="F112" s="123" t="s">
        <v>78</v>
      </c>
      <c r="G112" s="124" t="s">
        <v>78</v>
      </c>
      <c r="H112" s="125" t="s">
        <v>78</v>
      </c>
    </row>
    <row r="113" spans="1:8" x14ac:dyDescent="0.2">
      <c r="A113" s="121"/>
      <c r="B113" s="199" t="s">
        <v>78</v>
      </c>
      <c r="C113" s="199"/>
      <c r="D113" s="122" t="s">
        <v>78</v>
      </c>
      <c r="E113" s="123" t="s">
        <v>78</v>
      </c>
      <c r="F113" s="123" t="s">
        <v>78</v>
      </c>
      <c r="G113" s="124" t="s">
        <v>78</v>
      </c>
      <c r="H113" s="125" t="s">
        <v>78</v>
      </c>
    </row>
    <row r="114" spans="1:8" x14ac:dyDescent="0.2">
      <c r="A114" s="121"/>
      <c r="B114" s="199" t="s">
        <v>78</v>
      </c>
      <c r="C114" s="199"/>
      <c r="D114" s="122" t="s">
        <v>78</v>
      </c>
      <c r="E114" s="123" t="s">
        <v>78</v>
      </c>
      <c r="F114" s="123" t="s">
        <v>78</v>
      </c>
      <c r="G114" s="124" t="s">
        <v>78</v>
      </c>
      <c r="H114" s="125" t="s">
        <v>78</v>
      </c>
    </row>
    <row r="115" spans="1:8" x14ac:dyDescent="0.2">
      <c r="A115" s="121"/>
      <c r="B115" s="199" t="s">
        <v>78</v>
      </c>
      <c r="C115" s="199"/>
      <c r="D115" s="122" t="s">
        <v>78</v>
      </c>
      <c r="E115" s="123" t="s">
        <v>78</v>
      </c>
      <c r="F115" s="123" t="s">
        <v>78</v>
      </c>
      <c r="G115" s="124" t="s">
        <v>78</v>
      </c>
      <c r="H115" s="125" t="s">
        <v>78</v>
      </c>
    </row>
    <row r="116" spans="1:8" x14ac:dyDescent="0.2">
      <c r="A116" s="121"/>
      <c r="B116" s="199" t="s">
        <v>78</v>
      </c>
      <c r="C116" s="199"/>
      <c r="D116" s="122" t="s">
        <v>78</v>
      </c>
      <c r="E116" s="123" t="s">
        <v>78</v>
      </c>
      <c r="F116" s="123" t="s">
        <v>78</v>
      </c>
      <c r="G116" s="124" t="s">
        <v>78</v>
      </c>
      <c r="H116" s="125" t="s">
        <v>78</v>
      </c>
    </row>
    <row r="117" spans="1:8" x14ac:dyDescent="0.2">
      <c r="A117" s="121"/>
      <c r="B117" s="199" t="s">
        <v>78</v>
      </c>
      <c r="C117" s="199"/>
      <c r="D117" s="122" t="s">
        <v>78</v>
      </c>
      <c r="E117" s="123" t="s">
        <v>78</v>
      </c>
      <c r="F117" s="123" t="s">
        <v>78</v>
      </c>
      <c r="G117" s="124" t="s">
        <v>78</v>
      </c>
      <c r="H117" s="125" t="s">
        <v>78</v>
      </c>
    </row>
    <row r="118" spans="1:8" x14ac:dyDescent="0.2">
      <c r="A118" s="121"/>
      <c r="B118" s="199" t="s">
        <v>78</v>
      </c>
      <c r="C118" s="199"/>
      <c r="D118" s="122" t="s">
        <v>78</v>
      </c>
      <c r="E118" s="123" t="s">
        <v>78</v>
      </c>
      <c r="F118" s="123" t="s">
        <v>78</v>
      </c>
      <c r="G118" s="124" t="s">
        <v>78</v>
      </c>
      <c r="H118" s="125" t="s">
        <v>78</v>
      </c>
    </row>
    <row r="119" spans="1:8" x14ac:dyDescent="0.2">
      <c r="A119" s="121"/>
      <c r="B119" s="199" t="s">
        <v>78</v>
      </c>
      <c r="C119" s="199"/>
      <c r="D119" s="122" t="s">
        <v>78</v>
      </c>
      <c r="E119" s="123" t="s">
        <v>78</v>
      </c>
      <c r="F119" s="123" t="s">
        <v>78</v>
      </c>
      <c r="G119" s="124" t="s">
        <v>78</v>
      </c>
      <c r="H119" s="125" t="s">
        <v>78</v>
      </c>
    </row>
    <row r="120" spans="1:8" x14ac:dyDescent="0.2">
      <c r="A120" s="121"/>
      <c r="B120" s="199" t="s">
        <v>78</v>
      </c>
      <c r="C120" s="199"/>
      <c r="D120" s="122" t="s">
        <v>78</v>
      </c>
      <c r="E120" s="123" t="s">
        <v>78</v>
      </c>
      <c r="F120" s="123" t="s">
        <v>78</v>
      </c>
      <c r="G120" s="124" t="s">
        <v>78</v>
      </c>
      <c r="H120" s="125" t="s">
        <v>78</v>
      </c>
    </row>
    <row r="121" spans="1:8" x14ac:dyDescent="0.2">
      <c r="A121" s="121"/>
      <c r="B121" s="199" t="s">
        <v>78</v>
      </c>
      <c r="C121" s="199"/>
      <c r="D121" s="122" t="s">
        <v>78</v>
      </c>
      <c r="E121" s="123" t="s">
        <v>78</v>
      </c>
      <c r="F121" s="123" t="s">
        <v>78</v>
      </c>
      <c r="G121" s="124" t="s">
        <v>78</v>
      </c>
      <c r="H121" s="125" t="s">
        <v>78</v>
      </c>
    </row>
    <row r="122" spans="1:8" x14ac:dyDescent="0.2">
      <c r="A122" s="121"/>
      <c r="B122" s="199" t="s">
        <v>78</v>
      </c>
      <c r="C122" s="199"/>
      <c r="D122" s="122" t="s">
        <v>78</v>
      </c>
      <c r="E122" s="123" t="s">
        <v>78</v>
      </c>
      <c r="F122" s="123" t="s">
        <v>78</v>
      </c>
      <c r="G122" s="124" t="s">
        <v>78</v>
      </c>
      <c r="H122" s="125" t="s">
        <v>78</v>
      </c>
    </row>
    <row r="123" spans="1:8" x14ac:dyDescent="0.2">
      <c r="A123" s="121"/>
      <c r="B123" s="199" t="s">
        <v>78</v>
      </c>
      <c r="C123" s="199"/>
      <c r="D123" s="122" t="s">
        <v>78</v>
      </c>
      <c r="E123" s="123" t="s">
        <v>78</v>
      </c>
      <c r="F123" s="123" t="s">
        <v>78</v>
      </c>
      <c r="G123" s="124" t="s">
        <v>78</v>
      </c>
      <c r="H123" s="125" t="s">
        <v>78</v>
      </c>
    </row>
    <row r="124" spans="1:8" x14ac:dyDescent="0.2">
      <c r="A124" s="121"/>
      <c r="B124" s="199" t="s">
        <v>78</v>
      </c>
      <c r="C124" s="199"/>
      <c r="D124" s="122" t="s">
        <v>78</v>
      </c>
      <c r="E124" s="123" t="s">
        <v>78</v>
      </c>
      <c r="F124" s="123" t="s">
        <v>78</v>
      </c>
      <c r="G124" s="124" t="s">
        <v>78</v>
      </c>
      <c r="H124" s="125" t="s">
        <v>78</v>
      </c>
    </row>
    <row r="125" spans="1:8" x14ac:dyDescent="0.2">
      <c r="A125" s="121"/>
      <c r="B125" s="199" t="s">
        <v>78</v>
      </c>
      <c r="C125" s="199"/>
      <c r="D125" s="122" t="s">
        <v>78</v>
      </c>
      <c r="E125" s="123" t="s">
        <v>78</v>
      </c>
      <c r="F125" s="123" t="s">
        <v>78</v>
      </c>
      <c r="G125" s="124" t="s">
        <v>78</v>
      </c>
      <c r="H125" s="125" t="s">
        <v>78</v>
      </c>
    </row>
    <row r="126" spans="1:8" x14ac:dyDescent="0.2">
      <c r="A126" s="121"/>
      <c r="B126" s="199" t="s">
        <v>78</v>
      </c>
      <c r="C126" s="199"/>
      <c r="D126" s="122" t="s">
        <v>78</v>
      </c>
      <c r="E126" s="123" t="s">
        <v>78</v>
      </c>
      <c r="F126" s="123" t="s">
        <v>78</v>
      </c>
      <c r="G126" s="124" t="s">
        <v>78</v>
      </c>
      <c r="H126" s="125" t="s">
        <v>78</v>
      </c>
    </row>
    <row r="127" spans="1:8" x14ac:dyDescent="0.2">
      <c r="A127" s="121"/>
      <c r="B127" s="199" t="s">
        <v>78</v>
      </c>
      <c r="C127" s="199"/>
      <c r="D127" s="122" t="s">
        <v>78</v>
      </c>
      <c r="E127" s="123" t="s">
        <v>78</v>
      </c>
      <c r="F127" s="123" t="s">
        <v>78</v>
      </c>
      <c r="G127" s="124" t="s">
        <v>78</v>
      </c>
      <c r="H127" s="125" t="s">
        <v>78</v>
      </c>
    </row>
    <row r="128" spans="1:8" x14ac:dyDescent="0.2">
      <c r="A128" s="121"/>
      <c r="B128" s="199" t="s">
        <v>78</v>
      </c>
      <c r="C128" s="199"/>
      <c r="D128" s="122" t="s">
        <v>78</v>
      </c>
      <c r="E128" s="123" t="s">
        <v>78</v>
      </c>
      <c r="F128" s="123" t="s">
        <v>78</v>
      </c>
      <c r="G128" s="124" t="s">
        <v>78</v>
      </c>
      <c r="H128" s="125" t="s">
        <v>78</v>
      </c>
    </row>
    <row r="129" spans="1:8" x14ac:dyDescent="0.2">
      <c r="A129" s="121"/>
      <c r="B129" s="199" t="s">
        <v>78</v>
      </c>
      <c r="C129" s="199"/>
      <c r="D129" s="122" t="s">
        <v>78</v>
      </c>
      <c r="E129" s="123" t="s">
        <v>78</v>
      </c>
      <c r="F129" s="123" t="s">
        <v>78</v>
      </c>
      <c r="G129" s="124" t="s">
        <v>78</v>
      </c>
      <c r="H129" s="125" t="s">
        <v>78</v>
      </c>
    </row>
    <row r="130" spans="1:8" x14ac:dyDescent="0.2">
      <c r="A130" s="121"/>
      <c r="B130" s="199" t="s">
        <v>78</v>
      </c>
      <c r="C130" s="199"/>
      <c r="D130" s="122" t="s">
        <v>78</v>
      </c>
      <c r="E130" s="123" t="s">
        <v>78</v>
      </c>
      <c r="F130" s="123" t="s">
        <v>78</v>
      </c>
      <c r="G130" s="124" t="s">
        <v>78</v>
      </c>
      <c r="H130" s="125" t="s">
        <v>78</v>
      </c>
    </row>
    <row r="131" spans="1:8" x14ac:dyDescent="0.2">
      <c r="A131" s="121"/>
      <c r="B131" s="199" t="s">
        <v>78</v>
      </c>
      <c r="C131" s="199"/>
      <c r="D131" s="122" t="s">
        <v>78</v>
      </c>
      <c r="E131" s="123" t="s">
        <v>78</v>
      </c>
      <c r="F131" s="123" t="s">
        <v>78</v>
      </c>
      <c r="G131" s="124" t="s">
        <v>78</v>
      </c>
      <c r="H131" s="125" t="s">
        <v>78</v>
      </c>
    </row>
    <row r="132" spans="1:8" x14ac:dyDescent="0.2">
      <c r="A132" s="121"/>
      <c r="B132" s="199" t="s">
        <v>78</v>
      </c>
      <c r="C132" s="199"/>
      <c r="D132" s="122" t="s">
        <v>78</v>
      </c>
      <c r="E132" s="123" t="s">
        <v>78</v>
      </c>
      <c r="F132" s="123" t="s">
        <v>78</v>
      </c>
      <c r="G132" s="124" t="s">
        <v>78</v>
      </c>
      <c r="H132" s="125" t="s">
        <v>78</v>
      </c>
    </row>
    <row r="133" spans="1:8" x14ac:dyDescent="0.2">
      <c r="A133" s="121"/>
      <c r="B133" s="199" t="s">
        <v>78</v>
      </c>
      <c r="C133" s="199"/>
      <c r="D133" s="122" t="s">
        <v>78</v>
      </c>
      <c r="E133" s="123" t="s">
        <v>78</v>
      </c>
      <c r="F133" s="123" t="s">
        <v>78</v>
      </c>
      <c r="G133" s="124" t="s">
        <v>78</v>
      </c>
      <c r="H133" s="125" t="s">
        <v>78</v>
      </c>
    </row>
    <row r="134" spans="1:8" x14ac:dyDescent="0.2">
      <c r="A134" s="121"/>
      <c r="B134" s="199" t="s">
        <v>78</v>
      </c>
      <c r="C134" s="199"/>
      <c r="D134" s="122" t="s">
        <v>78</v>
      </c>
      <c r="E134" s="123" t="s">
        <v>78</v>
      </c>
      <c r="F134" s="123" t="s">
        <v>78</v>
      </c>
      <c r="G134" s="124" t="s">
        <v>78</v>
      </c>
      <c r="H134" s="125" t="s">
        <v>78</v>
      </c>
    </row>
    <row r="135" spans="1:8" x14ac:dyDescent="0.2">
      <c r="A135" s="121"/>
      <c r="B135" s="199" t="s">
        <v>78</v>
      </c>
      <c r="C135" s="199"/>
      <c r="D135" s="122" t="s">
        <v>78</v>
      </c>
      <c r="E135" s="123" t="s">
        <v>78</v>
      </c>
      <c r="F135" s="123" t="s">
        <v>78</v>
      </c>
      <c r="G135" s="124" t="s">
        <v>78</v>
      </c>
      <c r="H135" s="125" t="s">
        <v>78</v>
      </c>
    </row>
    <row r="136" spans="1:8" x14ac:dyDescent="0.2">
      <c r="A136" s="121"/>
      <c r="B136" s="199" t="s">
        <v>78</v>
      </c>
      <c r="C136" s="199"/>
      <c r="D136" s="122" t="s">
        <v>78</v>
      </c>
      <c r="E136" s="123" t="s">
        <v>78</v>
      </c>
      <c r="F136" s="123" t="s">
        <v>78</v>
      </c>
      <c r="G136" s="124" t="s">
        <v>78</v>
      </c>
      <c r="H136" s="125" t="s">
        <v>78</v>
      </c>
    </row>
    <row r="137" spans="1:8" x14ac:dyDescent="0.2">
      <c r="A137" s="121"/>
      <c r="B137" s="199" t="s">
        <v>78</v>
      </c>
      <c r="C137" s="199"/>
      <c r="D137" s="122" t="s">
        <v>78</v>
      </c>
      <c r="E137" s="123" t="s">
        <v>78</v>
      </c>
      <c r="F137" s="123" t="s">
        <v>78</v>
      </c>
      <c r="G137" s="124" t="s">
        <v>78</v>
      </c>
      <c r="H137" s="125" t="s">
        <v>78</v>
      </c>
    </row>
    <row r="138" spans="1:8" x14ac:dyDescent="0.2">
      <c r="A138" s="121"/>
      <c r="B138" s="199" t="s">
        <v>78</v>
      </c>
      <c r="C138" s="199"/>
      <c r="D138" s="122" t="s">
        <v>78</v>
      </c>
      <c r="E138" s="123" t="s">
        <v>78</v>
      </c>
      <c r="F138" s="123" t="s">
        <v>78</v>
      </c>
      <c r="G138" s="124" t="s">
        <v>78</v>
      </c>
      <c r="H138" s="125" t="s">
        <v>78</v>
      </c>
    </row>
    <row r="139" spans="1:8" x14ac:dyDescent="0.2">
      <c r="A139" s="121"/>
      <c r="B139" s="199" t="s">
        <v>78</v>
      </c>
      <c r="C139" s="199"/>
      <c r="D139" s="122" t="s">
        <v>78</v>
      </c>
      <c r="E139" s="123" t="s">
        <v>78</v>
      </c>
      <c r="F139" s="123" t="s">
        <v>78</v>
      </c>
      <c r="G139" s="124" t="s">
        <v>78</v>
      </c>
      <c r="H139" s="125" t="s">
        <v>78</v>
      </c>
    </row>
    <row r="140" spans="1:8" x14ac:dyDescent="0.2">
      <c r="A140" s="121"/>
      <c r="B140" s="199" t="s">
        <v>78</v>
      </c>
      <c r="C140" s="199"/>
      <c r="D140" s="122" t="s">
        <v>78</v>
      </c>
      <c r="E140" s="123" t="s">
        <v>78</v>
      </c>
      <c r="F140" s="123" t="s">
        <v>78</v>
      </c>
      <c r="G140" s="124" t="s">
        <v>78</v>
      </c>
      <c r="H140" s="125" t="s">
        <v>78</v>
      </c>
    </row>
    <row r="141" spans="1:8" x14ac:dyDescent="0.2">
      <c r="A141" s="121"/>
      <c r="B141" s="199" t="s">
        <v>78</v>
      </c>
      <c r="C141" s="199"/>
      <c r="D141" s="122" t="s">
        <v>78</v>
      </c>
      <c r="E141" s="123" t="s">
        <v>78</v>
      </c>
      <c r="F141" s="123" t="s">
        <v>78</v>
      </c>
      <c r="G141" s="124" t="s">
        <v>78</v>
      </c>
      <c r="H141" s="125" t="s">
        <v>78</v>
      </c>
    </row>
    <row r="142" spans="1:8" x14ac:dyDescent="0.2">
      <c r="A142" s="121"/>
      <c r="B142" s="199" t="s">
        <v>78</v>
      </c>
      <c r="C142" s="199"/>
      <c r="D142" s="122" t="s">
        <v>78</v>
      </c>
      <c r="E142" s="123" t="s">
        <v>78</v>
      </c>
      <c r="F142" s="123" t="s">
        <v>78</v>
      </c>
      <c r="G142" s="124" t="s">
        <v>78</v>
      </c>
      <c r="H142" s="125" t="s">
        <v>78</v>
      </c>
    </row>
    <row r="143" spans="1:8" x14ac:dyDescent="0.2">
      <c r="A143" s="121"/>
      <c r="B143" s="199" t="s">
        <v>78</v>
      </c>
      <c r="C143" s="199"/>
      <c r="D143" s="122" t="s">
        <v>78</v>
      </c>
      <c r="E143" s="123" t="s">
        <v>78</v>
      </c>
      <c r="F143" s="123" t="s">
        <v>78</v>
      </c>
      <c r="G143" s="124" t="s">
        <v>78</v>
      </c>
      <c r="H143" s="125" t="s">
        <v>78</v>
      </c>
    </row>
    <row r="144" spans="1:8" x14ac:dyDescent="0.2">
      <c r="A144" s="121"/>
      <c r="B144" s="199" t="s">
        <v>78</v>
      </c>
      <c r="C144" s="199"/>
      <c r="D144" s="122" t="s">
        <v>78</v>
      </c>
      <c r="E144" s="123" t="s">
        <v>78</v>
      </c>
      <c r="F144" s="123" t="s">
        <v>78</v>
      </c>
      <c r="G144" s="124" t="s">
        <v>78</v>
      </c>
      <c r="H144" s="125" t="s">
        <v>78</v>
      </c>
    </row>
    <row r="145" spans="1:8" x14ac:dyDescent="0.2">
      <c r="A145" s="121"/>
      <c r="B145" s="199" t="s">
        <v>78</v>
      </c>
      <c r="C145" s="199"/>
      <c r="D145" s="122" t="s">
        <v>78</v>
      </c>
      <c r="E145" s="123" t="s">
        <v>78</v>
      </c>
      <c r="F145" s="123" t="s">
        <v>78</v>
      </c>
      <c r="G145" s="124" t="s">
        <v>78</v>
      </c>
      <c r="H145" s="125" t="s">
        <v>78</v>
      </c>
    </row>
    <row r="146" spans="1:8" x14ac:dyDescent="0.2">
      <c r="A146" s="121"/>
      <c r="B146" s="199" t="s">
        <v>78</v>
      </c>
      <c r="C146" s="199"/>
      <c r="D146" s="122" t="s">
        <v>78</v>
      </c>
      <c r="E146" s="123" t="s">
        <v>78</v>
      </c>
      <c r="F146" s="123" t="s">
        <v>78</v>
      </c>
      <c r="G146" s="124" t="s">
        <v>78</v>
      </c>
      <c r="H146" s="125" t="s">
        <v>78</v>
      </c>
    </row>
    <row r="147" spans="1:8" x14ac:dyDescent="0.2">
      <c r="A147" s="121"/>
      <c r="B147" s="199" t="s">
        <v>78</v>
      </c>
      <c r="C147" s="199"/>
      <c r="D147" s="122" t="s">
        <v>78</v>
      </c>
      <c r="E147" s="123" t="s">
        <v>78</v>
      </c>
      <c r="F147" s="123" t="s">
        <v>78</v>
      </c>
      <c r="G147" s="124" t="s">
        <v>78</v>
      </c>
      <c r="H147" s="125" t="s">
        <v>78</v>
      </c>
    </row>
    <row r="148" spans="1:8" x14ac:dyDescent="0.2">
      <c r="A148" s="121"/>
      <c r="B148" s="199" t="s">
        <v>78</v>
      </c>
      <c r="C148" s="199"/>
      <c r="D148" s="122" t="s">
        <v>78</v>
      </c>
      <c r="E148" s="123" t="s">
        <v>78</v>
      </c>
      <c r="F148" s="123" t="s">
        <v>78</v>
      </c>
      <c r="G148" s="124" t="s">
        <v>78</v>
      </c>
      <c r="H148" s="125" t="s">
        <v>78</v>
      </c>
    </row>
    <row r="149" spans="1:8" x14ac:dyDescent="0.2">
      <c r="A149" s="121"/>
      <c r="B149" s="199" t="s">
        <v>78</v>
      </c>
      <c r="C149" s="199"/>
      <c r="D149" s="122" t="s">
        <v>78</v>
      </c>
      <c r="E149" s="123" t="s">
        <v>78</v>
      </c>
      <c r="F149" s="123" t="s">
        <v>78</v>
      </c>
      <c r="G149" s="124" t="s">
        <v>78</v>
      </c>
      <c r="H149" s="125" t="s">
        <v>78</v>
      </c>
    </row>
    <row r="150" spans="1:8" x14ac:dyDescent="0.2">
      <c r="A150" s="121"/>
      <c r="B150" s="199" t="s">
        <v>78</v>
      </c>
      <c r="C150" s="199"/>
      <c r="D150" s="122" t="s">
        <v>78</v>
      </c>
      <c r="E150" s="123" t="s">
        <v>78</v>
      </c>
      <c r="F150" s="123" t="s">
        <v>78</v>
      </c>
      <c r="G150" s="124" t="s">
        <v>78</v>
      </c>
      <c r="H150" s="125" t="s">
        <v>78</v>
      </c>
    </row>
    <row r="151" spans="1:8" x14ac:dyDescent="0.2">
      <c r="A151" s="121"/>
      <c r="B151" s="199" t="s">
        <v>78</v>
      </c>
      <c r="C151" s="199"/>
      <c r="D151" s="122" t="s">
        <v>78</v>
      </c>
      <c r="E151" s="123" t="s">
        <v>78</v>
      </c>
      <c r="F151" s="123" t="s">
        <v>78</v>
      </c>
      <c r="G151" s="124" t="s">
        <v>78</v>
      </c>
      <c r="H151" s="125" t="s">
        <v>78</v>
      </c>
    </row>
    <row r="152" spans="1:8" x14ac:dyDescent="0.2">
      <c r="A152" s="121"/>
      <c r="B152" s="199" t="s">
        <v>78</v>
      </c>
      <c r="C152" s="199"/>
      <c r="D152" s="122" t="s">
        <v>78</v>
      </c>
      <c r="E152" s="123" t="s">
        <v>78</v>
      </c>
      <c r="F152" s="123" t="s">
        <v>78</v>
      </c>
      <c r="G152" s="124" t="s">
        <v>78</v>
      </c>
      <c r="H152" s="125" t="s">
        <v>78</v>
      </c>
    </row>
    <row r="153" spans="1:8" x14ac:dyDescent="0.2">
      <c r="A153" s="121"/>
      <c r="B153" s="199" t="s">
        <v>78</v>
      </c>
      <c r="C153" s="199"/>
      <c r="D153" s="122" t="s">
        <v>78</v>
      </c>
      <c r="E153" s="123" t="s">
        <v>78</v>
      </c>
      <c r="F153" s="123" t="s">
        <v>78</v>
      </c>
      <c r="G153" s="124" t="s">
        <v>78</v>
      </c>
      <c r="H153" s="125" t="s">
        <v>78</v>
      </c>
    </row>
    <row r="154" spans="1:8" x14ac:dyDescent="0.2">
      <c r="A154" s="121"/>
      <c r="B154" s="199" t="s">
        <v>78</v>
      </c>
      <c r="C154" s="199"/>
      <c r="D154" s="122" t="s">
        <v>78</v>
      </c>
      <c r="E154" s="123" t="s">
        <v>78</v>
      </c>
      <c r="F154" s="123" t="s">
        <v>78</v>
      </c>
      <c r="G154" s="124" t="s">
        <v>78</v>
      </c>
      <c r="H154" s="125" t="s">
        <v>78</v>
      </c>
    </row>
    <row r="155" spans="1:8" x14ac:dyDescent="0.2">
      <c r="A155" s="121"/>
      <c r="B155" s="199" t="s">
        <v>78</v>
      </c>
      <c r="C155" s="199"/>
      <c r="D155" s="122" t="s">
        <v>78</v>
      </c>
      <c r="E155" s="123" t="s">
        <v>78</v>
      </c>
      <c r="F155" s="123" t="s">
        <v>78</v>
      </c>
      <c r="G155" s="124" t="s">
        <v>78</v>
      </c>
      <c r="H155" s="125" t="s">
        <v>78</v>
      </c>
    </row>
    <row r="156" spans="1:8" x14ac:dyDescent="0.2">
      <c r="A156" s="121"/>
      <c r="B156" s="199" t="s">
        <v>78</v>
      </c>
      <c r="C156" s="199"/>
      <c r="D156" s="122" t="s">
        <v>78</v>
      </c>
      <c r="E156" s="123" t="s">
        <v>78</v>
      </c>
      <c r="F156" s="123" t="s">
        <v>78</v>
      </c>
      <c r="G156" s="124" t="s">
        <v>78</v>
      </c>
      <c r="H156" s="125" t="s">
        <v>78</v>
      </c>
    </row>
    <row r="157" spans="1:8" x14ac:dyDescent="0.2">
      <c r="A157" s="121"/>
      <c r="B157" s="199" t="s">
        <v>78</v>
      </c>
      <c r="C157" s="199"/>
      <c r="D157" s="122" t="s">
        <v>78</v>
      </c>
      <c r="E157" s="123" t="s">
        <v>78</v>
      </c>
      <c r="F157" s="123" t="s">
        <v>78</v>
      </c>
      <c r="G157" s="124" t="s">
        <v>78</v>
      </c>
      <c r="H157" s="125" t="s">
        <v>78</v>
      </c>
    </row>
    <row r="158" spans="1:8" x14ac:dyDescent="0.2">
      <c r="A158" s="121"/>
      <c r="B158" s="199" t="s">
        <v>78</v>
      </c>
      <c r="C158" s="199"/>
      <c r="D158" s="122" t="s">
        <v>78</v>
      </c>
      <c r="E158" s="123" t="s">
        <v>78</v>
      </c>
      <c r="F158" s="123" t="s">
        <v>78</v>
      </c>
      <c r="G158" s="124" t="s">
        <v>78</v>
      </c>
      <c r="H158" s="125" t="s">
        <v>78</v>
      </c>
    </row>
    <row r="159" spans="1:8" x14ac:dyDescent="0.2">
      <c r="A159" s="121"/>
      <c r="B159" s="199" t="s">
        <v>78</v>
      </c>
      <c r="C159" s="199"/>
      <c r="D159" s="122" t="s">
        <v>78</v>
      </c>
      <c r="E159" s="123" t="s">
        <v>78</v>
      </c>
      <c r="F159" s="123" t="s">
        <v>78</v>
      </c>
      <c r="G159" s="124" t="s">
        <v>78</v>
      </c>
      <c r="H159" s="125" t="s">
        <v>78</v>
      </c>
    </row>
    <row r="160" spans="1:8" x14ac:dyDescent="0.2">
      <c r="A160" s="121"/>
      <c r="B160" s="199" t="s">
        <v>78</v>
      </c>
      <c r="C160" s="199"/>
      <c r="D160" s="122" t="s">
        <v>78</v>
      </c>
      <c r="E160" s="123" t="s">
        <v>78</v>
      </c>
      <c r="F160" s="123" t="s">
        <v>78</v>
      </c>
      <c r="G160" s="124" t="s">
        <v>78</v>
      </c>
      <c r="H160" s="125" t="s">
        <v>78</v>
      </c>
    </row>
    <row r="161" spans="1:8" x14ac:dyDescent="0.2">
      <c r="A161" s="121"/>
      <c r="B161" s="199" t="s">
        <v>78</v>
      </c>
      <c r="C161" s="199"/>
      <c r="D161" s="122" t="s">
        <v>78</v>
      </c>
      <c r="E161" s="123" t="s">
        <v>78</v>
      </c>
      <c r="F161" s="123" t="s">
        <v>78</v>
      </c>
      <c r="G161" s="124" t="s">
        <v>78</v>
      </c>
      <c r="H161" s="125" t="s">
        <v>78</v>
      </c>
    </row>
    <row r="162" spans="1:8" x14ac:dyDescent="0.2">
      <c r="A162" s="121"/>
      <c r="B162" s="199" t="s">
        <v>78</v>
      </c>
      <c r="C162" s="199"/>
      <c r="D162" s="122" t="s">
        <v>78</v>
      </c>
      <c r="E162" s="123" t="s">
        <v>78</v>
      </c>
      <c r="F162" s="123" t="s">
        <v>78</v>
      </c>
      <c r="G162" s="124" t="s">
        <v>78</v>
      </c>
      <c r="H162" s="125" t="s">
        <v>78</v>
      </c>
    </row>
    <row r="163" spans="1:8" x14ac:dyDescent="0.2">
      <c r="A163" s="121"/>
      <c r="B163" s="199" t="s">
        <v>78</v>
      </c>
      <c r="C163" s="199"/>
      <c r="D163" s="122" t="s">
        <v>78</v>
      </c>
      <c r="E163" s="123" t="s">
        <v>78</v>
      </c>
      <c r="F163" s="123" t="s">
        <v>78</v>
      </c>
      <c r="G163" s="124" t="s">
        <v>78</v>
      </c>
      <c r="H163" s="125" t="s">
        <v>78</v>
      </c>
    </row>
    <row r="164" spans="1:8" x14ac:dyDescent="0.2">
      <c r="A164" s="121"/>
      <c r="B164" s="199" t="s">
        <v>78</v>
      </c>
      <c r="C164" s="199"/>
      <c r="D164" s="122" t="s">
        <v>78</v>
      </c>
      <c r="E164" s="123" t="s">
        <v>78</v>
      </c>
      <c r="F164" s="123" t="s">
        <v>78</v>
      </c>
      <c r="G164" s="124" t="s">
        <v>78</v>
      </c>
      <c r="H164" s="125" t="s">
        <v>78</v>
      </c>
    </row>
    <row r="165" spans="1:8" x14ac:dyDescent="0.2">
      <c r="A165" s="121"/>
      <c r="B165" s="199" t="s">
        <v>78</v>
      </c>
      <c r="C165" s="199"/>
      <c r="D165" s="122" t="s">
        <v>78</v>
      </c>
      <c r="E165" s="123" t="s">
        <v>78</v>
      </c>
      <c r="F165" s="123" t="s">
        <v>78</v>
      </c>
      <c r="G165" s="124" t="s">
        <v>78</v>
      </c>
      <c r="H165" s="125" t="s">
        <v>78</v>
      </c>
    </row>
    <row r="166" spans="1:8" x14ac:dyDescent="0.2">
      <c r="A166" s="121"/>
      <c r="B166" s="199" t="s">
        <v>78</v>
      </c>
      <c r="C166" s="199"/>
      <c r="D166" s="122" t="s">
        <v>78</v>
      </c>
      <c r="E166" s="123" t="s">
        <v>78</v>
      </c>
      <c r="F166" s="123" t="s">
        <v>78</v>
      </c>
      <c r="G166" s="124" t="s">
        <v>78</v>
      </c>
      <c r="H166" s="125" t="s">
        <v>78</v>
      </c>
    </row>
    <row r="167" spans="1:8" x14ac:dyDescent="0.2">
      <c r="A167" s="121"/>
      <c r="B167" s="199" t="s">
        <v>78</v>
      </c>
      <c r="C167" s="199"/>
      <c r="D167" s="122" t="s">
        <v>78</v>
      </c>
      <c r="E167" s="123" t="s">
        <v>78</v>
      </c>
      <c r="F167" s="123" t="s">
        <v>78</v>
      </c>
      <c r="G167" s="124" t="s">
        <v>78</v>
      </c>
      <c r="H167" s="125" t="s">
        <v>78</v>
      </c>
    </row>
    <row r="168" spans="1:8" x14ac:dyDescent="0.2">
      <c r="A168" s="121"/>
      <c r="B168" s="199" t="s">
        <v>78</v>
      </c>
      <c r="C168" s="199"/>
      <c r="D168" s="122" t="s">
        <v>78</v>
      </c>
      <c r="E168" s="123" t="s">
        <v>78</v>
      </c>
      <c r="F168" s="123" t="s">
        <v>78</v>
      </c>
      <c r="G168" s="124" t="s">
        <v>78</v>
      </c>
      <c r="H168" s="125" t="s">
        <v>78</v>
      </c>
    </row>
    <row r="169" spans="1:8" x14ac:dyDescent="0.2">
      <c r="A169" s="121"/>
      <c r="B169" s="199" t="s">
        <v>78</v>
      </c>
      <c r="C169" s="199"/>
      <c r="D169" s="122" t="s">
        <v>78</v>
      </c>
      <c r="E169" s="123" t="s">
        <v>78</v>
      </c>
      <c r="F169" s="123" t="s">
        <v>78</v>
      </c>
      <c r="G169" s="124" t="s">
        <v>78</v>
      </c>
      <c r="H169" s="125" t="s">
        <v>78</v>
      </c>
    </row>
    <row r="170" spans="1:8" x14ac:dyDescent="0.2">
      <c r="A170" s="121"/>
      <c r="B170" s="199" t="s">
        <v>78</v>
      </c>
      <c r="C170" s="199"/>
      <c r="D170" s="122" t="s">
        <v>78</v>
      </c>
      <c r="E170" s="123" t="s">
        <v>78</v>
      </c>
      <c r="F170" s="123" t="s">
        <v>78</v>
      </c>
      <c r="G170" s="124" t="s">
        <v>78</v>
      </c>
      <c r="H170" s="125" t="s">
        <v>78</v>
      </c>
    </row>
    <row r="171" spans="1:8" x14ac:dyDescent="0.2">
      <c r="A171" s="121"/>
      <c r="B171" s="199" t="s">
        <v>78</v>
      </c>
      <c r="C171" s="199"/>
      <c r="D171" s="122" t="s">
        <v>78</v>
      </c>
      <c r="E171" s="123" t="s">
        <v>78</v>
      </c>
      <c r="F171" s="123" t="s">
        <v>78</v>
      </c>
      <c r="G171" s="124" t="s">
        <v>78</v>
      </c>
      <c r="H171" s="125" t="s">
        <v>78</v>
      </c>
    </row>
    <row r="172" spans="1:8" x14ac:dyDescent="0.2">
      <c r="A172" s="121"/>
      <c r="B172" s="199" t="s">
        <v>78</v>
      </c>
      <c r="C172" s="199"/>
      <c r="D172" s="122" t="s">
        <v>78</v>
      </c>
      <c r="E172" s="123" t="s">
        <v>78</v>
      </c>
      <c r="F172" s="123" t="s">
        <v>78</v>
      </c>
      <c r="G172" s="124" t="s">
        <v>78</v>
      </c>
      <c r="H172" s="125" t="s">
        <v>78</v>
      </c>
    </row>
    <row r="173" spans="1:8" x14ac:dyDescent="0.2">
      <c r="A173" s="121"/>
      <c r="B173" s="199" t="s">
        <v>78</v>
      </c>
      <c r="C173" s="199"/>
      <c r="D173" s="122" t="s">
        <v>78</v>
      </c>
      <c r="E173" s="123" t="s">
        <v>78</v>
      </c>
      <c r="F173" s="123" t="s">
        <v>78</v>
      </c>
      <c r="G173" s="124" t="s">
        <v>78</v>
      </c>
      <c r="H173" s="125" t="s">
        <v>78</v>
      </c>
    </row>
    <row r="174" spans="1:8" x14ac:dyDescent="0.2">
      <c r="A174" s="121"/>
      <c r="B174" s="199" t="s">
        <v>78</v>
      </c>
      <c r="C174" s="199"/>
      <c r="D174" s="122" t="s">
        <v>78</v>
      </c>
      <c r="E174" s="123" t="s">
        <v>78</v>
      </c>
      <c r="F174" s="123" t="s">
        <v>78</v>
      </c>
      <c r="G174" s="124" t="s">
        <v>78</v>
      </c>
      <c r="H174" s="125" t="s">
        <v>78</v>
      </c>
    </row>
    <row r="175" spans="1:8" x14ac:dyDescent="0.2">
      <c r="A175" s="121"/>
      <c r="B175" s="199" t="s">
        <v>78</v>
      </c>
      <c r="C175" s="199"/>
      <c r="D175" s="122" t="s">
        <v>78</v>
      </c>
      <c r="E175" s="123" t="s">
        <v>78</v>
      </c>
      <c r="F175" s="123" t="s">
        <v>78</v>
      </c>
      <c r="G175" s="124" t="s">
        <v>78</v>
      </c>
      <c r="H175" s="125" t="s">
        <v>78</v>
      </c>
    </row>
    <row r="176" spans="1:8" x14ac:dyDescent="0.2">
      <c r="A176" s="121"/>
      <c r="B176" s="199" t="s">
        <v>78</v>
      </c>
      <c r="C176" s="199"/>
      <c r="D176" s="122" t="s">
        <v>78</v>
      </c>
      <c r="E176" s="123" t="s">
        <v>78</v>
      </c>
      <c r="F176" s="123" t="s">
        <v>78</v>
      </c>
      <c r="G176" s="124" t="s">
        <v>78</v>
      </c>
      <c r="H176" s="125" t="s">
        <v>78</v>
      </c>
    </row>
    <row r="177" spans="1:8" x14ac:dyDescent="0.2">
      <c r="A177" s="121"/>
      <c r="B177" s="199" t="s">
        <v>78</v>
      </c>
      <c r="C177" s="199"/>
      <c r="D177" s="122" t="s">
        <v>78</v>
      </c>
      <c r="E177" s="123" t="s">
        <v>78</v>
      </c>
      <c r="F177" s="123" t="s">
        <v>78</v>
      </c>
      <c r="G177" s="124" t="s">
        <v>78</v>
      </c>
      <c r="H177" s="125" t="s">
        <v>78</v>
      </c>
    </row>
    <row r="178" spans="1:8" x14ac:dyDescent="0.2">
      <c r="A178" s="121"/>
      <c r="B178" s="199" t="s">
        <v>78</v>
      </c>
      <c r="C178" s="199"/>
      <c r="D178" s="122" t="s">
        <v>78</v>
      </c>
      <c r="E178" s="123" t="s">
        <v>78</v>
      </c>
      <c r="F178" s="123" t="s">
        <v>78</v>
      </c>
      <c r="G178" s="124" t="s">
        <v>78</v>
      </c>
      <c r="H178" s="125" t="s">
        <v>78</v>
      </c>
    </row>
    <row r="179" spans="1:8" x14ac:dyDescent="0.2">
      <c r="A179" s="121"/>
      <c r="B179" s="199" t="s">
        <v>78</v>
      </c>
      <c r="C179" s="199"/>
      <c r="D179" s="122" t="s">
        <v>78</v>
      </c>
      <c r="E179" s="123" t="s">
        <v>78</v>
      </c>
      <c r="F179" s="123" t="s">
        <v>78</v>
      </c>
      <c r="G179" s="124" t="s">
        <v>78</v>
      </c>
      <c r="H179" s="125" t="s">
        <v>78</v>
      </c>
    </row>
    <row r="180" spans="1:8" x14ac:dyDescent="0.2">
      <c r="A180" s="121"/>
      <c r="B180" s="199" t="s">
        <v>78</v>
      </c>
      <c r="C180" s="199"/>
      <c r="D180" s="122" t="s">
        <v>78</v>
      </c>
      <c r="E180" s="123" t="s">
        <v>78</v>
      </c>
      <c r="F180" s="123" t="s">
        <v>78</v>
      </c>
      <c r="G180" s="124" t="s">
        <v>78</v>
      </c>
      <c r="H180" s="125" t="s">
        <v>78</v>
      </c>
    </row>
    <row r="181" spans="1:8" x14ac:dyDescent="0.2">
      <c r="A181" s="121"/>
      <c r="B181" s="199" t="s">
        <v>78</v>
      </c>
      <c r="C181" s="199"/>
      <c r="D181" s="122" t="s">
        <v>78</v>
      </c>
      <c r="E181" s="123" t="s">
        <v>78</v>
      </c>
      <c r="F181" s="123" t="s">
        <v>78</v>
      </c>
      <c r="G181" s="124" t="s">
        <v>78</v>
      </c>
      <c r="H181" s="125" t="s">
        <v>78</v>
      </c>
    </row>
    <row r="182" spans="1:8" x14ac:dyDescent="0.2">
      <c r="A182" s="121"/>
      <c r="B182" s="199" t="s">
        <v>78</v>
      </c>
      <c r="C182" s="199"/>
      <c r="D182" s="122" t="s">
        <v>78</v>
      </c>
      <c r="E182" s="123" t="s">
        <v>78</v>
      </c>
      <c r="F182" s="123" t="s">
        <v>78</v>
      </c>
      <c r="G182" s="124" t="s">
        <v>78</v>
      </c>
      <c r="H182" s="125" t="s">
        <v>78</v>
      </c>
    </row>
    <row r="183" spans="1:8" x14ac:dyDescent="0.2">
      <c r="A183" s="121"/>
      <c r="B183" s="199" t="s">
        <v>78</v>
      </c>
      <c r="C183" s="199"/>
      <c r="D183" s="122" t="s">
        <v>78</v>
      </c>
      <c r="E183" s="123" t="s">
        <v>78</v>
      </c>
      <c r="F183" s="123" t="s">
        <v>78</v>
      </c>
      <c r="G183" s="124" t="s">
        <v>78</v>
      </c>
      <c r="H183" s="125" t="s">
        <v>78</v>
      </c>
    </row>
    <row r="184" spans="1:8" x14ac:dyDescent="0.2">
      <c r="A184" s="121"/>
      <c r="B184" s="199" t="s">
        <v>78</v>
      </c>
      <c r="C184" s="199"/>
      <c r="D184" s="122" t="s">
        <v>78</v>
      </c>
      <c r="E184" s="123" t="s">
        <v>78</v>
      </c>
      <c r="F184" s="123" t="s">
        <v>78</v>
      </c>
      <c r="G184" s="124" t="s">
        <v>78</v>
      </c>
      <c r="H184" s="125" t="s">
        <v>78</v>
      </c>
    </row>
    <row r="185" spans="1:8" x14ac:dyDescent="0.2">
      <c r="A185" s="121"/>
      <c r="B185" s="199" t="s">
        <v>78</v>
      </c>
      <c r="C185" s="199"/>
      <c r="D185" s="122" t="s">
        <v>78</v>
      </c>
      <c r="E185" s="123" t="s">
        <v>78</v>
      </c>
      <c r="F185" s="123" t="s">
        <v>78</v>
      </c>
      <c r="G185" s="124" t="s">
        <v>78</v>
      </c>
      <c r="H185" s="125" t="s">
        <v>78</v>
      </c>
    </row>
    <row r="186" spans="1:8" x14ac:dyDescent="0.2">
      <c r="A186" s="121"/>
      <c r="B186" s="199" t="s">
        <v>78</v>
      </c>
      <c r="C186" s="199"/>
      <c r="D186" s="122" t="s">
        <v>78</v>
      </c>
      <c r="E186" s="123" t="s">
        <v>78</v>
      </c>
      <c r="F186" s="123" t="s">
        <v>78</v>
      </c>
      <c r="G186" s="124" t="s">
        <v>78</v>
      </c>
      <c r="H186" s="125" t="s">
        <v>78</v>
      </c>
    </row>
    <row r="187" spans="1:8" x14ac:dyDescent="0.2">
      <c r="A187" s="121"/>
      <c r="B187" s="199" t="s">
        <v>78</v>
      </c>
      <c r="C187" s="199"/>
      <c r="D187" s="122" t="s">
        <v>78</v>
      </c>
      <c r="E187" s="123" t="s">
        <v>78</v>
      </c>
      <c r="F187" s="123" t="s">
        <v>78</v>
      </c>
      <c r="G187" s="124" t="s">
        <v>78</v>
      </c>
      <c r="H187" s="125" t="s">
        <v>78</v>
      </c>
    </row>
    <row r="188" spans="1:8" x14ac:dyDescent="0.2">
      <c r="A188" s="121"/>
      <c r="B188" s="199" t="s">
        <v>78</v>
      </c>
      <c r="C188" s="199"/>
      <c r="D188" s="122" t="s">
        <v>78</v>
      </c>
      <c r="E188" s="123" t="s">
        <v>78</v>
      </c>
      <c r="F188" s="123" t="s">
        <v>78</v>
      </c>
      <c r="G188" s="124" t="s">
        <v>78</v>
      </c>
      <c r="H188" s="125" t="s">
        <v>78</v>
      </c>
    </row>
    <row r="189" spans="1:8" x14ac:dyDescent="0.2">
      <c r="A189" s="121"/>
      <c r="B189" s="199" t="s">
        <v>78</v>
      </c>
      <c r="C189" s="199"/>
      <c r="D189" s="122" t="s">
        <v>78</v>
      </c>
      <c r="E189" s="123" t="s">
        <v>78</v>
      </c>
      <c r="F189" s="123" t="s">
        <v>78</v>
      </c>
      <c r="G189" s="124" t="s">
        <v>78</v>
      </c>
      <c r="H189" s="125" t="s">
        <v>78</v>
      </c>
    </row>
    <row r="190" spans="1:8" x14ac:dyDescent="0.2">
      <c r="A190" s="121"/>
      <c r="B190" s="199" t="s">
        <v>78</v>
      </c>
      <c r="C190" s="199"/>
      <c r="D190" s="122" t="s">
        <v>78</v>
      </c>
      <c r="E190" s="123" t="s">
        <v>78</v>
      </c>
      <c r="F190" s="123" t="s">
        <v>78</v>
      </c>
      <c r="G190" s="124" t="s">
        <v>78</v>
      </c>
      <c r="H190" s="125" t="s">
        <v>78</v>
      </c>
    </row>
    <row r="191" spans="1:8" x14ac:dyDescent="0.2">
      <c r="A191" s="121"/>
      <c r="B191" s="199" t="s">
        <v>78</v>
      </c>
      <c r="C191" s="199"/>
      <c r="D191" s="122" t="s">
        <v>78</v>
      </c>
      <c r="E191" s="123" t="s">
        <v>78</v>
      </c>
      <c r="F191" s="123" t="s">
        <v>78</v>
      </c>
      <c r="G191" s="124" t="s">
        <v>78</v>
      </c>
      <c r="H191" s="125" t="s">
        <v>78</v>
      </c>
    </row>
    <row r="192" spans="1:8" x14ac:dyDescent="0.2">
      <c r="A192" s="121"/>
      <c r="B192" s="199" t="s">
        <v>78</v>
      </c>
      <c r="C192" s="199"/>
      <c r="D192" s="122" t="s">
        <v>78</v>
      </c>
      <c r="E192" s="123" t="s">
        <v>78</v>
      </c>
      <c r="F192" s="123" t="s">
        <v>78</v>
      </c>
      <c r="G192" s="124" t="s">
        <v>78</v>
      </c>
      <c r="H192" s="125" t="s">
        <v>78</v>
      </c>
    </row>
    <row r="193" spans="1:8" x14ac:dyDescent="0.2">
      <c r="A193" s="121"/>
      <c r="B193" s="199" t="s">
        <v>78</v>
      </c>
      <c r="C193" s="199"/>
      <c r="D193" s="122" t="s">
        <v>78</v>
      </c>
      <c r="E193" s="123" t="s">
        <v>78</v>
      </c>
      <c r="F193" s="123" t="s">
        <v>78</v>
      </c>
      <c r="G193" s="124" t="s">
        <v>78</v>
      </c>
      <c r="H193" s="125" t="s">
        <v>78</v>
      </c>
    </row>
    <row r="194" spans="1:8" x14ac:dyDescent="0.2">
      <c r="A194" s="121"/>
      <c r="B194" s="199" t="s">
        <v>78</v>
      </c>
      <c r="C194" s="199"/>
      <c r="D194" s="122" t="s">
        <v>78</v>
      </c>
      <c r="E194" s="123" t="s">
        <v>78</v>
      </c>
      <c r="F194" s="123" t="s">
        <v>78</v>
      </c>
      <c r="G194" s="124" t="s">
        <v>78</v>
      </c>
      <c r="H194" s="125" t="s">
        <v>78</v>
      </c>
    </row>
    <row r="195" spans="1:8" x14ac:dyDescent="0.2">
      <c r="A195" s="121"/>
      <c r="B195" s="199" t="s">
        <v>78</v>
      </c>
      <c r="C195" s="199"/>
      <c r="D195" s="122" t="s">
        <v>78</v>
      </c>
      <c r="E195" s="123" t="s">
        <v>78</v>
      </c>
      <c r="F195" s="123" t="s">
        <v>78</v>
      </c>
      <c r="G195" s="124" t="s">
        <v>78</v>
      </c>
      <c r="H195" s="125" t="s">
        <v>78</v>
      </c>
    </row>
    <row r="196" spans="1:8" x14ac:dyDescent="0.2">
      <c r="A196" s="121"/>
      <c r="B196" s="199" t="s">
        <v>78</v>
      </c>
      <c r="C196" s="199"/>
      <c r="D196" s="122" t="s">
        <v>78</v>
      </c>
      <c r="E196" s="123" t="s">
        <v>78</v>
      </c>
      <c r="F196" s="123" t="s">
        <v>78</v>
      </c>
      <c r="G196" s="124" t="s">
        <v>78</v>
      </c>
      <c r="H196" s="125" t="s">
        <v>78</v>
      </c>
    </row>
    <row r="197" spans="1:8" x14ac:dyDescent="0.2">
      <c r="A197" s="121"/>
      <c r="B197" s="199" t="s">
        <v>78</v>
      </c>
      <c r="C197" s="199"/>
      <c r="D197" s="122" t="s">
        <v>78</v>
      </c>
      <c r="E197" s="123" t="s">
        <v>78</v>
      </c>
      <c r="F197" s="123" t="s">
        <v>78</v>
      </c>
      <c r="G197" s="124" t="s">
        <v>78</v>
      </c>
      <c r="H197" s="125" t="s">
        <v>78</v>
      </c>
    </row>
    <row r="198" spans="1:8" x14ac:dyDescent="0.2">
      <c r="A198" s="121"/>
      <c r="B198" s="199" t="s">
        <v>78</v>
      </c>
      <c r="C198" s="199"/>
      <c r="D198" s="122" t="s">
        <v>78</v>
      </c>
      <c r="E198" s="123" t="s">
        <v>78</v>
      </c>
      <c r="F198" s="123" t="s">
        <v>78</v>
      </c>
      <c r="G198" s="124" t="s">
        <v>78</v>
      </c>
      <c r="H198" s="125" t="s">
        <v>78</v>
      </c>
    </row>
    <row r="199" spans="1:8" x14ac:dyDescent="0.2">
      <c r="A199" s="121"/>
      <c r="B199" s="199" t="s">
        <v>78</v>
      </c>
      <c r="C199" s="199"/>
      <c r="D199" s="122" t="s">
        <v>78</v>
      </c>
      <c r="E199" s="123" t="s">
        <v>78</v>
      </c>
      <c r="F199" s="123" t="s">
        <v>78</v>
      </c>
      <c r="G199" s="124" t="s">
        <v>78</v>
      </c>
      <c r="H199" s="125" t="s">
        <v>78</v>
      </c>
    </row>
    <row r="200" spans="1:8" x14ac:dyDescent="0.2">
      <c r="A200" s="121"/>
      <c r="B200" s="199" t="s">
        <v>78</v>
      </c>
      <c r="C200" s="199"/>
      <c r="D200" s="122" t="s">
        <v>78</v>
      </c>
      <c r="E200" s="123" t="s">
        <v>78</v>
      </c>
      <c r="F200" s="123" t="s">
        <v>78</v>
      </c>
      <c r="G200" s="124" t="s">
        <v>78</v>
      </c>
      <c r="H200" s="125" t="s">
        <v>78</v>
      </c>
    </row>
    <row r="201" spans="1:8" x14ac:dyDescent="0.2">
      <c r="A201" s="121"/>
      <c r="B201" s="199" t="s">
        <v>78</v>
      </c>
      <c r="C201" s="199"/>
      <c r="D201" s="122" t="s">
        <v>78</v>
      </c>
      <c r="E201" s="123" t="s">
        <v>78</v>
      </c>
      <c r="F201" s="123" t="s">
        <v>78</v>
      </c>
      <c r="G201" s="124" t="s">
        <v>78</v>
      </c>
      <c r="H201" s="125" t="s">
        <v>78</v>
      </c>
    </row>
    <row r="202" spans="1:8" x14ac:dyDescent="0.2">
      <c r="A202" s="121"/>
      <c r="B202" s="199" t="s">
        <v>78</v>
      </c>
      <c r="C202" s="199"/>
      <c r="D202" s="122" t="s">
        <v>78</v>
      </c>
      <c r="E202" s="123" t="s">
        <v>78</v>
      </c>
      <c r="F202" s="123" t="s">
        <v>78</v>
      </c>
      <c r="G202" s="124" t="s">
        <v>78</v>
      </c>
      <c r="H202" s="125" t="s">
        <v>78</v>
      </c>
    </row>
    <row r="203" spans="1:8" x14ac:dyDescent="0.2">
      <c r="A203" s="121"/>
      <c r="B203" s="199" t="s">
        <v>78</v>
      </c>
      <c r="C203" s="199"/>
      <c r="D203" s="122" t="s">
        <v>78</v>
      </c>
      <c r="E203" s="123" t="s">
        <v>78</v>
      </c>
      <c r="F203" s="123" t="s">
        <v>78</v>
      </c>
      <c r="G203" s="124" t="s">
        <v>78</v>
      </c>
      <c r="H203" s="125" t="s">
        <v>78</v>
      </c>
    </row>
    <row r="204" spans="1:8" x14ac:dyDescent="0.2">
      <c r="A204" s="121"/>
      <c r="B204" s="199" t="s">
        <v>78</v>
      </c>
      <c r="C204" s="199"/>
      <c r="D204" s="122" t="s">
        <v>78</v>
      </c>
      <c r="E204" s="123" t="s">
        <v>78</v>
      </c>
      <c r="F204" s="123" t="s">
        <v>78</v>
      </c>
      <c r="G204" s="124" t="s">
        <v>78</v>
      </c>
      <c r="H204" s="125" t="s">
        <v>78</v>
      </c>
    </row>
    <row r="205" spans="1:8" x14ac:dyDescent="0.2">
      <c r="A205" s="121"/>
      <c r="B205" s="199" t="s">
        <v>78</v>
      </c>
      <c r="C205" s="199"/>
      <c r="D205" s="122" t="s">
        <v>78</v>
      </c>
      <c r="E205" s="123" t="s">
        <v>78</v>
      </c>
      <c r="F205" s="123" t="s">
        <v>78</v>
      </c>
      <c r="G205" s="124" t="s">
        <v>78</v>
      </c>
      <c r="H205" s="125" t="s">
        <v>78</v>
      </c>
    </row>
    <row r="206" spans="1:8" x14ac:dyDescent="0.2">
      <c r="A206" s="121"/>
      <c r="B206" s="199" t="s">
        <v>78</v>
      </c>
      <c r="C206" s="199"/>
      <c r="D206" s="122" t="s">
        <v>78</v>
      </c>
      <c r="E206" s="123" t="s">
        <v>78</v>
      </c>
      <c r="F206" s="123" t="s">
        <v>78</v>
      </c>
      <c r="G206" s="124" t="s">
        <v>78</v>
      </c>
      <c r="H206" s="125" t="s">
        <v>78</v>
      </c>
    </row>
    <row r="207" spans="1:8" x14ac:dyDescent="0.2">
      <c r="A207" s="121"/>
      <c r="B207" s="199" t="s">
        <v>78</v>
      </c>
      <c r="C207" s="199"/>
      <c r="D207" s="122" t="s">
        <v>78</v>
      </c>
      <c r="E207" s="123" t="s">
        <v>78</v>
      </c>
      <c r="F207" s="123" t="s">
        <v>78</v>
      </c>
      <c r="G207" s="124" t="s">
        <v>78</v>
      </c>
      <c r="H207" s="125" t="s">
        <v>78</v>
      </c>
    </row>
    <row r="208" spans="1:8" x14ac:dyDescent="0.2">
      <c r="A208" s="121"/>
      <c r="B208" s="199" t="s">
        <v>78</v>
      </c>
      <c r="C208" s="199"/>
      <c r="D208" s="122" t="s">
        <v>78</v>
      </c>
      <c r="E208" s="123" t="s">
        <v>78</v>
      </c>
      <c r="F208" s="123" t="s">
        <v>78</v>
      </c>
      <c r="G208" s="124" t="s">
        <v>78</v>
      </c>
      <c r="H208" s="125" t="s">
        <v>78</v>
      </c>
    </row>
    <row r="209" spans="1:8" x14ac:dyDescent="0.2">
      <c r="A209" s="121"/>
      <c r="B209" s="199" t="s">
        <v>78</v>
      </c>
      <c r="C209" s="199"/>
      <c r="D209" s="122" t="s">
        <v>78</v>
      </c>
      <c r="E209" s="123" t="s">
        <v>78</v>
      </c>
      <c r="F209" s="123" t="s">
        <v>78</v>
      </c>
      <c r="G209" s="124" t="s">
        <v>78</v>
      </c>
      <c r="H209" s="125" t="s">
        <v>78</v>
      </c>
    </row>
    <row r="210" spans="1:8" x14ac:dyDescent="0.2">
      <c r="A210" s="121"/>
      <c r="B210" s="199" t="s">
        <v>78</v>
      </c>
      <c r="C210" s="199"/>
      <c r="D210" s="122" t="s">
        <v>78</v>
      </c>
      <c r="E210" s="123" t="s">
        <v>78</v>
      </c>
      <c r="F210" s="123" t="s">
        <v>78</v>
      </c>
      <c r="G210" s="124" t="s">
        <v>78</v>
      </c>
      <c r="H210" s="125" t="s">
        <v>78</v>
      </c>
    </row>
    <row r="211" spans="1:8" x14ac:dyDescent="0.2">
      <c r="A211" s="121"/>
      <c r="B211" s="199" t="s">
        <v>78</v>
      </c>
      <c r="C211" s="199"/>
      <c r="D211" s="122" t="s">
        <v>78</v>
      </c>
      <c r="E211" s="123" t="s">
        <v>78</v>
      </c>
      <c r="F211" s="123" t="s">
        <v>78</v>
      </c>
      <c r="G211" s="124" t="s">
        <v>78</v>
      </c>
      <c r="H211" s="125" t="s">
        <v>78</v>
      </c>
    </row>
    <row r="212" spans="1:8" x14ac:dyDescent="0.2">
      <c r="A212" s="121"/>
      <c r="B212" s="199" t="s">
        <v>78</v>
      </c>
      <c r="C212" s="199"/>
      <c r="D212" s="122" t="s">
        <v>78</v>
      </c>
      <c r="E212" s="123" t="s">
        <v>78</v>
      </c>
      <c r="F212" s="123" t="s">
        <v>78</v>
      </c>
      <c r="G212" s="124" t="s">
        <v>78</v>
      </c>
      <c r="H212" s="125" t="s">
        <v>78</v>
      </c>
    </row>
    <row r="213" spans="1:8" x14ac:dyDescent="0.2">
      <c r="A213" s="121"/>
      <c r="B213" s="199" t="s">
        <v>78</v>
      </c>
      <c r="C213" s="199"/>
      <c r="D213" s="122" t="s">
        <v>78</v>
      </c>
      <c r="E213" s="123" t="s">
        <v>78</v>
      </c>
      <c r="F213" s="123" t="s">
        <v>78</v>
      </c>
      <c r="G213" s="124" t="s">
        <v>78</v>
      </c>
      <c r="H213" s="125" t="s">
        <v>78</v>
      </c>
    </row>
    <row r="214" spans="1:8" x14ac:dyDescent="0.2">
      <c r="A214" s="121"/>
      <c r="B214" s="199" t="s">
        <v>78</v>
      </c>
      <c r="C214" s="199"/>
      <c r="D214" s="122" t="s">
        <v>78</v>
      </c>
      <c r="E214" s="123" t="s">
        <v>78</v>
      </c>
      <c r="F214" s="123" t="s">
        <v>78</v>
      </c>
      <c r="G214" s="124" t="s">
        <v>78</v>
      </c>
      <c r="H214" s="125" t="s">
        <v>78</v>
      </c>
    </row>
    <row r="215" spans="1:8" x14ac:dyDescent="0.2">
      <c r="A215" s="121"/>
      <c r="B215" s="199" t="s">
        <v>78</v>
      </c>
      <c r="C215" s="199"/>
      <c r="D215" s="122" t="s">
        <v>78</v>
      </c>
      <c r="E215" s="123" t="s">
        <v>78</v>
      </c>
      <c r="F215" s="123" t="s">
        <v>78</v>
      </c>
      <c r="G215" s="124" t="s">
        <v>78</v>
      </c>
      <c r="H215" s="125" t="s">
        <v>78</v>
      </c>
    </row>
    <row r="216" spans="1:8" x14ac:dyDescent="0.2">
      <c r="A216" s="121"/>
      <c r="B216" s="199" t="s">
        <v>78</v>
      </c>
      <c r="C216" s="199"/>
      <c r="D216" s="122" t="s">
        <v>78</v>
      </c>
      <c r="E216" s="123" t="s">
        <v>78</v>
      </c>
      <c r="F216" s="123" t="s">
        <v>78</v>
      </c>
      <c r="G216" s="124" t="s">
        <v>78</v>
      </c>
      <c r="H216" s="125" t="s">
        <v>78</v>
      </c>
    </row>
    <row r="217" spans="1:8" x14ac:dyDescent="0.2">
      <c r="A217" s="121"/>
      <c r="B217" s="199" t="s">
        <v>78</v>
      </c>
      <c r="C217" s="199"/>
      <c r="D217" s="122" t="s">
        <v>78</v>
      </c>
      <c r="E217" s="123" t="s">
        <v>78</v>
      </c>
      <c r="F217" s="123" t="s">
        <v>78</v>
      </c>
      <c r="G217" s="124" t="s">
        <v>78</v>
      </c>
      <c r="H217" s="125" t="s">
        <v>78</v>
      </c>
    </row>
    <row r="218" spans="1:8" x14ac:dyDescent="0.2">
      <c r="A218" s="121"/>
      <c r="B218" s="199" t="s">
        <v>78</v>
      </c>
      <c r="C218" s="199"/>
      <c r="D218" s="122" t="s">
        <v>78</v>
      </c>
      <c r="E218" s="123" t="s">
        <v>78</v>
      </c>
      <c r="F218" s="123" t="s">
        <v>78</v>
      </c>
      <c r="G218" s="124" t="s">
        <v>78</v>
      </c>
      <c r="H218" s="125" t="s">
        <v>78</v>
      </c>
    </row>
    <row r="219" spans="1:8" x14ac:dyDescent="0.2">
      <c r="A219" s="121"/>
      <c r="B219" s="199" t="s">
        <v>78</v>
      </c>
      <c r="C219" s="199"/>
      <c r="D219" s="122" t="s">
        <v>78</v>
      </c>
      <c r="E219" s="123" t="s">
        <v>78</v>
      </c>
      <c r="F219" s="123" t="s">
        <v>78</v>
      </c>
      <c r="G219" s="124" t="s">
        <v>78</v>
      </c>
      <c r="H219" s="125" t="s">
        <v>78</v>
      </c>
    </row>
    <row r="220" spans="1:8" x14ac:dyDescent="0.2">
      <c r="A220" s="121"/>
      <c r="B220" s="199" t="s">
        <v>78</v>
      </c>
      <c r="C220" s="199"/>
      <c r="D220" s="122" t="s">
        <v>78</v>
      </c>
      <c r="E220" s="123" t="s">
        <v>78</v>
      </c>
      <c r="F220" s="123" t="s">
        <v>78</v>
      </c>
      <c r="G220" s="124" t="s">
        <v>78</v>
      </c>
      <c r="H220" s="125" t="s">
        <v>78</v>
      </c>
    </row>
    <row r="221" spans="1:8" x14ac:dyDescent="0.2">
      <c r="A221" s="121"/>
      <c r="B221" s="199" t="s">
        <v>78</v>
      </c>
      <c r="C221" s="199"/>
      <c r="D221" s="122" t="s">
        <v>78</v>
      </c>
      <c r="E221" s="123" t="s">
        <v>78</v>
      </c>
      <c r="F221" s="123" t="s">
        <v>78</v>
      </c>
      <c r="G221" s="124" t="s">
        <v>78</v>
      </c>
      <c r="H221" s="125" t="s">
        <v>78</v>
      </c>
    </row>
    <row r="222" spans="1:8" x14ac:dyDescent="0.2">
      <c r="A222" s="121"/>
      <c r="B222" s="199" t="s">
        <v>78</v>
      </c>
      <c r="C222" s="199"/>
      <c r="D222" s="122" t="s">
        <v>78</v>
      </c>
      <c r="E222" s="123" t="s">
        <v>78</v>
      </c>
      <c r="F222" s="123" t="s">
        <v>78</v>
      </c>
      <c r="G222" s="124" t="s">
        <v>78</v>
      </c>
      <c r="H222" s="125" t="s">
        <v>78</v>
      </c>
    </row>
    <row r="223" spans="1:8" x14ac:dyDescent="0.2">
      <c r="A223" s="121"/>
      <c r="B223" s="199" t="s">
        <v>78</v>
      </c>
      <c r="C223" s="199"/>
      <c r="D223" s="122" t="s">
        <v>78</v>
      </c>
      <c r="E223" s="123" t="s">
        <v>78</v>
      </c>
      <c r="F223" s="123" t="s">
        <v>78</v>
      </c>
      <c r="G223" s="124" t="s">
        <v>78</v>
      </c>
      <c r="H223" s="125" t="s">
        <v>78</v>
      </c>
    </row>
    <row r="224" spans="1:8" x14ac:dyDescent="0.2">
      <c r="A224" s="121"/>
      <c r="B224" s="199" t="s">
        <v>78</v>
      </c>
      <c r="C224" s="199"/>
      <c r="D224" s="122" t="s">
        <v>78</v>
      </c>
      <c r="E224" s="123" t="s">
        <v>78</v>
      </c>
      <c r="F224" s="123" t="s">
        <v>78</v>
      </c>
      <c r="G224" s="124" t="s">
        <v>78</v>
      </c>
      <c r="H224" s="125" t="s">
        <v>78</v>
      </c>
    </row>
    <row r="225" spans="1:8" x14ac:dyDescent="0.2">
      <c r="A225" s="121"/>
      <c r="B225" s="199" t="s">
        <v>78</v>
      </c>
      <c r="C225" s="199"/>
      <c r="D225" s="122" t="s">
        <v>78</v>
      </c>
      <c r="E225" s="123" t="s">
        <v>78</v>
      </c>
      <c r="F225" s="123" t="s">
        <v>78</v>
      </c>
      <c r="G225" s="124" t="s">
        <v>78</v>
      </c>
      <c r="H225" s="125" t="s">
        <v>78</v>
      </c>
    </row>
    <row r="226" spans="1:8" x14ac:dyDescent="0.2">
      <c r="A226" s="121"/>
      <c r="B226" s="199" t="s">
        <v>78</v>
      </c>
      <c r="C226" s="199"/>
      <c r="D226" s="122" t="s">
        <v>78</v>
      </c>
      <c r="E226" s="123" t="s">
        <v>78</v>
      </c>
      <c r="F226" s="123" t="s">
        <v>78</v>
      </c>
      <c r="G226" s="124" t="s">
        <v>78</v>
      </c>
      <c r="H226" s="125" t="s">
        <v>78</v>
      </c>
    </row>
    <row r="227" spans="1:8" x14ac:dyDescent="0.2">
      <c r="A227" s="121"/>
      <c r="B227" s="199" t="s">
        <v>78</v>
      </c>
      <c r="C227" s="199"/>
      <c r="D227" s="122" t="s">
        <v>78</v>
      </c>
      <c r="E227" s="123" t="s">
        <v>78</v>
      </c>
      <c r="F227" s="123" t="s">
        <v>78</v>
      </c>
      <c r="G227" s="124" t="s">
        <v>78</v>
      </c>
      <c r="H227" s="125" t="s">
        <v>78</v>
      </c>
    </row>
    <row r="228" spans="1:8" x14ac:dyDescent="0.2">
      <c r="A228" s="121"/>
      <c r="B228" s="199" t="s">
        <v>78</v>
      </c>
      <c r="C228" s="199"/>
      <c r="D228" s="122" t="s">
        <v>78</v>
      </c>
      <c r="E228" s="123" t="s">
        <v>78</v>
      </c>
      <c r="F228" s="123" t="s">
        <v>78</v>
      </c>
      <c r="G228" s="124" t="s">
        <v>78</v>
      </c>
      <c r="H228" s="125" t="s">
        <v>78</v>
      </c>
    </row>
    <row r="229" spans="1:8" x14ac:dyDescent="0.2">
      <c r="A229" s="121"/>
      <c r="B229" s="199" t="s">
        <v>78</v>
      </c>
      <c r="C229" s="199"/>
      <c r="D229" s="122" t="s">
        <v>78</v>
      </c>
      <c r="E229" s="123" t="s">
        <v>78</v>
      </c>
      <c r="F229" s="123" t="s">
        <v>78</v>
      </c>
      <c r="G229" s="124" t="s">
        <v>78</v>
      </c>
      <c r="H229" s="125" t="s">
        <v>78</v>
      </c>
    </row>
    <row r="230" spans="1:8" x14ac:dyDescent="0.2">
      <c r="A230" s="121"/>
      <c r="B230" s="199" t="s">
        <v>78</v>
      </c>
      <c r="C230" s="199"/>
      <c r="D230" s="122" t="s">
        <v>78</v>
      </c>
      <c r="E230" s="123" t="s">
        <v>78</v>
      </c>
      <c r="F230" s="123" t="s">
        <v>78</v>
      </c>
      <c r="G230" s="124" t="s">
        <v>78</v>
      </c>
      <c r="H230" s="125" t="s">
        <v>78</v>
      </c>
    </row>
    <row r="231" spans="1:8" x14ac:dyDescent="0.2">
      <c r="A231" s="121"/>
      <c r="B231" s="199" t="s">
        <v>78</v>
      </c>
      <c r="C231" s="199"/>
      <c r="D231" s="122" t="s">
        <v>78</v>
      </c>
      <c r="E231" s="123" t="s">
        <v>78</v>
      </c>
      <c r="F231" s="123" t="s">
        <v>78</v>
      </c>
      <c r="G231" s="124" t="s">
        <v>78</v>
      </c>
      <c r="H231" s="125" t="s">
        <v>78</v>
      </c>
    </row>
    <row r="232" spans="1:8" x14ac:dyDescent="0.2">
      <c r="A232" s="121"/>
      <c r="B232" s="199" t="s">
        <v>78</v>
      </c>
      <c r="C232" s="199"/>
      <c r="D232" s="122" t="s">
        <v>78</v>
      </c>
      <c r="E232" s="123" t="s">
        <v>78</v>
      </c>
      <c r="F232" s="123" t="s">
        <v>78</v>
      </c>
      <c r="G232" s="124" t="s">
        <v>78</v>
      </c>
      <c r="H232" s="125" t="s">
        <v>78</v>
      </c>
    </row>
    <row r="233" spans="1:8" x14ac:dyDescent="0.2">
      <c r="A233" s="121"/>
      <c r="B233" s="199" t="s">
        <v>78</v>
      </c>
      <c r="C233" s="199"/>
      <c r="D233" s="122" t="s">
        <v>78</v>
      </c>
      <c r="E233" s="123" t="s">
        <v>78</v>
      </c>
      <c r="F233" s="123" t="s">
        <v>78</v>
      </c>
      <c r="G233" s="124" t="s">
        <v>78</v>
      </c>
      <c r="H233" s="125" t="s">
        <v>78</v>
      </c>
    </row>
    <row r="234" spans="1:8" x14ac:dyDescent="0.2">
      <c r="A234" s="121"/>
      <c r="B234" s="199" t="s">
        <v>78</v>
      </c>
      <c r="C234" s="199"/>
      <c r="D234" s="122" t="s">
        <v>78</v>
      </c>
      <c r="E234" s="123" t="s">
        <v>78</v>
      </c>
      <c r="F234" s="123" t="s">
        <v>78</v>
      </c>
      <c r="G234" s="124" t="s">
        <v>78</v>
      </c>
      <c r="H234" s="125" t="s">
        <v>78</v>
      </c>
    </row>
    <row r="235" spans="1:8" x14ac:dyDescent="0.2">
      <c r="A235" s="121"/>
      <c r="B235" s="199" t="s">
        <v>78</v>
      </c>
      <c r="C235" s="199"/>
      <c r="D235" s="122" t="s">
        <v>78</v>
      </c>
      <c r="E235" s="123" t="s">
        <v>78</v>
      </c>
      <c r="F235" s="123" t="s">
        <v>78</v>
      </c>
      <c r="G235" s="124" t="s">
        <v>78</v>
      </c>
      <c r="H235" s="125" t="s">
        <v>78</v>
      </c>
    </row>
    <row r="236" spans="1:8" x14ac:dyDescent="0.2">
      <c r="A236" s="121"/>
      <c r="B236" s="199" t="s">
        <v>78</v>
      </c>
      <c r="C236" s="199"/>
      <c r="D236" s="122" t="s">
        <v>78</v>
      </c>
      <c r="E236" s="123" t="s">
        <v>78</v>
      </c>
      <c r="F236" s="123" t="s">
        <v>78</v>
      </c>
      <c r="G236" s="124" t="s">
        <v>78</v>
      </c>
      <c r="H236" s="125" t="s">
        <v>78</v>
      </c>
    </row>
    <row r="237" spans="1:8" x14ac:dyDescent="0.2">
      <c r="A237" s="121"/>
      <c r="B237" s="199" t="s">
        <v>78</v>
      </c>
      <c r="C237" s="199"/>
      <c r="D237" s="122" t="s">
        <v>78</v>
      </c>
      <c r="E237" s="123" t="s">
        <v>78</v>
      </c>
      <c r="F237" s="123" t="s">
        <v>78</v>
      </c>
      <c r="G237" s="124" t="s">
        <v>78</v>
      </c>
      <c r="H237" s="125" t="s">
        <v>78</v>
      </c>
    </row>
    <row r="238" spans="1:8" x14ac:dyDescent="0.2">
      <c r="A238" s="121"/>
      <c r="B238" s="199" t="s">
        <v>78</v>
      </c>
      <c r="C238" s="199"/>
      <c r="D238" s="122" t="s">
        <v>78</v>
      </c>
      <c r="E238" s="123" t="s">
        <v>78</v>
      </c>
      <c r="F238" s="123" t="s">
        <v>78</v>
      </c>
      <c r="G238" s="124" t="s">
        <v>78</v>
      </c>
      <c r="H238" s="125" t="s">
        <v>78</v>
      </c>
    </row>
    <row r="239" spans="1:8" x14ac:dyDescent="0.2">
      <c r="A239" s="121"/>
      <c r="B239" s="199" t="s">
        <v>78</v>
      </c>
      <c r="C239" s="199"/>
      <c r="D239" s="122" t="s">
        <v>78</v>
      </c>
      <c r="E239" s="123" t="s">
        <v>78</v>
      </c>
      <c r="F239" s="123" t="s">
        <v>78</v>
      </c>
      <c r="G239" s="124" t="s">
        <v>78</v>
      </c>
      <c r="H239" s="125" t="s">
        <v>78</v>
      </c>
    </row>
    <row r="240" spans="1:8" x14ac:dyDescent="0.2">
      <c r="A240" s="121"/>
      <c r="B240" s="199" t="s">
        <v>78</v>
      </c>
      <c r="C240" s="199"/>
      <c r="D240" s="122" t="s">
        <v>78</v>
      </c>
      <c r="E240" s="123" t="s">
        <v>78</v>
      </c>
      <c r="F240" s="123" t="s">
        <v>78</v>
      </c>
      <c r="G240" s="124" t="s">
        <v>78</v>
      </c>
      <c r="H240" s="125" t="s">
        <v>78</v>
      </c>
    </row>
    <row r="241" spans="1:8" x14ac:dyDescent="0.2">
      <c r="A241" s="121"/>
      <c r="B241" s="199" t="s">
        <v>78</v>
      </c>
      <c r="C241" s="199"/>
      <c r="D241" s="122" t="s">
        <v>78</v>
      </c>
      <c r="E241" s="123" t="s">
        <v>78</v>
      </c>
      <c r="F241" s="123" t="s">
        <v>78</v>
      </c>
      <c r="G241" s="124" t="s">
        <v>78</v>
      </c>
      <c r="H241" s="125" t="s">
        <v>78</v>
      </c>
    </row>
    <row r="242" spans="1:8" x14ac:dyDescent="0.2">
      <c r="A242" s="121"/>
      <c r="B242" s="199" t="s">
        <v>78</v>
      </c>
      <c r="C242" s="199"/>
      <c r="D242" s="122" t="s">
        <v>78</v>
      </c>
      <c r="E242" s="123" t="s">
        <v>78</v>
      </c>
      <c r="F242" s="123" t="s">
        <v>78</v>
      </c>
      <c r="G242" s="124" t="s">
        <v>78</v>
      </c>
      <c r="H242" s="125" t="s">
        <v>78</v>
      </c>
    </row>
    <row r="243" spans="1:8" x14ac:dyDescent="0.2">
      <c r="A243" s="121"/>
      <c r="B243" s="199" t="s">
        <v>78</v>
      </c>
      <c r="C243" s="199"/>
      <c r="D243" s="122" t="s">
        <v>78</v>
      </c>
      <c r="E243" s="123" t="s">
        <v>78</v>
      </c>
      <c r="F243" s="123" t="s">
        <v>78</v>
      </c>
      <c r="G243" s="124" t="s">
        <v>78</v>
      </c>
      <c r="H243" s="125" t="s">
        <v>78</v>
      </c>
    </row>
    <row r="244" spans="1:8" x14ac:dyDescent="0.2">
      <c r="A244" s="121"/>
      <c r="B244" s="199" t="s">
        <v>78</v>
      </c>
      <c r="C244" s="199"/>
      <c r="D244" s="122" t="s">
        <v>78</v>
      </c>
      <c r="E244" s="123" t="s">
        <v>78</v>
      </c>
      <c r="F244" s="123" t="s">
        <v>78</v>
      </c>
      <c r="G244" s="124" t="s">
        <v>78</v>
      </c>
      <c r="H244" s="125" t="s">
        <v>78</v>
      </c>
    </row>
    <row r="245" spans="1:8" x14ac:dyDescent="0.2">
      <c r="A245" s="121"/>
      <c r="B245" s="199" t="s">
        <v>78</v>
      </c>
      <c r="C245" s="199"/>
      <c r="D245" s="122" t="s">
        <v>78</v>
      </c>
      <c r="E245" s="123" t="s">
        <v>78</v>
      </c>
      <c r="F245" s="123" t="s">
        <v>78</v>
      </c>
      <c r="G245" s="124" t="s">
        <v>78</v>
      </c>
      <c r="H245" s="125" t="s">
        <v>78</v>
      </c>
    </row>
    <row r="246" spans="1:8" x14ac:dyDescent="0.2">
      <c r="A246" s="121"/>
      <c r="B246" s="199" t="s">
        <v>78</v>
      </c>
      <c r="C246" s="199"/>
      <c r="D246" s="122" t="s">
        <v>78</v>
      </c>
      <c r="E246" s="123" t="s">
        <v>78</v>
      </c>
      <c r="F246" s="123" t="s">
        <v>78</v>
      </c>
      <c r="G246" s="124" t="s">
        <v>78</v>
      </c>
      <c r="H246" s="125" t="s">
        <v>78</v>
      </c>
    </row>
    <row r="247" spans="1:8" x14ac:dyDescent="0.2">
      <c r="A247" s="121"/>
      <c r="B247" s="199" t="s">
        <v>78</v>
      </c>
      <c r="C247" s="199"/>
      <c r="D247" s="122" t="s">
        <v>78</v>
      </c>
      <c r="E247" s="123" t="s">
        <v>78</v>
      </c>
      <c r="F247" s="123" t="s">
        <v>78</v>
      </c>
      <c r="G247" s="124" t="s">
        <v>78</v>
      </c>
      <c r="H247" s="125" t="s">
        <v>78</v>
      </c>
    </row>
    <row r="248" spans="1:8" x14ac:dyDescent="0.2">
      <c r="A248" s="121"/>
      <c r="B248" s="199" t="s">
        <v>78</v>
      </c>
      <c r="C248" s="199"/>
      <c r="D248" s="122" t="s">
        <v>78</v>
      </c>
      <c r="E248" s="123" t="s">
        <v>78</v>
      </c>
      <c r="F248" s="123" t="s">
        <v>78</v>
      </c>
      <c r="G248" s="124" t="s">
        <v>78</v>
      </c>
      <c r="H248" s="125" t="s">
        <v>78</v>
      </c>
    </row>
    <row r="249" spans="1:8" x14ac:dyDescent="0.2">
      <c r="A249" s="121"/>
      <c r="B249" s="199" t="s">
        <v>78</v>
      </c>
      <c r="C249" s="199"/>
      <c r="D249" s="122" t="s">
        <v>78</v>
      </c>
      <c r="E249" s="123" t="s">
        <v>78</v>
      </c>
      <c r="F249" s="123" t="s">
        <v>78</v>
      </c>
      <c r="G249" s="124" t="s">
        <v>78</v>
      </c>
      <c r="H249" s="125" t="s">
        <v>78</v>
      </c>
    </row>
    <row r="250" spans="1:8" x14ac:dyDescent="0.2">
      <c r="A250" s="121"/>
      <c r="B250" s="199" t="s">
        <v>78</v>
      </c>
      <c r="C250" s="199"/>
      <c r="D250" s="122" t="s">
        <v>78</v>
      </c>
      <c r="E250" s="123" t="s">
        <v>78</v>
      </c>
      <c r="F250" s="123" t="s">
        <v>78</v>
      </c>
      <c r="G250" s="124" t="s">
        <v>78</v>
      </c>
      <c r="H250" s="125" t="s">
        <v>78</v>
      </c>
    </row>
    <row r="251" spans="1:8" x14ac:dyDescent="0.2">
      <c r="A251" s="121"/>
      <c r="B251" s="199" t="s">
        <v>78</v>
      </c>
      <c r="C251" s="199"/>
      <c r="D251" s="122" t="s">
        <v>78</v>
      </c>
      <c r="E251" s="123" t="s">
        <v>78</v>
      </c>
      <c r="F251" s="123" t="s">
        <v>78</v>
      </c>
      <c r="G251" s="124" t="s">
        <v>78</v>
      </c>
      <c r="H251" s="125" t="s">
        <v>78</v>
      </c>
    </row>
    <row r="252" spans="1:8" x14ac:dyDescent="0.2">
      <c r="A252" s="121"/>
      <c r="B252" s="199" t="s">
        <v>78</v>
      </c>
      <c r="C252" s="199"/>
      <c r="D252" s="122" t="s">
        <v>78</v>
      </c>
      <c r="E252" s="123" t="s">
        <v>78</v>
      </c>
      <c r="F252" s="123" t="s">
        <v>78</v>
      </c>
      <c r="G252" s="124" t="s">
        <v>78</v>
      </c>
      <c r="H252" s="125" t="s">
        <v>78</v>
      </c>
    </row>
    <row r="253" spans="1:8" x14ac:dyDescent="0.2">
      <c r="A253" s="121"/>
      <c r="B253" s="199" t="s">
        <v>78</v>
      </c>
      <c r="C253" s="199"/>
      <c r="D253" s="122" t="s">
        <v>78</v>
      </c>
      <c r="E253" s="123" t="s">
        <v>78</v>
      </c>
      <c r="F253" s="123" t="s">
        <v>78</v>
      </c>
      <c r="G253" s="124" t="s">
        <v>78</v>
      </c>
      <c r="H253" s="125" t="s">
        <v>78</v>
      </c>
    </row>
    <row r="254" spans="1:8" x14ac:dyDescent="0.2">
      <c r="A254" s="121"/>
      <c r="B254" s="199" t="s">
        <v>78</v>
      </c>
      <c r="C254" s="199"/>
      <c r="D254" s="122" t="s">
        <v>78</v>
      </c>
      <c r="E254" s="123" t="s">
        <v>78</v>
      </c>
      <c r="F254" s="123" t="s">
        <v>78</v>
      </c>
      <c r="G254" s="124" t="s">
        <v>78</v>
      </c>
      <c r="H254" s="125" t="s">
        <v>78</v>
      </c>
    </row>
    <row r="255" spans="1:8" x14ac:dyDescent="0.2">
      <c r="A255" s="121"/>
      <c r="B255" s="199" t="s">
        <v>78</v>
      </c>
      <c r="C255" s="199"/>
      <c r="D255" s="122" t="s">
        <v>78</v>
      </c>
      <c r="E255" s="123" t="s">
        <v>78</v>
      </c>
      <c r="F255" s="123" t="s">
        <v>78</v>
      </c>
      <c r="G255" s="124" t="s">
        <v>78</v>
      </c>
      <c r="H255" s="125" t="s">
        <v>78</v>
      </c>
    </row>
    <row r="256" spans="1:8" x14ac:dyDescent="0.2">
      <c r="A256" s="121"/>
      <c r="B256" s="199" t="s">
        <v>78</v>
      </c>
      <c r="C256" s="199"/>
      <c r="D256" s="122" t="s">
        <v>78</v>
      </c>
      <c r="E256" s="123" t="s">
        <v>78</v>
      </c>
      <c r="F256" s="123" t="s">
        <v>78</v>
      </c>
      <c r="G256" s="124" t="s">
        <v>78</v>
      </c>
      <c r="H256" s="125" t="s">
        <v>78</v>
      </c>
    </row>
    <row r="257" spans="1:8" x14ac:dyDescent="0.2">
      <c r="A257" s="121"/>
      <c r="B257" s="199" t="s">
        <v>78</v>
      </c>
      <c r="C257" s="199"/>
      <c r="D257" s="122" t="s">
        <v>78</v>
      </c>
      <c r="E257" s="123" t="s">
        <v>78</v>
      </c>
      <c r="F257" s="123" t="s">
        <v>78</v>
      </c>
      <c r="G257" s="124" t="s">
        <v>78</v>
      </c>
      <c r="H257" s="125" t="s">
        <v>78</v>
      </c>
    </row>
    <row r="258" spans="1:8" x14ac:dyDescent="0.2">
      <c r="A258" s="121"/>
      <c r="B258" s="199" t="s">
        <v>78</v>
      </c>
      <c r="C258" s="199"/>
      <c r="D258" s="122" t="s">
        <v>78</v>
      </c>
      <c r="E258" s="123" t="s">
        <v>78</v>
      </c>
      <c r="F258" s="123" t="s">
        <v>78</v>
      </c>
      <c r="G258" s="124" t="s">
        <v>78</v>
      </c>
      <c r="H258" s="125" t="s">
        <v>78</v>
      </c>
    </row>
    <row r="259" spans="1:8" x14ac:dyDescent="0.2">
      <c r="A259" s="121"/>
      <c r="B259" s="199" t="s">
        <v>78</v>
      </c>
      <c r="C259" s="199"/>
      <c r="D259" s="122" t="s">
        <v>78</v>
      </c>
      <c r="E259" s="123" t="s">
        <v>78</v>
      </c>
      <c r="F259" s="123" t="s">
        <v>78</v>
      </c>
      <c r="G259" s="124" t="s">
        <v>78</v>
      </c>
      <c r="H259" s="125" t="s">
        <v>78</v>
      </c>
    </row>
    <row r="260" spans="1:8" x14ac:dyDescent="0.2">
      <c r="A260" s="121"/>
      <c r="B260" s="199" t="s">
        <v>78</v>
      </c>
      <c r="C260" s="199"/>
      <c r="D260" s="122" t="s">
        <v>78</v>
      </c>
      <c r="E260" s="123" t="s">
        <v>78</v>
      </c>
      <c r="F260" s="123" t="s">
        <v>78</v>
      </c>
      <c r="G260" s="124" t="s">
        <v>78</v>
      </c>
      <c r="H260" s="125" t="s">
        <v>78</v>
      </c>
    </row>
    <row r="261" spans="1:8" x14ac:dyDescent="0.2">
      <c r="A261" s="121"/>
      <c r="B261" s="199" t="s">
        <v>78</v>
      </c>
      <c r="C261" s="199"/>
      <c r="D261" s="122" t="s">
        <v>78</v>
      </c>
      <c r="E261" s="123" t="s">
        <v>78</v>
      </c>
      <c r="F261" s="123" t="s">
        <v>78</v>
      </c>
      <c r="G261" s="124" t="s">
        <v>78</v>
      </c>
      <c r="H261" s="125" t="s">
        <v>78</v>
      </c>
    </row>
    <row r="262" spans="1:8" x14ac:dyDescent="0.2">
      <c r="A262" s="121"/>
      <c r="B262" s="199" t="s">
        <v>78</v>
      </c>
      <c r="C262" s="199"/>
      <c r="D262" s="122" t="s">
        <v>78</v>
      </c>
      <c r="E262" s="123" t="s">
        <v>78</v>
      </c>
      <c r="F262" s="123" t="s">
        <v>78</v>
      </c>
      <c r="G262" s="124" t="s">
        <v>78</v>
      </c>
      <c r="H262" s="125" t="s">
        <v>78</v>
      </c>
    </row>
    <row r="263" spans="1:8" x14ac:dyDescent="0.2">
      <c r="A263" s="121"/>
      <c r="B263" s="199" t="s">
        <v>78</v>
      </c>
      <c r="C263" s="199"/>
      <c r="D263" s="122" t="s">
        <v>78</v>
      </c>
      <c r="E263" s="123" t="s">
        <v>78</v>
      </c>
      <c r="F263" s="123" t="s">
        <v>78</v>
      </c>
      <c r="G263" s="124" t="s">
        <v>78</v>
      </c>
      <c r="H263" s="125" t="s">
        <v>78</v>
      </c>
    </row>
    <row r="264" spans="1:8" x14ac:dyDescent="0.2">
      <c r="A264" s="121"/>
      <c r="B264" s="199" t="s">
        <v>78</v>
      </c>
      <c r="C264" s="199"/>
      <c r="D264" s="122" t="s">
        <v>78</v>
      </c>
      <c r="E264" s="123" t="s">
        <v>78</v>
      </c>
      <c r="F264" s="123" t="s">
        <v>78</v>
      </c>
      <c r="G264" s="124" t="s">
        <v>78</v>
      </c>
      <c r="H264" s="125" t="s">
        <v>78</v>
      </c>
    </row>
    <row r="265" spans="1:8" x14ac:dyDescent="0.2">
      <c r="A265" s="121"/>
      <c r="B265" s="199" t="s">
        <v>78</v>
      </c>
      <c r="C265" s="199"/>
      <c r="D265" s="122" t="s">
        <v>78</v>
      </c>
      <c r="E265" s="123" t="s">
        <v>78</v>
      </c>
      <c r="F265" s="123" t="s">
        <v>78</v>
      </c>
      <c r="G265" s="124" t="s">
        <v>78</v>
      </c>
      <c r="H265" s="125" t="s">
        <v>78</v>
      </c>
    </row>
    <row r="266" spans="1:8" x14ac:dyDescent="0.2">
      <c r="A266" s="121"/>
      <c r="B266" s="199" t="s">
        <v>78</v>
      </c>
      <c r="C266" s="199"/>
      <c r="D266" s="122" t="s">
        <v>78</v>
      </c>
      <c r="E266" s="123" t="s">
        <v>78</v>
      </c>
      <c r="F266" s="123" t="s">
        <v>78</v>
      </c>
      <c r="G266" s="124" t="s">
        <v>78</v>
      </c>
      <c r="H266" s="125" t="s">
        <v>78</v>
      </c>
    </row>
    <row r="267" spans="1:8" x14ac:dyDescent="0.2">
      <c r="A267" s="121"/>
      <c r="B267" s="199" t="s">
        <v>78</v>
      </c>
      <c r="C267" s="199"/>
      <c r="D267" s="122" t="s">
        <v>78</v>
      </c>
      <c r="E267" s="123" t="s">
        <v>78</v>
      </c>
      <c r="F267" s="123" t="s">
        <v>78</v>
      </c>
      <c r="G267" s="124" t="s">
        <v>78</v>
      </c>
      <c r="H267" s="125" t="s">
        <v>78</v>
      </c>
    </row>
    <row r="268" spans="1:8" x14ac:dyDescent="0.2">
      <c r="A268" s="121"/>
      <c r="B268" s="199" t="s">
        <v>78</v>
      </c>
      <c r="C268" s="199"/>
      <c r="D268" s="122" t="s">
        <v>78</v>
      </c>
      <c r="E268" s="123" t="s">
        <v>78</v>
      </c>
      <c r="F268" s="123" t="s">
        <v>78</v>
      </c>
      <c r="G268" s="124" t="s">
        <v>78</v>
      </c>
      <c r="H268" s="125" t="s">
        <v>78</v>
      </c>
    </row>
    <row r="269" spans="1:8" x14ac:dyDescent="0.2">
      <c r="A269" s="121"/>
      <c r="B269" s="199" t="s">
        <v>78</v>
      </c>
      <c r="C269" s="199"/>
      <c r="D269" s="122" t="s">
        <v>78</v>
      </c>
      <c r="E269" s="123" t="s">
        <v>78</v>
      </c>
      <c r="F269" s="123" t="s">
        <v>78</v>
      </c>
      <c r="G269" s="124" t="s">
        <v>78</v>
      </c>
      <c r="H269" s="125" t="s">
        <v>78</v>
      </c>
    </row>
    <row r="270" spans="1:8" x14ac:dyDescent="0.2">
      <c r="A270" s="121"/>
      <c r="B270" s="199" t="s">
        <v>78</v>
      </c>
      <c r="C270" s="199"/>
      <c r="D270" s="122" t="s">
        <v>78</v>
      </c>
      <c r="E270" s="123" t="s">
        <v>78</v>
      </c>
      <c r="F270" s="123" t="s">
        <v>78</v>
      </c>
      <c r="G270" s="124" t="s">
        <v>78</v>
      </c>
      <c r="H270" s="125" t="s">
        <v>78</v>
      </c>
    </row>
    <row r="271" spans="1:8" x14ac:dyDescent="0.2">
      <c r="A271" s="121"/>
      <c r="B271" s="199" t="s">
        <v>78</v>
      </c>
      <c r="C271" s="199"/>
      <c r="D271" s="122" t="s">
        <v>78</v>
      </c>
      <c r="E271" s="123" t="s">
        <v>78</v>
      </c>
      <c r="F271" s="123" t="s">
        <v>78</v>
      </c>
      <c r="G271" s="124" t="s">
        <v>78</v>
      </c>
      <c r="H271" s="125" t="s">
        <v>78</v>
      </c>
    </row>
    <row r="272" spans="1:8" x14ac:dyDescent="0.2">
      <c r="A272" s="121"/>
      <c r="B272" s="199" t="s">
        <v>78</v>
      </c>
      <c r="C272" s="199"/>
      <c r="D272" s="122" t="s">
        <v>78</v>
      </c>
      <c r="E272" s="123" t="s">
        <v>78</v>
      </c>
      <c r="F272" s="123" t="s">
        <v>78</v>
      </c>
      <c r="G272" s="124" t="s">
        <v>78</v>
      </c>
      <c r="H272" s="125" t="s">
        <v>78</v>
      </c>
    </row>
    <row r="273" spans="1:8" x14ac:dyDescent="0.2">
      <c r="A273" s="121"/>
      <c r="B273" s="199" t="s">
        <v>78</v>
      </c>
      <c r="C273" s="199"/>
      <c r="D273" s="122" t="s">
        <v>78</v>
      </c>
      <c r="E273" s="123" t="s">
        <v>78</v>
      </c>
      <c r="F273" s="123" t="s">
        <v>78</v>
      </c>
      <c r="G273" s="124" t="s">
        <v>78</v>
      </c>
      <c r="H273" s="125" t="s">
        <v>78</v>
      </c>
    </row>
    <row r="274" spans="1:8" x14ac:dyDescent="0.2">
      <c r="A274" s="121"/>
      <c r="B274" s="199" t="s">
        <v>78</v>
      </c>
      <c r="C274" s="199"/>
      <c r="D274" s="122" t="s">
        <v>78</v>
      </c>
      <c r="E274" s="123" t="s">
        <v>78</v>
      </c>
      <c r="F274" s="123" t="s">
        <v>78</v>
      </c>
      <c r="G274" s="124" t="s">
        <v>78</v>
      </c>
      <c r="H274" s="125" t="s">
        <v>78</v>
      </c>
    </row>
    <row r="275" spans="1:8" x14ac:dyDescent="0.2">
      <c r="A275" s="121"/>
      <c r="B275" s="199" t="s">
        <v>78</v>
      </c>
      <c r="C275" s="199"/>
      <c r="D275" s="122" t="s">
        <v>78</v>
      </c>
      <c r="E275" s="123" t="s">
        <v>78</v>
      </c>
      <c r="F275" s="123" t="s">
        <v>78</v>
      </c>
      <c r="G275" s="124" t="s">
        <v>78</v>
      </c>
      <c r="H275" s="125" t="s">
        <v>78</v>
      </c>
    </row>
    <row r="276" spans="1:8" x14ac:dyDescent="0.2">
      <c r="A276" s="121"/>
      <c r="B276" s="199" t="s">
        <v>78</v>
      </c>
      <c r="C276" s="199"/>
      <c r="D276" s="122" t="s">
        <v>78</v>
      </c>
      <c r="E276" s="123" t="s">
        <v>78</v>
      </c>
      <c r="F276" s="123" t="s">
        <v>78</v>
      </c>
      <c r="G276" s="124" t="s">
        <v>78</v>
      </c>
      <c r="H276" s="125" t="s">
        <v>78</v>
      </c>
    </row>
    <row r="277" spans="1:8" x14ac:dyDescent="0.2">
      <c r="A277" s="121"/>
      <c r="B277" s="199" t="s">
        <v>78</v>
      </c>
      <c r="C277" s="199"/>
      <c r="D277" s="122" t="s">
        <v>78</v>
      </c>
      <c r="E277" s="123" t="s">
        <v>78</v>
      </c>
      <c r="F277" s="123" t="s">
        <v>78</v>
      </c>
      <c r="G277" s="124" t="s">
        <v>78</v>
      </c>
      <c r="H277" s="125" t="s">
        <v>78</v>
      </c>
    </row>
    <row r="278" spans="1:8" x14ac:dyDescent="0.2">
      <c r="A278" s="121"/>
      <c r="B278" s="199" t="s">
        <v>78</v>
      </c>
      <c r="C278" s="199"/>
      <c r="D278" s="122" t="s">
        <v>78</v>
      </c>
      <c r="E278" s="123" t="s">
        <v>78</v>
      </c>
      <c r="F278" s="123" t="s">
        <v>78</v>
      </c>
      <c r="G278" s="124" t="s">
        <v>78</v>
      </c>
      <c r="H278" s="125" t="s">
        <v>78</v>
      </c>
    </row>
    <row r="279" spans="1:8" x14ac:dyDescent="0.2">
      <c r="A279" s="121"/>
      <c r="B279" s="199" t="s">
        <v>78</v>
      </c>
      <c r="C279" s="199"/>
      <c r="D279" s="122" t="s">
        <v>78</v>
      </c>
      <c r="E279" s="123" t="s">
        <v>78</v>
      </c>
      <c r="F279" s="123" t="s">
        <v>78</v>
      </c>
      <c r="G279" s="124" t="s">
        <v>78</v>
      </c>
      <c r="H279" s="125" t="s">
        <v>78</v>
      </c>
    </row>
    <row r="280" spans="1:8" x14ac:dyDescent="0.2">
      <c r="A280" s="121"/>
      <c r="B280" s="199" t="s">
        <v>78</v>
      </c>
      <c r="C280" s="199"/>
      <c r="D280" s="122" t="s">
        <v>78</v>
      </c>
      <c r="E280" s="123" t="s">
        <v>78</v>
      </c>
      <c r="F280" s="123" t="s">
        <v>78</v>
      </c>
      <c r="G280" s="124" t="s">
        <v>78</v>
      </c>
      <c r="H280" s="125" t="s">
        <v>78</v>
      </c>
    </row>
    <row r="281" spans="1:8" x14ac:dyDescent="0.2">
      <c r="A281" s="121"/>
      <c r="B281" s="199" t="s">
        <v>78</v>
      </c>
      <c r="C281" s="199"/>
      <c r="D281" s="122" t="s">
        <v>78</v>
      </c>
      <c r="E281" s="123" t="s">
        <v>78</v>
      </c>
      <c r="F281" s="123" t="s">
        <v>78</v>
      </c>
      <c r="G281" s="124" t="s">
        <v>78</v>
      </c>
      <c r="H281" s="125" t="s">
        <v>78</v>
      </c>
    </row>
    <row r="282" spans="1:8" x14ac:dyDescent="0.2">
      <c r="A282" s="121"/>
      <c r="B282" s="199" t="s">
        <v>78</v>
      </c>
      <c r="C282" s="199"/>
      <c r="D282" s="122" t="s">
        <v>78</v>
      </c>
      <c r="E282" s="123" t="s">
        <v>78</v>
      </c>
      <c r="F282" s="123" t="s">
        <v>78</v>
      </c>
      <c r="G282" s="124" t="s">
        <v>78</v>
      </c>
      <c r="H282" s="125" t="s">
        <v>78</v>
      </c>
    </row>
    <row r="283" spans="1:8" x14ac:dyDescent="0.2">
      <c r="A283" s="121"/>
      <c r="B283" s="199" t="s">
        <v>78</v>
      </c>
      <c r="C283" s="199"/>
      <c r="D283" s="122" t="s">
        <v>78</v>
      </c>
      <c r="E283" s="123" t="s">
        <v>78</v>
      </c>
      <c r="F283" s="123" t="s">
        <v>78</v>
      </c>
      <c r="G283" s="124" t="s">
        <v>78</v>
      </c>
      <c r="H283" s="125" t="s">
        <v>78</v>
      </c>
    </row>
    <row r="284" spans="1:8" x14ac:dyDescent="0.2">
      <c r="A284" s="121"/>
      <c r="B284" s="199" t="s">
        <v>78</v>
      </c>
      <c r="C284" s="199"/>
      <c r="D284" s="122" t="s">
        <v>78</v>
      </c>
      <c r="E284" s="123" t="s">
        <v>78</v>
      </c>
      <c r="F284" s="123" t="s">
        <v>78</v>
      </c>
      <c r="G284" s="124" t="s">
        <v>78</v>
      </c>
      <c r="H284" s="125" t="s">
        <v>78</v>
      </c>
    </row>
    <row r="285" spans="1:8" x14ac:dyDescent="0.2">
      <c r="A285" s="121"/>
      <c r="B285" s="199" t="s">
        <v>78</v>
      </c>
      <c r="C285" s="199"/>
      <c r="D285" s="122" t="s">
        <v>78</v>
      </c>
      <c r="E285" s="123" t="s">
        <v>78</v>
      </c>
      <c r="F285" s="123" t="s">
        <v>78</v>
      </c>
      <c r="G285" s="124" t="s">
        <v>78</v>
      </c>
      <c r="H285" s="125" t="s">
        <v>78</v>
      </c>
    </row>
    <row r="286" spans="1:8" x14ac:dyDescent="0.2">
      <c r="A286" s="121"/>
      <c r="B286" s="199" t="s">
        <v>78</v>
      </c>
      <c r="C286" s="199"/>
      <c r="D286" s="122" t="s">
        <v>78</v>
      </c>
      <c r="E286" s="123" t="s">
        <v>78</v>
      </c>
      <c r="F286" s="123" t="s">
        <v>78</v>
      </c>
      <c r="G286" s="124" t="s">
        <v>78</v>
      </c>
      <c r="H286" s="125" t="s">
        <v>78</v>
      </c>
    </row>
    <row r="287" spans="1:8" x14ac:dyDescent="0.2">
      <c r="A287" s="121"/>
      <c r="B287" s="199" t="s">
        <v>78</v>
      </c>
      <c r="C287" s="199"/>
      <c r="D287" s="122" t="s">
        <v>78</v>
      </c>
      <c r="E287" s="123" t="s">
        <v>78</v>
      </c>
      <c r="F287" s="123" t="s">
        <v>78</v>
      </c>
      <c r="G287" s="124" t="s">
        <v>78</v>
      </c>
      <c r="H287" s="125" t="s">
        <v>78</v>
      </c>
    </row>
    <row r="288" spans="1:8" x14ac:dyDescent="0.2">
      <c r="A288" s="121"/>
      <c r="B288" s="199" t="s">
        <v>78</v>
      </c>
      <c r="C288" s="199"/>
      <c r="D288" s="122" t="s">
        <v>78</v>
      </c>
      <c r="E288" s="123" t="s">
        <v>78</v>
      </c>
      <c r="F288" s="123" t="s">
        <v>78</v>
      </c>
      <c r="G288" s="124" t="s">
        <v>78</v>
      </c>
      <c r="H288" s="125" t="s">
        <v>78</v>
      </c>
    </row>
    <row r="289" spans="1:8" x14ac:dyDescent="0.2">
      <c r="A289" s="121"/>
      <c r="B289" s="199" t="s">
        <v>78</v>
      </c>
      <c r="C289" s="199"/>
      <c r="D289" s="122" t="s">
        <v>78</v>
      </c>
      <c r="E289" s="123" t="s">
        <v>78</v>
      </c>
      <c r="F289" s="123" t="s">
        <v>78</v>
      </c>
      <c r="G289" s="124" t="s">
        <v>78</v>
      </c>
      <c r="H289" s="125" t="s">
        <v>78</v>
      </c>
    </row>
    <row r="290" spans="1:8" x14ac:dyDescent="0.2">
      <c r="A290" s="121"/>
      <c r="B290" s="199" t="s">
        <v>78</v>
      </c>
      <c r="C290" s="199"/>
      <c r="D290" s="122" t="s">
        <v>78</v>
      </c>
      <c r="E290" s="123" t="s">
        <v>78</v>
      </c>
      <c r="F290" s="123" t="s">
        <v>78</v>
      </c>
      <c r="G290" s="124" t="s">
        <v>78</v>
      </c>
      <c r="H290" s="125" t="s">
        <v>78</v>
      </c>
    </row>
    <row r="291" spans="1:8" x14ac:dyDescent="0.2">
      <c r="A291" s="121"/>
      <c r="B291" s="199" t="s">
        <v>78</v>
      </c>
      <c r="C291" s="199"/>
      <c r="D291" s="122" t="s">
        <v>78</v>
      </c>
      <c r="E291" s="123" t="s">
        <v>78</v>
      </c>
      <c r="F291" s="123" t="s">
        <v>78</v>
      </c>
      <c r="G291" s="124" t="s">
        <v>78</v>
      </c>
      <c r="H291" s="125" t="s">
        <v>78</v>
      </c>
    </row>
    <row r="292" spans="1:8" x14ac:dyDescent="0.2">
      <c r="A292" s="121"/>
      <c r="B292" s="199" t="s">
        <v>78</v>
      </c>
      <c r="C292" s="199"/>
      <c r="D292" s="122" t="s">
        <v>78</v>
      </c>
      <c r="E292" s="123" t="s">
        <v>78</v>
      </c>
      <c r="F292" s="123" t="s">
        <v>78</v>
      </c>
      <c r="G292" s="124" t="s">
        <v>78</v>
      </c>
      <c r="H292" s="125" t="s">
        <v>78</v>
      </c>
    </row>
    <row r="293" spans="1:8" x14ac:dyDescent="0.2">
      <c r="A293" s="121"/>
      <c r="B293" s="199" t="s">
        <v>78</v>
      </c>
      <c r="C293" s="199"/>
      <c r="D293" s="122" t="s">
        <v>78</v>
      </c>
      <c r="E293" s="123" t="s">
        <v>78</v>
      </c>
      <c r="F293" s="123" t="s">
        <v>78</v>
      </c>
      <c r="G293" s="124" t="s">
        <v>78</v>
      </c>
      <c r="H293" s="125" t="s">
        <v>78</v>
      </c>
    </row>
    <row r="294" spans="1:8" x14ac:dyDescent="0.2">
      <c r="A294" s="121"/>
      <c r="B294" s="199" t="s">
        <v>78</v>
      </c>
      <c r="C294" s="199"/>
      <c r="D294" s="122" t="s">
        <v>78</v>
      </c>
      <c r="E294" s="123" t="s">
        <v>78</v>
      </c>
      <c r="F294" s="123" t="s">
        <v>78</v>
      </c>
      <c r="G294" s="124" t="s">
        <v>78</v>
      </c>
      <c r="H294" s="125" t="s">
        <v>78</v>
      </c>
    </row>
    <row r="295" spans="1:8" x14ac:dyDescent="0.2">
      <c r="A295" s="121"/>
      <c r="B295" s="199" t="s">
        <v>78</v>
      </c>
      <c r="C295" s="199"/>
      <c r="D295" s="122" t="s">
        <v>78</v>
      </c>
      <c r="E295" s="123" t="s">
        <v>78</v>
      </c>
      <c r="F295" s="123" t="s">
        <v>78</v>
      </c>
      <c r="G295" s="124" t="s">
        <v>78</v>
      </c>
      <c r="H295" s="125" t="s">
        <v>78</v>
      </c>
    </row>
    <row r="296" spans="1:8" x14ac:dyDescent="0.2">
      <c r="A296" s="121"/>
      <c r="B296" s="199" t="s">
        <v>78</v>
      </c>
      <c r="C296" s="199"/>
      <c r="D296" s="122" t="s">
        <v>78</v>
      </c>
      <c r="E296" s="123" t="s">
        <v>78</v>
      </c>
      <c r="F296" s="123" t="s">
        <v>78</v>
      </c>
      <c r="G296" s="124" t="s">
        <v>78</v>
      </c>
      <c r="H296" s="125" t="s">
        <v>78</v>
      </c>
    </row>
    <row r="297" spans="1:8" x14ac:dyDescent="0.2">
      <c r="A297" s="121"/>
      <c r="B297" s="199" t="s">
        <v>78</v>
      </c>
      <c r="C297" s="199"/>
      <c r="D297" s="122" t="s">
        <v>78</v>
      </c>
      <c r="E297" s="123" t="s">
        <v>78</v>
      </c>
      <c r="F297" s="123" t="s">
        <v>78</v>
      </c>
      <c r="G297" s="124" t="s">
        <v>78</v>
      </c>
      <c r="H297" s="125" t="s">
        <v>78</v>
      </c>
    </row>
    <row r="298" spans="1:8" x14ac:dyDescent="0.2">
      <c r="A298" s="121"/>
      <c r="B298" s="199" t="s">
        <v>78</v>
      </c>
      <c r="C298" s="199"/>
      <c r="D298" s="122" t="s">
        <v>78</v>
      </c>
      <c r="E298" s="123" t="s">
        <v>78</v>
      </c>
      <c r="F298" s="123" t="s">
        <v>78</v>
      </c>
      <c r="G298" s="124" t="s">
        <v>78</v>
      </c>
      <c r="H298" s="125" t="s">
        <v>78</v>
      </c>
    </row>
    <row r="299" spans="1:8" x14ac:dyDescent="0.2">
      <c r="A299" s="121"/>
      <c r="B299" s="199" t="s">
        <v>78</v>
      </c>
      <c r="C299" s="199"/>
      <c r="D299" s="122" t="s">
        <v>78</v>
      </c>
      <c r="E299" s="123" t="s">
        <v>78</v>
      </c>
      <c r="F299" s="123" t="s">
        <v>78</v>
      </c>
      <c r="G299" s="124" t="s">
        <v>78</v>
      </c>
      <c r="H299" s="125" t="s">
        <v>78</v>
      </c>
    </row>
    <row r="300" spans="1:8" x14ac:dyDescent="0.2">
      <c r="A300" s="121"/>
      <c r="B300" s="199" t="s">
        <v>78</v>
      </c>
      <c r="C300" s="199"/>
      <c r="D300" s="122" t="s">
        <v>78</v>
      </c>
      <c r="E300" s="123" t="s">
        <v>78</v>
      </c>
      <c r="F300" s="123" t="s">
        <v>78</v>
      </c>
      <c r="G300" s="124" t="s">
        <v>78</v>
      </c>
      <c r="H300" s="125" t="s">
        <v>78</v>
      </c>
    </row>
    <row r="301" spans="1:8" x14ac:dyDescent="0.2">
      <c r="A301" s="121"/>
      <c r="B301" s="199" t="s">
        <v>78</v>
      </c>
      <c r="C301" s="199"/>
      <c r="D301" s="122" t="s">
        <v>78</v>
      </c>
      <c r="E301" s="123" t="s">
        <v>78</v>
      </c>
      <c r="F301" s="123" t="s">
        <v>78</v>
      </c>
      <c r="G301" s="124" t="s">
        <v>78</v>
      </c>
      <c r="H301" s="125" t="s">
        <v>78</v>
      </c>
    </row>
    <row r="302" spans="1:8" x14ac:dyDescent="0.2">
      <c r="A302" s="121"/>
      <c r="B302" s="199" t="s">
        <v>78</v>
      </c>
      <c r="C302" s="199"/>
      <c r="D302" s="122" t="s">
        <v>78</v>
      </c>
      <c r="E302" s="123" t="s">
        <v>78</v>
      </c>
      <c r="F302" s="123" t="s">
        <v>78</v>
      </c>
      <c r="G302" s="124" t="s">
        <v>78</v>
      </c>
      <c r="H302" s="125" t="s">
        <v>78</v>
      </c>
    </row>
    <row r="303" spans="1:8" x14ac:dyDescent="0.2">
      <c r="A303" s="121"/>
      <c r="B303" s="199" t="s">
        <v>78</v>
      </c>
      <c r="C303" s="199"/>
      <c r="D303" s="122" t="s">
        <v>78</v>
      </c>
      <c r="E303" s="123" t="s">
        <v>78</v>
      </c>
      <c r="F303" s="123" t="s">
        <v>78</v>
      </c>
      <c r="G303" s="124" t="s">
        <v>78</v>
      </c>
      <c r="H303" s="125" t="s">
        <v>78</v>
      </c>
    </row>
    <row r="304" spans="1:8" x14ac:dyDescent="0.2">
      <c r="A304" s="121"/>
      <c r="B304" s="199" t="s">
        <v>78</v>
      </c>
      <c r="C304" s="199"/>
      <c r="D304" s="122" t="s">
        <v>78</v>
      </c>
      <c r="E304" s="123" t="s">
        <v>78</v>
      </c>
      <c r="F304" s="123" t="s">
        <v>78</v>
      </c>
      <c r="G304" s="124" t="s">
        <v>78</v>
      </c>
      <c r="H304" s="125" t="s">
        <v>78</v>
      </c>
    </row>
    <row r="305" spans="1:8" x14ac:dyDescent="0.2">
      <c r="A305" s="121"/>
      <c r="B305" s="199" t="s">
        <v>78</v>
      </c>
      <c r="C305" s="199"/>
      <c r="D305" s="122" t="s">
        <v>78</v>
      </c>
      <c r="E305" s="123" t="s">
        <v>78</v>
      </c>
      <c r="F305" s="123" t="s">
        <v>78</v>
      </c>
      <c r="G305" s="124" t="s">
        <v>78</v>
      </c>
      <c r="H305" s="125" t="s">
        <v>78</v>
      </c>
    </row>
    <row r="306" spans="1:8" x14ac:dyDescent="0.2">
      <c r="A306" s="121"/>
      <c r="B306" s="199" t="s">
        <v>78</v>
      </c>
      <c r="C306" s="199"/>
      <c r="D306" s="122" t="s">
        <v>78</v>
      </c>
      <c r="E306" s="123" t="s">
        <v>78</v>
      </c>
      <c r="F306" s="123" t="s">
        <v>78</v>
      </c>
      <c r="G306" s="124" t="s">
        <v>78</v>
      </c>
      <c r="H306" s="125" t="s">
        <v>78</v>
      </c>
    </row>
    <row r="307" spans="1:8" x14ac:dyDescent="0.2">
      <c r="A307" s="121"/>
      <c r="B307" s="199" t="s">
        <v>78</v>
      </c>
      <c r="C307" s="199"/>
      <c r="D307" s="122" t="s">
        <v>78</v>
      </c>
      <c r="E307" s="123" t="s">
        <v>78</v>
      </c>
      <c r="F307" s="123" t="s">
        <v>78</v>
      </c>
      <c r="G307" s="124" t="s">
        <v>78</v>
      </c>
      <c r="H307" s="125" t="s">
        <v>78</v>
      </c>
    </row>
    <row r="308" spans="1:8" x14ac:dyDescent="0.2">
      <c r="A308" s="121"/>
      <c r="B308" s="199" t="s">
        <v>78</v>
      </c>
      <c r="C308" s="199"/>
      <c r="D308" s="122" t="s">
        <v>78</v>
      </c>
      <c r="E308" s="123" t="s">
        <v>78</v>
      </c>
      <c r="F308" s="123" t="s">
        <v>78</v>
      </c>
      <c r="G308" s="124" t="s">
        <v>78</v>
      </c>
      <c r="H308" s="125" t="s">
        <v>78</v>
      </c>
    </row>
    <row r="309" spans="1:8" x14ac:dyDescent="0.2">
      <c r="A309" s="121"/>
      <c r="B309" s="199" t="s">
        <v>78</v>
      </c>
      <c r="C309" s="199"/>
      <c r="D309" s="122" t="s">
        <v>78</v>
      </c>
      <c r="E309" s="123" t="s">
        <v>78</v>
      </c>
      <c r="F309" s="123" t="s">
        <v>78</v>
      </c>
      <c r="G309" s="124" t="s">
        <v>78</v>
      </c>
      <c r="H309" s="125" t="s">
        <v>78</v>
      </c>
    </row>
    <row r="310" spans="1:8" x14ac:dyDescent="0.2">
      <c r="A310" s="121"/>
      <c r="B310" s="199" t="s">
        <v>78</v>
      </c>
      <c r="C310" s="199"/>
      <c r="D310" s="122" t="s">
        <v>78</v>
      </c>
      <c r="E310" s="123" t="s">
        <v>78</v>
      </c>
      <c r="F310" s="123" t="s">
        <v>78</v>
      </c>
      <c r="G310" s="124" t="s">
        <v>78</v>
      </c>
      <c r="H310" s="125" t="s">
        <v>78</v>
      </c>
    </row>
    <row r="311" spans="1:8" x14ac:dyDescent="0.2">
      <c r="A311" s="121"/>
      <c r="B311" s="199" t="s">
        <v>78</v>
      </c>
      <c r="C311" s="199"/>
      <c r="D311" s="122" t="s">
        <v>78</v>
      </c>
      <c r="E311" s="123" t="s">
        <v>78</v>
      </c>
      <c r="F311" s="123" t="s">
        <v>78</v>
      </c>
      <c r="G311" s="124" t="s">
        <v>78</v>
      </c>
      <c r="H311" s="125" t="s">
        <v>78</v>
      </c>
    </row>
    <row r="312" spans="1:8" x14ac:dyDescent="0.2">
      <c r="A312" s="121"/>
      <c r="B312" s="199" t="s">
        <v>78</v>
      </c>
      <c r="C312" s="199"/>
      <c r="D312" s="122" t="s">
        <v>78</v>
      </c>
      <c r="E312" s="123" t="s">
        <v>78</v>
      </c>
      <c r="F312" s="123" t="s">
        <v>78</v>
      </c>
      <c r="G312" s="124" t="s">
        <v>78</v>
      </c>
      <c r="H312" s="125" t="s">
        <v>78</v>
      </c>
    </row>
    <row r="313" spans="1:8" x14ac:dyDescent="0.2">
      <c r="A313" s="121"/>
      <c r="B313" s="199" t="s">
        <v>78</v>
      </c>
      <c r="C313" s="199"/>
      <c r="D313" s="122" t="s">
        <v>78</v>
      </c>
      <c r="E313" s="123" t="s">
        <v>78</v>
      </c>
      <c r="F313" s="123" t="s">
        <v>78</v>
      </c>
      <c r="G313" s="124" t="s">
        <v>78</v>
      </c>
      <c r="H313" s="125" t="s">
        <v>78</v>
      </c>
    </row>
    <row r="314" spans="1:8" x14ac:dyDescent="0.2">
      <c r="A314" s="121"/>
      <c r="B314" s="199" t="s">
        <v>78</v>
      </c>
      <c r="C314" s="199"/>
      <c r="D314" s="122" t="s">
        <v>78</v>
      </c>
      <c r="E314" s="123" t="s">
        <v>78</v>
      </c>
      <c r="F314" s="123" t="s">
        <v>78</v>
      </c>
      <c r="G314" s="124" t="s">
        <v>78</v>
      </c>
      <c r="H314" s="125" t="s">
        <v>78</v>
      </c>
    </row>
    <row r="315" spans="1:8" x14ac:dyDescent="0.2">
      <c r="A315" s="121"/>
      <c r="B315" s="199" t="s">
        <v>78</v>
      </c>
      <c r="C315" s="199"/>
      <c r="D315" s="122" t="s">
        <v>78</v>
      </c>
      <c r="E315" s="123" t="s">
        <v>78</v>
      </c>
      <c r="F315" s="123" t="s">
        <v>78</v>
      </c>
      <c r="G315" s="124" t="s">
        <v>78</v>
      </c>
      <c r="H315" s="125" t="s">
        <v>78</v>
      </c>
    </row>
    <row r="316" spans="1:8" x14ac:dyDescent="0.2">
      <c r="A316" s="121"/>
      <c r="B316" s="199" t="s">
        <v>78</v>
      </c>
      <c r="C316" s="199"/>
      <c r="D316" s="122" t="s">
        <v>78</v>
      </c>
      <c r="E316" s="123" t="s">
        <v>78</v>
      </c>
      <c r="F316" s="123" t="s">
        <v>78</v>
      </c>
      <c r="G316" s="124" t="s">
        <v>78</v>
      </c>
      <c r="H316" s="125" t="s">
        <v>78</v>
      </c>
    </row>
    <row r="317" spans="1:8" x14ac:dyDescent="0.2">
      <c r="A317" s="121"/>
      <c r="B317" s="199" t="s">
        <v>78</v>
      </c>
      <c r="C317" s="199"/>
      <c r="D317" s="122" t="s">
        <v>78</v>
      </c>
      <c r="E317" s="123" t="s">
        <v>78</v>
      </c>
      <c r="F317" s="123" t="s">
        <v>78</v>
      </c>
      <c r="G317" s="124" t="s">
        <v>78</v>
      </c>
      <c r="H317" s="125" t="s">
        <v>78</v>
      </c>
    </row>
    <row r="318" spans="1:8" x14ac:dyDescent="0.2">
      <c r="A318" s="121"/>
      <c r="B318" s="199" t="s">
        <v>78</v>
      </c>
      <c r="C318" s="199"/>
      <c r="D318" s="122" t="s">
        <v>78</v>
      </c>
      <c r="E318" s="123" t="s">
        <v>78</v>
      </c>
      <c r="F318" s="123" t="s">
        <v>78</v>
      </c>
      <c r="G318" s="124" t="s">
        <v>78</v>
      </c>
      <c r="H318" s="125" t="s">
        <v>78</v>
      </c>
    </row>
    <row r="319" spans="1:8" x14ac:dyDescent="0.2">
      <c r="A319" s="121"/>
      <c r="B319" s="199" t="s">
        <v>78</v>
      </c>
      <c r="C319" s="199"/>
      <c r="D319" s="122" t="s">
        <v>78</v>
      </c>
      <c r="E319" s="123" t="s">
        <v>78</v>
      </c>
      <c r="F319" s="123" t="s">
        <v>78</v>
      </c>
      <c r="G319" s="124" t="s">
        <v>78</v>
      </c>
      <c r="H319" s="125" t="s">
        <v>78</v>
      </c>
    </row>
    <row r="320" spans="1:8" x14ac:dyDescent="0.2">
      <c r="A320" s="121"/>
      <c r="B320" s="199" t="s">
        <v>78</v>
      </c>
      <c r="C320" s="199"/>
      <c r="D320" s="122" t="s">
        <v>78</v>
      </c>
      <c r="E320" s="123" t="s">
        <v>78</v>
      </c>
      <c r="F320" s="123" t="s">
        <v>78</v>
      </c>
      <c r="G320" s="124" t="s">
        <v>78</v>
      </c>
      <c r="H320" s="125" t="s">
        <v>78</v>
      </c>
    </row>
    <row r="321" spans="1:8" x14ac:dyDescent="0.2">
      <c r="A321" s="121"/>
      <c r="B321" s="199" t="s">
        <v>78</v>
      </c>
      <c r="C321" s="199"/>
      <c r="D321" s="122" t="s">
        <v>78</v>
      </c>
      <c r="E321" s="123" t="s">
        <v>78</v>
      </c>
      <c r="F321" s="123" t="s">
        <v>78</v>
      </c>
      <c r="G321" s="124" t="s">
        <v>78</v>
      </c>
      <c r="H321" s="125" t="s">
        <v>78</v>
      </c>
    </row>
    <row r="322" spans="1:8" x14ac:dyDescent="0.2">
      <c r="A322" s="121"/>
      <c r="B322" s="199" t="s">
        <v>78</v>
      </c>
      <c r="C322" s="199"/>
      <c r="D322" s="122" t="s">
        <v>78</v>
      </c>
      <c r="E322" s="123" t="s">
        <v>78</v>
      </c>
      <c r="F322" s="123" t="s">
        <v>78</v>
      </c>
      <c r="G322" s="124" t="s">
        <v>78</v>
      </c>
      <c r="H322" s="125" t="s">
        <v>78</v>
      </c>
    </row>
    <row r="323" spans="1:8" x14ac:dyDescent="0.2">
      <c r="A323" s="121"/>
      <c r="B323" s="199" t="s">
        <v>78</v>
      </c>
      <c r="C323" s="199"/>
      <c r="D323" s="122" t="s">
        <v>78</v>
      </c>
      <c r="E323" s="123" t="s">
        <v>78</v>
      </c>
      <c r="F323" s="123" t="s">
        <v>78</v>
      </c>
      <c r="G323" s="124" t="s">
        <v>78</v>
      </c>
      <c r="H323" s="125" t="s">
        <v>78</v>
      </c>
    </row>
    <row r="324" spans="1:8" x14ac:dyDescent="0.2">
      <c r="A324" s="121"/>
      <c r="B324" s="199" t="s">
        <v>78</v>
      </c>
      <c r="C324" s="199"/>
      <c r="D324" s="122" t="s">
        <v>78</v>
      </c>
      <c r="E324" s="123" t="s">
        <v>78</v>
      </c>
      <c r="F324" s="123" t="s">
        <v>78</v>
      </c>
      <c r="G324" s="124" t="s">
        <v>78</v>
      </c>
      <c r="H324" s="125" t="s">
        <v>78</v>
      </c>
    </row>
    <row r="325" spans="1:8" x14ac:dyDescent="0.2">
      <c r="A325" s="121"/>
      <c r="B325" s="199" t="s">
        <v>78</v>
      </c>
      <c r="C325" s="199"/>
      <c r="D325" s="122" t="s">
        <v>78</v>
      </c>
      <c r="E325" s="123" t="s">
        <v>78</v>
      </c>
      <c r="F325" s="123" t="s">
        <v>78</v>
      </c>
      <c r="G325" s="124" t="s">
        <v>78</v>
      </c>
      <c r="H325" s="125" t="s">
        <v>78</v>
      </c>
    </row>
    <row r="326" spans="1:8" x14ac:dyDescent="0.2">
      <c r="A326" s="121"/>
      <c r="B326" s="199" t="s">
        <v>78</v>
      </c>
      <c r="C326" s="199"/>
      <c r="D326" s="122" t="s">
        <v>78</v>
      </c>
      <c r="E326" s="123" t="s">
        <v>78</v>
      </c>
      <c r="F326" s="123" t="s">
        <v>78</v>
      </c>
      <c r="G326" s="124" t="s">
        <v>78</v>
      </c>
      <c r="H326" s="125" t="s">
        <v>78</v>
      </c>
    </row>
    <row r="327" spans="1:8" x14ac:dyDescent="0.2">
      <c r="A327" s="121"/>
      <c r="B327" s="199" t="s">
        <v>78</v>
      </c>
      <c r="C327" s="199"/>
      <c r="D327" s="122" t="s">
        <v>78</v>
      </c>
      <c r="E327" s="123" t="s">
        <v>78</v>
      </c>
      <c r="F327" s="123" t="s">
        <v>78</v>
      </c>
      <c r="G327" s="124" t="s">
        <v>78</v>
      </c>
      <c r="H327" s="125" t="s">
        <v>78</v>
      </c>
    </row>
    <row r="328" spans="1:8" x14ac:dyDescent="0.2">
      <c r="A328" s="121"/>
      <c r="B328" s="199" t="s">
        <v>78</v>
      </c>
      <c r="C328" s="199"/>
      <c r="D328" s="122" t="s">
        <v>78</v>
      </c>
      <c r="E328" s="123" t="s">
        <v>78</v>
      </c>
      <c r="F328" s="123" t="s">
        <v>78</v>
      </c>
      <c r="G328" s="124" t="s">
        <v>78</v>
      </c>
      <c r="H328" s="125" t="s">
        <v>78</v>
      </c>
    </row>
    <row r="329" spans="1:8" x14ac:dyDescent="0.2">
      <c r="A329" s="121"/>
      <c r="B329" s="199" t="s">
        <v>78</v>
      </c>
      <c r="C329" s="199"/>
      <c r="D329" s="122" t="s">
        <v>78</v>
      </c>
      <c r="E329" s="123" t="s">
        <v>78</v>
      </c>
      <c r="F329" s="123" t="s">
        <v>78</v>
      </c>
      <c r="G329" s="124" t="s">
        <v>78</v>
      </c>
      <c r="H329" s="125" t="s">
        <v>78</v>
      </c>
    </row>
    <row r="330" spans="1:8" x14ac:dyDescent="0.2">
      <c r="A330" s="121"/>
      <c r="B330" s="199" t="s">
        <v>78</v>
      </c>
      <c r="C330" s="199"/>
      <c r="D330" s="122" t="s">
        <v>78</v>
      </c>
      <c r="E330" s="123" t="s">
        <v>78</v>
      </c>
      <c r="F330" s="123" t="s">
        <v>78</v>
      </c>
      <c r="G330" s="124" t="s">
        <v>78</v>
      </c>
      <c r="H330" s="125" t="s">
        <v>78</v>
      </c>
    </row>
    <row r="331" spans="1:8" x14ac:dyDescent="0.2">
      <c r="A331" s="121"/>
      <c r="B331" s="199" t="s">
        <v>78</v>
      </c>
      <c r="C331" s="199"/>
      <c r="D331" s="122" t="s">
        <v>78</v>
      </c>
      <c r="E331" s="123" t="s">
        <v>78</v>
      </c>
      <c r="F331" s="123" t="s">
        <v>78</v>
      </c>
      <c r="G331" s="124" t="s">
        <v>78</v>
      </c>
      <c r="H331" s="125" t="s">
        <v>78</v>
      </c>
    </row>
    <row r="332" spans="1:8" x14ac:dyDescent="0.2">
      <c r="A332" s="121"/>
      <c r="B332" s="199" t="s">
        <v>78</v>
      </c>
      <c r="C332" s="199"/>
      <c r="D332" s="122" t="s">
        <v>78</v>
      </c>
      <c r="E332" s="123" t="s">
        <v>78</v>
      </c>
      <c r="F332" s="123" t="s">
        <v>78</v>
      </c>
      <c r="G332" s="124" t="s">
        <v>78</v>
      </c>
      <c r="H332" s="125" t="s">
        <v>78</v>
      </c>
    </row>
    <row r="333" spans="1:8" x14ac:dyDescent="0.2">
      <c r="A333" s="121"/>
      <c r="B333" s="199" t="s">
        <v>78</v>
      </c>
      <c r="C333" s="199"/>
      <c r="D333" s="122" t="s">
        <v>78</v>
      </c>
      <c r="E333" s="123" t="s">
        <v>78</v>
      </c>
      <c r="F333" s="123" t="s">
        <v>78</v>
      </c>
      <c r="G333" s="124" t="s">
        <v>78</v>
      </c>
      <c r="H333" s="125" t="s">
        <v>78</v>
      </c>
    </row>
    <row r="334" spans="1:8" x14ac:dyDescent="0.2">
      <c r="A334" s="121"/>
      <c r="B334" s="199" t="s">
        <v>78</v>
      </c>
      <c r="C334" s="199"/>
      <c r="D334" s="122" t="s">
        <v>78</v>
      </c>
      <c r="E334" s="123" t="s">
        <v>78</v>
      </c>
      <c r="F334" s="123" t="s">
        <v>78</v>
      </c>
      <c r="G334" s="124" t="s">
        <v>78</v>
      </c>
      <c r="H334" s="125" t="s">
        <v>78</v>
      </c>
    </row>
    <row r="335" spans="1:8" x14ac:dyDescent="0.2">
      <c r="A335" s="121"/>
      <c r="B335" s="199" t="s">
        <v>78</v>
      </c>
      <c r="C335" s="199"/>
      <c r="D335" s="122" t="s">
        <v>78</v>
      </c>
      <c r="E335" s="123" t="s">
        <v>78</v>
      </c>
      <c r="F335" s="123" t="s">
        <v>78</v>
      </c>
      <c r="G335" s="124" t="s">
        <v>78</v>
      </c>
      <c r="H335" s="125" t="s">
        <v>78</v>
      </c>
    </row>
    <row r="336" spans="1:8" x14ac:dyDescent="0.2">
      <c r="A336" s="121"/>
      <c r="B336" s="199" t="s">
        <v>78</v>
      </c>
      <c r="C336" s="199"/>
      <c r="D336" s="122" t="s">
        <v>78</v>
      </c>
      <c r="E336" s="123" t="s">
        <v>78</v>
      </c>
      <c r="F336" s="123" t="s">
        <v>78</v>
      </c>
      <c r="G336" s="124" t="s">
        <v>78</v>
      </c>
      <c r="H336" s="125" t="s">
        <v>78</v>
      </c>
    </row>
    <row r="337" spans="1:8" x14ac:dyDescent="0.2">
      <c r="A337" s="121"/>
      <c r="B337" s="199" t="s">
        <v>78</v>
      </c>
      <c r="C337" s="199"/>
      <c r="D337" s="122" t="s">
        <v>78</v>
      </c>
      <c r="E337" s="123" t="s">
        <v>78</v>
      </c>
      <c r="F337" s="123" t="s">
        <v>78</v>
      </c>
      <c r="G337" s="124" t="s">
        <v>78</v>
      </c>
      <c r="H337" s="125" t="s">
        <v>78</v>
      </c>
    </row>
    <row r="338" spans="1:8" x14ac:dyDescent="0.2">
      <c r="A338" s="121"/>
      <c r="B338" s="199" t="s">
        <v>78</v>
      </c>
      <c r="C338" s="199"/>
      <c r="D338" s="122" t="s">
        <v>78</v>
      </c>
      <c r="E338" s="123" t="s">
        <v>78</v>
      </c>
      <c r="F338" s="123" t="s">
        <v>78</v>
      </c>
      <c r="G338" s="124" t="s">
        <v>78</v>
      </c>
      <c r="H338" s="125" t="s">
        <v>78</v>
      </c>
    </row>
    <row r="339" spans="1:8" x14ac:dyDescent="0.2">
      <c r="A339" s="121"/>
      <c r="B339" s="199" t="s">
        <v>78</v>
      </c>
      <c r="C339" s="199"/>
      <c r="D339" s="122" t="s">
        <v>78</v>
      </c>
      <c r="E339" s="123" t="s">
        <v>78</v>
      </c>
      <c r="F339" s="123" t="s">
        <v>78</v>
      </c>
      <c r="G339" s="124" t="s">
        <v>78</v>
      </c>
      <c r="H339" s="125" t="s">
        <v>78</v>
      </c>
    </row>
    <row r="340" spans="1:8" x14ac:dyDescent="0.2">
      <c r="A340" s="121"/>
      <c r="B340" s="199" t="s">
        <v>78</v>
      </c>
      <c r="C340" s="199"/>
      <c r="D340" s="122" t="s">
        <v>78</v>
      </c>
      <c r="E340" s="123" t="s">
        <v>78</v>
      </c>
      <c r="F340" s="123" t="s">
        <v>78</v>
      </c>
      <c r="G340" s="124" t="s">
        <v>78</v>
      </c>
      <c r="H340" s="125" t="s">
        <v>78</v>
      </c>
    </row>
    <row r="341" spans="1:8" x14ac:dyDescent="0.2">
      <c r="A341" s="121"/>
      <c r="B341" s="199" t="s">
        <v>78</v>
      </c>
      <c r="C341" s="199"/>
      <c r="D341" s="122" t="s">
        <v>78</v>
      </c>
      <c r="E341" s="123" t="s">
        <v>78</v>
      </c>
      <c r="F341" s="123" t="s">
        <v>78</v>
      </c>
      <c r="G341" s="124" t="s">
        <v>78</v>
      </c>
      <c r="H341" s="125" t="s">
        <v>78</v>
      </c>
    </row>
    <row r="342" spans="1:8" x14ac:dyDescent="0.2">
      <c r="A342" s="121"/>
      <c r="B342" s="199" t="s">
        <v>78</v>
      </c>
      <c r="C342" s="199"/>
      <c r="D342" s="122" t="s">
        <v>78</v>
      </c>
      <c r="E342" s="123" t="s">
        <v>78</v>
      </c>
      <c r="F342" s="123" t="s">
        <v>78</v>
      </c>
      <c r="G342" s="124" t="s">
        <v>78</v>
      </c>
      <c r="H342" s="125" t="s">
        <v>78</v>
      </c>
    </row>
    <row r="343" spans="1:8" x14ac:dyDescent="0.2">
      <c r="A343" s="121"/>
      <c r="B343" s="199" t="s">
        <v>78</v>
      </c>
      <c r="C343" s="199"/>
      <c r="D343" s="122" t="s">
        <v>78</v>
      </c>
      <c r="E343" s="123" t="s">
        <v>78</v>
      </c>
      <c r="F343" s="123" t="s">
        <v>78</v>
      </c>
      <c r="G343" s="124" t="s">
        <v>78</v>
      </c>
      <c r="H343" s="125" t="s">
        <v>78</v>
      </c>
    </row>
    <row r="344" spans="1:8" x14ac:dyDescent="0.2">
      <c r="A344" s="121"/>
      <c r="B344" s="199" t="s">
        <v>78</v>
      </c>
      <c r="C344" s="199"/>
      <c r="D344" s="122" t="s">
        <v>78</v>
      </c>
      <c r="E344" s="123" t="s">
        <v>78</v>
      </c>
      <c r="F344" s="123" t="s">
        <v>78</v>
      </c>
      <c r="G344" s="124" t="s">
        <v>78</v>
      </c>
      <c r="H344" s="125" t="s">
        <v>78</v>
      </c>
    </row>
    <row r="345" spans="1:8" x14ac:dyDescent="0.2">
      <c r="A345" s="121"/>
      <c r="B345" s="199" t="s">
        <v>78</v>
      </c>
      <c r="C345" s="199"/>
      <c r="D345" s="122" t="s">
        <v>78</v>
      </c>
      <c r="E345" s="123" t="s">
        <v>78</v>
      </c>
      <c r="F345" s="123" t="s">
        <v>78</v>
      </c>
      <c r="G345" s="124" t="s">
        <v>78</v>
      </c>
      <c r="H345" s="125" t="s">
        <v>78</v>
      </c>
    </row>
    <row r="346" spans="1:8" x14ac:dyDescent="0.2">
      <c r="A346" s="121"/>
      <c r="B346" s="199" t="s">
        <v>78</v>
      </c>
      <c r="C346" s="199"/>
      <c r="D346" s="122" t="s">
        <v>78</v>
      </c>
      <c r="E346" s="123" t="s">
        <v>78</v>
      </c>
      <c r="F346" s="123" t="s">
        <v>78</v>
      </c>
      <c r="G346" s="124" t="s">
        <v>78</v>
      </c>
      <c r="H346" s="125" t="s">
        <v>78</v>
      </c>
    </row>
    <row r="347" spans="1:8" x14ac:dyDescent="0.2">
      <c r="A347" s="121"/>
      <c r="B347" s="199" t="s">
        <v>78</v>
      </c>
      <c r="C347" s="199"/>
      <c r="D347" s="122" t="s">
        <v>78</v>
      </c>
      <c r="E347" s="123" t="s">
        <v>78</v>
      </c>
      <c r="F347" s="123" t="s">
        <v>78</v>
      </c>
      <c r="G347" s="124" t="s">
        <v>78</v>
      </c>
      <c r="H347" s="125" t="s">
        <v>78</v>
      </c>
    </row>
    <row r="348" spans="1:8" x14ac:dyDescent="0.2">
      <c r="A348" s="121"/>
      <c r="B348" s="199" t="s">
        <v>78</v>
      </c>
      <c r="C348" s="199"/>
      <c r="D348" s="122" t="s">
        <v>78</v>
      </c>
      <c r="E348" s="123" t="s">
        <v>78</v>
      </c>
      <c r="F348" s="123" t="s">
        <v>78</v>
      </c>
      <c r="G348" s="124" t="s">
        <v>78</v>
      </c>
      <c r="H348" s="125" t="s">
        <v>78</v>
      </c>
    </row>
    <row r="349" spans="1:8" x14ac:dyDescent="0.2">
      <c r="A349" s="121"/>
      <c r="B349" s="199" t="s">
        <v>78</v>
      </c>
      <c r="C349" s="199"/>
      <c r="D349" s="122" t="s">
        <v>78</v>
      </c>
      <c r="E349" s="123" t="s">
        <v>78</v>
      </c>
      <c r="F349" s="123" t="s">
        <v>78</v>
      </c>
      <c r="G349" s="124" t="s">
        <v>78</v>
      </c>
      <c r="H349" s="125" t="s">
        <v>78</v>
      </c>
    </row>
    <row r="350" spans="1:8" x14ac:dyDescent="0.2">
      <c r="A350" s="121"/>
      <c r="B350" s="199" t="s">
        <v>78</v>
      </c>
      <c r="C350" s="199"/>
      <c r="D350" s="122" t="s">
        <v>78</v>
      </c>
      <c r="E350" s="123" t="s">
        <v>78</v>
      </c>
      <c r="F350" s="123" t="s">
        <v>78</v>
      </c>
      <c r="G350" s="124" t="s">
        <v>78</v>
      </c>
      <c r="H350" s="125" t="s">
        <v>78</v>
      </c>
    </row>
    <row r="351" spans="1:8" x14ac:dyDescent="0.2">
      <c r="A351" s="121"/>
      <c r="B351" s="199" t="s">
        <v>78</v>
      </c>
      <c r="C351" s="199"/>
      <c r="D351" s="122" t="s">
        <v>78</v>
      </c>
      <c r="E351" s="123" t="s">
        <v>78</v>
      </c>
      <c r="F351" s="123" t="s">
        <v>78</v>
      </c>
      <c r="G351" s="124" t="s">
        <v>78</v>
      </c>
      <c r="H351" s="125" t="s">
        <v>78</v>
      </c>
    </row>
    <row r="352" spans="1:8" x14ac:dyDescent="0.2">
      <c r="A352" s="121"/>
      <c r="B352" s="199" t="s">
        <v>78</v>
      </c>
      <c r="C352" s="199"/>
      <c r="D352" s="122" t="s">
        <v>78</v>
      </c>
      <c r="E352" s="123" t="s">
        <v>78</v>
      </c>
      <c r="F352" s="123" t="s">
        <v>78</v>
      </c>
      <c r="G352" s="124" t="s">
        <v>78</v>
      </c>
      <c r="H352" s="125" t="s">
        <v>78</v>
      </c>
    </row>
    <row r="353" spans="1:8" x14ac:dyDescent="0.2">
      <c r="A353" s="121"/>
      <c r="B353" s="199" t="s">
        <v>78</v>
      </c>
      <c r="C353" s="199"/>
      <c r="D353" s="122" t="s">
        <v>78</v>
      </c>
      <c r="E353" s="123" t="s">
        <v>78</v>
      </c>
      <c r="F353" s="123" t="s">
        <v>78</v>
      </c>
      <c r="G353" s="124" t="s">
        <v>78</v>
      </c>
      <c r="H353" s="125" t="s">
        <v>78</v>
      </c>
    </row>
    <row r="354" spans="1:8" x14ac:dyDescent="0.2">
      <c r="A354" s="121"/>
      <c r="B354" s="199" t="s">
        <v>78</v>
      </c>
      <c r="C354" s="199"/>
      <c r="D354" s="122" t="s">
        <v>78</v>
      </c>
      <c r="E354" s="123" t="s">
        <v>78</v>
      </c>
      <c r="F354" s="123" t="s">
        <v>78</v>
      </c>
      <c r="G354" s="124" t="s">
        <v>78</v>
      </c>
      <c r="H354" s="125" t="s">
        <v>78</v>
      </c>
    </row>
    <row r="355" spans="1:8" x14ac:dyDescent="0.2">
      <c r="A355" s="121"/>
      <c r="B355" s="199" t="s">
        <v>78</v>
      </c>
      <c r="C355" s="199"/>
      <c r="D355" s="122" t="s">
        <v>78</v>
      </c>
      <c r="E355" s="123" t="s">
        <v>78</v>
      </c>
      <c r="F355" s="123" t="s">
        <v>78</v>
      </c>
      <c r="G355" s="124" t="s">
        <v>78</v>
      </c>
      <c r="H355" s="125" t="s">
        <v>78</v>
      </c>
    </row>
    <row r="356" spans="1:8" x14ac:dyDescent="0.2">
      <c r="A356" s="121"/>
      <c r="B356" s="199" t="s">
        <v>78</v>
      </c>
      <c r="C356" s="199"/>
      <c r="D356" s="122" t="s">
        <v>78</v>
      </c>
      <c r="E356" s="123" t="s">
        <v>78</v>
      </c>
      <c r="F356" s="123" t="s">
        <v>78</v>
      </c>
      <c r="G356" s="124" t="s">
        <v>78</v>
      </c>
      <c r="H356" s="125" t="s">
        <v>78</v>
      </c>
    </row>
    <row r="357" spans="1:8" x14ac:dyDescent="0.2">
      <c r="A357" s="121"/>
      <c r="B357" s="199" t="s">
        <v>78</v>
      </c>
      <c r="C357" s="199"/>
      <c r="D357" s="122" t="s">
        <v>78</v>
      </c>
      <c r="E357" s="123" t="s">
        <v>78</v>
      </c>
      <c r="F357" s="123" t="s">
        <v>78</v>
      </c>
      <c r="G357" s="124" t="s">
        <v>78</v>
      </c>
      <c r="H357" s="125" t="s">
        <v>78</v>
      </c>
    </row>
    <row r="358" spans="1:8" x14ac:dyDescent="0.2">
      <c r="A358" s="121"/>
      <c r="B358" s="199" t="s">
        <v>78</v>
      </c>
      <c r="C358" s="199"/>
      <c r="D358" s="122" t="s">
        <v>78</v>
      </c>
      <c r="E358" s="123" t="s">
        <v>78</v>
      </c>
      <c r="F358" s="123" t="s">
        <v>78</v>
      </c>
      <c r="G358" s="124" t="s">
        <v>78</v>
      </c>
      <c r="H358" s="125" t="s">
        <v>78</v>
      </c>
    </row>
    <row r="359" spans="1:8" x14ac:dyDescent="0.2">
      <c r="A359" s="121"/>
      <c r="B359" s="199" t="s">
        <v>78</v>
      </c>
      <c r="C359" s="199"/>
      <c r="D359" s="122" t="s">
        <v>78</v>
      </c>
      <c r="E359" s="123" t="s">
        <v>78</v>
      </c>
      <c r="F359" s="123" t="s">
        <v>78</v>
      </c>
      <c r="G359" s="124" t="s">
        <v>78</v>
      </c>
      <c r="H359" s="125" t="s">
        <v>78</v>
      </c>
    </row>
    <row r="360" spans="1:8" x14ac:dyDescent="0.2">
      <c r="A360" s="121"/>
      <c r="B360" s="199" t="s">
        <v>78</v>
      </c>
      <c r="C360" s="199"/>
      <c r="D360" s="122" t="s">
        <v>78</v>
      </c>
      <c r="E360" s="123" t="s">
        <v>78</v>
      </c>
      <c r="F360" s="123" t="s">
        <v>78</v>
      </c>
      <c r="G360" s="124" t="s">
        <v>78</v>
      </c>
      <c r="H360" s="125" t="s">
        <v>78</v>
      </c>
    </row>
    <row r="361" spans="1:8" x14ac:dyDescent="0.2">
      <c r="A361" s="121"/>
      <c r="B361" s="199" t="s">
        <v>78</v>
      </c>
      <c r="C361" s="199"/>
      <c r="D361" s="122" t="s">
        <v>78</v>
      </c>
      <c r="E361" s="123" t="s">
        <v>78</v>
      </c>
      <c r="F361" s="123" t="s">
        <v>78</v>
      </c>
      <c r="G361" s="124" t="s">
        <v>78</v>
      </c>
      <c r="H361" s="125" t="s">
        <v>78</v>
      </c>
    </row>
    <row r="362" spans="1:8" x14ac:dyDescent="0.2">
      <c r="A362" s="121"/>
      <c r="B362" s="199" t="s">
        <v>78</v>
      </c>
      <c r="C362" s="199"/>
      <c r="D362" s="122" t="s">
        <v>78</v>
      </c>
      <c r="E362" s="123" t="s">
        <v>78</v>
      </c>
      <c r="F362" s="123" t="s">
        <v>78</v>
      </c>
      <c r="G362" s="124" t="s">
        <v>78</v>
      </c>
      <c r="H362" s="125" t="s">
        <v>78</v>
      </c>
    </row>
    <row r="363" spans="1:8" x14ac:dyDescent="0.2">
      <c r="A363" s="121"/>
      <c r="B363" s="199" t="s">
        <v>78</v>
      </c>
      <c r="C363" s="199"/>
      <c r="D363" s="122" t="s">
        <v>78</v>
      </c>
      <c r="E363" s="123" t="s">
        <v>78</v>
      </c>
      <c r="F363" s="123" t="s">
        <v>78</v>
      </c>
      <c r="G363" s="124" t="s">
        <v>78</v>
      </c>
      <c r="H363" s="125" t="s">
        <v>78</v>
      </c>
    </row>
    <row r="364" spans="1:8" x14ac:dyDescent="0.2">
      <c r="A364" s="121"/>
      <c r="B364" s="199" t="s">
        <v>78</v>
      </c>
      <c r="C364" s="199"/>
      <c r="D364" s="122" t="s">
        <v>78</v>
      </c>
      <c r="E364" s="123" t="s">
        <v>78</v>
      </c>
      <c r="F364" s="123" t="s">
        <v>78</v>
      </c>
      <c r="G364" s="124" t="s">
        <v>78</v>
      </c>
      <c r="H364" s="125" t="s">
        <v>78</v>
      </c>
    </row>
    <row r="365" spans="1:8" x14ac:dyDescent="0.2">
      <c r="A365" s="121"/>
      <c r="B365" s="199" t="s">
        <v>78</v>
      </c>
      <c r="C365" s="199"/>
      <c r="D365" s="122" t="s">
        <v>78</v>
      </c>
      <c r="E365" s="123" t="s">
        <v>78</v>
      </c>
      <c r="F365" s="123" t="s">
        <v>78</v>
      </c>
      <c r="G365" s="124" t="s">
        <v>78</v>
      </c>
      <c r="H365" s="125" t="s">
        <v>78</v>
      </c>
    </row>
    <row r="366" spans="1:8" x14ac:dyDescent="0.2">
      <c r="A366" s="121"/>
      <c r="B366" s="199" t="s">
        <v>78</v>
      </c>
      <c r="C366" s="199"/>
      <c r="D366" s="122" t="s">
        <v>78</v>
      </c>
      <c r="E366" s="123" t="s">
        <v>78</v>
      </c>
      <c r="F366" s="123" t="s">
        <v>78</v>
      </c>
      <c r="G366" s="124" t="s">
        <v>78</v>
      </c>
      <c r="H366" s="125" t="s">
        <v>78</v>
      </c>
    </row>
    <row r="367" spans="1:8" x14ac:dyDescent="0.2">
      <c r="A367" s="121"/>
      <c r="B367" s="199" t="s">
        <v>78</v>
      </c>
      <c r="C367" s="199"/>
      <c r="D367" s="122" t="s">
        <v>78</v>
      </c>
      <c r="E367" s="123" t="s">
        <v>78</v>
      </c>
      <c r="F367" s="123" t="s">
        <v>78</v>
      </c>
      <c r="G367" s="124" t="s">
        <v>78</v>
      </c>
      <c r="H367" s="125" t="s">
        <v>78</v>
      </c>
    </row>
    <row r="368" spans="1:8" x14ac:dyDescent="0.2">
      <c r="A368" s="121"/>
      <c r="B368" s="199" t="s">
        <v>78</v>
      </c>
      <c r="C368" s="199"/>
      <c r="D368" s="122" t="s">
        <v>78</v>
      </c>
      <c r="E368" s="123" t="s">
        <v>78</v>
      </c>
      <c r="F368" s="123" t="s">
        <v>78</v>
      </c>
      <c r="G368" s="124" t="s">
        <v>78</v>
      </c>
      <c r="H368" s="125" t="s">
        <v>78</v>
      </c>
    </row>
    <row r="369" spans="1:8" x14ac:dyDescent="0.2">
      <c r="A369" s="121"/>
      <c r="B369" s="199" t="s">
        <v>78</v>
      </c>
      <c r="C369" s="199"/>
      <c r="D369" s="122" t="s">
        <v>78</v>
      </c>
      <c r="E369" s="123" t="s">
        <v>78</v>
      </c>
      <c r="F369" s="123" t="s">
        <v>78</v>
      </c>
      <c r="G369" s="124" t="s">
        <v>78</v>
      </c>
      <c r="H369" s="125" t="s">
        <v>78</v>
      </c>
    </row>
    <row r="370" spans="1:8" x14ac:dyDescent="0.2">
      <c r="A370" s="121"/>
      <c r="B370" s="199" t="s">
        <v>78</v>
      </c>
      <c r="C370" s="199"/>
      <c r="D370" s="122" t="s">
        <v>78</v>
      </c>
      <c r="E370" s="123" t="s">
        <v>78</v>
      </c>
      <c r="F370" s="123" t="s">
        <v>78</v>
      </c>
      <c r="G370" s="124" t="s">
        <v>78</v>
      </c>
      <c r="H370" s="125" t="s">
        <v>78</v>
      </c>
    </row>
    <row r="371" spans="1:8" x14ac:dyDescent="0.2">
      <c r="A371" s="121"/>
      <c r="B371" s="199" t="s">
        <v>78</v>
      </c>
      <c r="C371" s="199"/>
      <c r="D371" s="122" t="s">
        <v>78</v>
      </c>
      <c r="E371" s="123" t="s">
        <v>78</v>
      </c>
      <c r="F371" s="123" t="s">
        <v>78</v>
      </c>
      <c r="G371" s="124" t="s">
        <v>78</v>
      </c>
      <c r="H371" s="125" t="s">
        <v>78</v>
      </c>
    </row>
    <row r="372" spans="1:8" x14ac:dyDescent="0.2">
      <c r="A372" s="121"/>
      <c r="B372" s="199" t="s">
        <v>78</v>
      </c>
      <c r="C372" s="199"/>
      <c r="D372" s="122" t="s">
        <v>78</v>
      </c>
      <c r="E372" s="123" t="s">
        <v>78</v>
      </c>
      <c r="F372" s="123" t="s">
        <v>78</v>
      </c>
      <c r="G372" s="124" t="s">
        <v>78</v>
      </c>
      <c r="H372" s="125" t="s">
        <v>78</v>
      </c>
    </row>
    <row r="373" spans="1:8" x14ac:dyDescent="0.2">
      <c r="A373" s="121"/>
      <c r="B373" s="199" t="s">
        <v>78</v>
      </c>
      <c r="C373" s="199"/>
      <c r="D373" s="122" t="s">
        <v>78</v>
      </c>
      <c r="E373" s="123" t="s">
        <v>78</v>
      </c>
      <c r="F373" s="123" t="s">
        <v>78</v>
      </c>
      <c r="G373" s="124" t="s">
        <v>78</v>
      </c>
      <c r="H373" s="125" t="s">
        <v>78</v>
      </c>
    </row>
    <row r="374" spans="1:8" x14ac:dyDescent="0.2">
      <c r="A374" s="121"/>
      <c r="B374" s="199" t="s">
        <v>78</v>
      </c>
      <c r="C374" s="199"/>
      <c r="D374" s="122" t="s">
        <v>78</v>
      </c>
      <c r="E374" s="123" t="s">
        <v>78</v>
      </c>
      <c r="F374" s="123" t="s">
        <v>78</v>
      </c>
      <c r="G374" s="124" t="s">
        <v>78</v>
      </c>
      <c r="H374" s="125" t="s">
        <v>78</v>
      </c>
    </row>
    <row r="375" spans="1:8" x14ac:dyDescent="0.2">
      <c r="A375" s="121"/>
      <c r="B375" s="199" t="s">
        <v>78</v>
      </c>
      <c r="C375" s="199"/>
      <c r="D375" s="122" t="s">
        <v>78</v>
      </c>
      <c r="E375" s="123" t="s">
        <v>78</v>
      </c>
      <c r="F375" s="123" t="s">
        <v>78</v>
      </c>
      <c r="G375" s="124" t="s">
        <v>78</v>
      </c>
      <c r="H375" s="125" t="s">
        <v>78</v>
      </c>
    </row>
    <row r="376" spans="1:8" x14ac:dyDescent="0.2">
      <c r="A376" s="121"/>
      <c r="B376" s="199" t="s">
        <v>78</v>
      </c>
      <c r="C376" s="199"/>
      <c r="D376" s="122" t="s">
        <v>78</v>
      </c>
      <c r="E376" s="123" t="s">
        <v>78</v>
      </c>
      <c r="F376" s="123" t="s">
        <v>78</v>
      </c>
      <c r="G376" s="124" t="s">
        <v>78</v>
      </c>
      <c r="H376" s="125" t="s">
        <v>78</v>
      </c>
    </row>
    <row r="377" spans="1:8" x14ac:dyDescent="0.2">
      <c r="A377" s="121"/>
      <c r="B377" s="199" t="s">
        <v>78</v>
      </c>
      <c r="C377" s="199"/>
      <c r="D377" s="122" t="s">
        <v>78</v>
      </c>
      <c r="E377" s="123" t="s">
        <v>78</v>
      </c>
      <c r="F377" s="123" t="s">
        <v>78</v>
      </c>
      <c r="G377" s="124" t="s">
        <v>78</v>
      </c>
      <c r="H377" s="125" t="s">
        <v>78</v>
      </c>
    </row>
    <row r="378" spans="1:8" x14ac:dyDescent="0.2">
      <c r="A378" s="121"/>
      <c r="B378" s="199" t="s">
        <v>78</v>
      </c>
      <c r="C378" s="199"/>
      <c r="D378" s="122" t="s">
        <v>78</v>
      </c>
      <c r="E378" s="123" t="s">
        <v>78</v>
      </c>
      <c r="F378" s="123" t="s">
        <v>78</v>
      </c>
      <c r="G378" s="124" t="s">
        <v>78</v>
      </c>
      <c r="H378" s="125" t="s">
        <v>78</v>
      </c>
    </row>
    <row r="379" spans="1:8" x14ac:dyDescent="0.2">
      <c r="A379" s="121"/>
      <c r="B379" s="199" t="s">
        <v>78</v>
      </c>
      <c r="C379" s="199"/>
      <c r="D379" s="122" t="s">
        <v>78</v>
      </c>
      <c r="E379" s="123" t="s">
        <v>78</v>
      </c>
      <c r="F379" s="123" t="s">
        <v>78</v>
      </c>
      <c r="G379" s="124" t="s">
        <v>78</v>
      </c>
      <c r="H379" s="125" t="s">
        <v>78</v>
      </c>
    </row>
    <row r="380" spans="1:8" x14ac:dyDescent="0.2">
      <c r="A380" s="121"/>
      <c r="B380" s="199" t="s">
        <v>78</v>
      </c>
      <c r="C380" s="199"/>
      <c r="D380" s="122" t="s">
        <v>78</v>
      </c>
      <c r="E380" s="123" t="s">
        <v>78</v>
      </c>
      <c r="F380" s="123" t="s">
        <v>78</v>
      </c>
      <c r="G380" s="124" t="s">
        <v>78</v>
      </c>
      <c r="H380" s="125" t="s">
        <v>78</v>
      </c>
    </row>
    <row r="381" spans="1:8" x14ac:dyDescent="0.2">
      <c r="A381" s="121"/>
      <c r="B381" s="199" t="s">
        <v>78</v>
      </c>
      <c r="C381" s="199"/>
      <c r="D381" s="122" t="s">
        <v>78</v>
      </c>
      <c r="E381" s="123" t="s">
        <v>78</v>
      </c>
      <c r="F381" s="123" t="s">
        <v>78</v>
      </c>
      <c r="G381" s="124" t="s">
        <v>78</v>
      </c>
      <c r="H381" s="125" t="s">
        <v>78</v>
      </c>
    </row>
    <row r="382" spans="1:8" x14ac:dyDescent="0.2">
      <c r="A382" s="121"/>
      <c r="B382" s="199" t="s">
        <v>78</v>
      </c>
      <c r="C382" s="199"/>
      <c r="D382" s="122" t="s">
        <v>78</v>
      </c>
      <c r="E382" s="123" t="s">
        <v>78</v>
      </c>
      <c r="F382" s="123" t="s">
        <v>78</v>
      </c>
      <c r="G382" s="124" t="s">
        <v>78</v>
      </c>
      <c r="H382" s="125" t="s">
        <v>78</v>
      </c>
    </row>
    <row r="383" spans="1:8" x14ac:dyDescent="0.2">
      <c r="A383" s="121"/>
      <c r="B383" s="199" t="s">
        <v>78</v>
      </c>
      <c r="C383" s="199"/>
      <c r="D383" s="122" t="s">
        <v>78</v>
      </c>
      <c r="E383" s="123" t="s">
        <v>78</v>
      </c>
      <c r="F383" s="123" t="s">
        <v>78</v>
      </c>
      <c r="G383" s="124" t="s">
        <v>78</v>
      </c>
      <c r="H383" s="125" t="s">
        <v>78</v>
      </c>
    </row>
    <row r="384" spans="1:8" x14ac:dyDescent="0.2">
      <c r="A384" s="121"/>
      <c r="B384" s="199" t="s">
        <v>78</v>
      </c>
      <c r="C384" s="199"/>
      <c r="D384" s="122" t="s">
        <v>78</v>
      </c>
      <c r="E384" s="123" t="s">
        <v>78</v>
      </c>
      <c r="F384" s="123" t="s">
        <v>78</v>
      </c>
      <c r="G384" s="124" t="s">
        <v>78</v>
      </c>
      <c r="H384" s="125" t="s">
        <v>78</v>
      </c>
    </row>
    <row r="385" spans="1:8" x14ac:dyDescent="0.2">
      <c r="A385" s="121"/>
      <c r="B385" s="199" t="s">
        <v>78</v>
      </c>
      <c r="C385" s="199"/>
      <c r="D385" s="122" t="s">
        <v>78</v>
      </c>
      <c r="E385" s="123" t="s">
        <v>78</v>
      </c>
      <c r="F385" s="123" t="s">
        <v>78</v>
      </c>
      <c r="G385" s="124" t="s">
        <v>78</v>
      </c>
      <c r="H385" s="125" t="s">
        <v>78</v>
      </c>
    </row>
    <row r="386" spans="1:8" x14ac:dyDescent="0.2">
      <c r="A386" s="121"/>
      <c r="B386" s="199" t="s">
        <v>78</v>
      </c>
      <c r="C386" s="199"/>
      <c r="D386" s="122" t="s">
        <v>78</v>
      </c>
      <c r="E386" s="123" t="s">
        <v>78</v>
      </c>
      <c r="F386" s="123" t="s">
        <v>78</v>
      </c>
      <c r="G386" s="124" t="s">
        <v>78</v>
      </c>
      <c r="H386" s="125" t="s">
        <v>78</v>
      </c>
    </row>
    <row r="387" spans="1:8" x14ac:dyDescent="0.2">
      <c r="A387" s="121"/>
      <c r="B387" s="199" t="s">
        <v>78</v>
      </c>
      <c r="C387" s="199"/>
      <c r="D387" s="122" t="s">
        <v>78</v>
      </c>
      <c r="E387" s="123" t="s">
        <v>78</v>
      </c>
      <c r="F387" s="123" t="s">
        <v>78</v>
      </c>
      <c r="G387" s="124" t="s">
        <v>78</v>
      </c>
      <c r="H387" s="125" t="s">
        <v>78</v>
      </c>
    </row>
    <row r="388" spans="1:8" x14ac:dyDescent="0.2">
      <c r="A388" s="121"/>
      <c r="B388" s="199" t="s">
        <v>78</v>
      </c>
      <c r="C388" s="199"/>
      <c r="D388" s="122" t="s">
        <v>78</v>
      </c>
      <c r="E388" s="123" t="s">
        <v>78</v>
      </c>
      <c r="F388" s="123" t="s">
        <v>78</v>
      </c>
      <c r="G388" s="124" t="s">
        <v>78</v>
      </c>
      <c r="H388" s="125" t="s">
        <v>78</v>
      </c>
    </row>
    <row r="389" spans="1:8" x14ac:dyDescent="0.2">
      <c r="A389" s="121"/>
      <c r="B389" s="199" t="s">
        <v>78</v>
      </c>
      <c r="C389" s="199"/>
      <c r="D389" s="122" t="s">
        <v>78</v>
      </c>
      <c r="E389" s="123" t="s">
        <v>78</v>
      </c>
      <c r="F389" s="123" t="s">
        <v>78</v>
      </c>
      <c r="G389" s="124" t="s">
        <v>78</v>
      </c>
      <c r="H389" s="125" t="s">
        <v>78</v>
      </c>
    </row>
    <row r="390" spans="1:8" x14ac:dyDescent="0.2">
      <c r="A390" s="121"/>
      <c r="B390" s="199" t="s">
        <v>78</v>
      </c>
      <c r="C390" s="199"/>
      <c r="D390" s="122" t="s">
        <v>78</v>
      </c>
      <c r="E390" s="123" t="s">
        <v>78</v>
      </c>
      <c r="F390" s="123" t="s">
        <v>78</v>
      </c>
      <c r="G390" s="124" t="s">
        <v>78</v>
      </c>
      <c r="H390" s="125" t="s">
        <v>78</v>
      </c>
    </row>
    <row r="391" spans="1:8" x14ac:dyDescent="0.2">
      <c r="A391" s="121"/>
      <c r="B391" s="199" t="s">
        <v>78</v>
      </c>
      <c r="C391" s="199"/>
      <c r="D391" s="122" t="s">
        <v>78</v>
      </c>
      <c r="E391" s="123" t="s">
        <v>78</v>
      </c>
      <c r="F391" s="123" t="s">
        <v>78</v>
      </c>
      <c r="G391" s="124" t="s">
        <v>78</v>
      </c>
      <c r="H391" s="125" t="s">
        <v>78</v>
      </c>
    </row>
    <row r="392" spans="1:8" x14ac:dyDescent="0.2">
      <c r="A392" s="121"/>
      <c r="B392" s="199" t="s">
        <v>78</v>
      </c>
      <c r="C392" s="199"/>
      <c r="D392" s="122" t="s">
        <v>78</v>
      </c>
      <c r="E392" s="123" t="s">
        <v>78</v>
      </c>
      <c r="F392" s="123" t="s">
        <v>78</v>
      </c>
      <c r="G392" s="124" t="s">
        <v>78</v>
      </c>
      <c r="H392" s="125" t="s">
        <v>78</v>
      </c>
    </row>
    <row r="393" spans="1:8" x14ac:dyDescent="0.2">
      <c r="A393" s="121"/>
      <c r="B393" s="199" t="s">
        <v>78</v>
      </c>
      <c r="C393" s="199"/>
      <c r="D393" s="122" t="s">
        <v>78</v>
      </c>
      <c r="E393" s="123" t="s">
        <v>78</v>
      </c>
      <c r="F393" s="123" t="s">
        <v>78</v>
      </c>
      <c r="G393" s="124" t="s">
        <v>78</v>
      </c>
      <c r="H393" s="125" t="s">
        <v>78</v>
      </c>
    </row>
    <row r="394" spans="1:8" x14ac:dyDescent="0.2">
      <c r="A394" s="121"/>
      <c r="B394" s="199" t="s">
        <v>78</v>
      </c>
      <c r="C394" s="199"/>
      <c r="D394" s="122" t="s">
        <v>78</v>
      </c>
      <c r="E394" s="123" t="s">
        <v>78</v>
      </c>
      <c r="F394" s="123" t="s">
        <v>78</v>
      </c>
      <c r="G394" s="124" t="s">
        <v>78</v>
      </c>
      <c r="H394" s="125" t="s">
        <v>78</v>
      </c>
    </row>
    <row r="395" spans="1:8" x14ac:dyDescent="0.2">
      <c r="A395" s="121"/>
      <c r="B395" s="199" t="s">
        <v>78</v>
      </c>
      <c r="C395" s="199"/>
      <c r="D395" s="122" t="s">
        <v>78</v>
      </c>
      <c r="E395" s="123" t="s">
        <v>78</v>
      </c>
      <c r="F395" s="123" t="s">
        <v>78</v>
      </c>
      <c r="G395" s="124" t="s">
        <v>78</v>
      </c>
      <c r="H395" s="125" t="s">
        <v>78</v>
      </c>
    </row>
    <row r="396" spans="1:8" x14ac:dyDescent="0.2">
      <c r="A396" s="121"/>
      <c r="B396" s="199" t="s">
        <v>78</v>
      </c>
      <c r="C396" s="199"/>
      <c r="D396" s="122" t="s">
        <v>78</v>
      </c>
      <c r="E396" s="123" t="s">
        <v>78</v>
      </c>
      <c r="F396" s="123" t="s">
        <v>78</v>
      </c>
      <c r="G396" s="124" t="s">
        <v>78</v>
      </c>
      <c r="H396" s="125" t="s">
        <v>78</v>
      </c>
    </row>
    <row r="397" spans="1:8" x14ac:dyDescent="0.2">
      <c r="A397" s="121"/>
      <c r="B397" s="199" t="s">
        <v>78</v>
      </c>
      <c r="C397" s="199"/>
      <c r="D397" s="122" t="s">
        <v>78</v>
      </c>
      <c r="E397" s="123" t="s">
        <v>78</v>
      </c>
      <c r="F397" s="123" t="s">
        <v>78</v>
      </c>
      <c r="G397" s="124" t="s">
        <v>78</v>
      </c>
      <c r="H397" s="125" t="s">
        <v>78</v>
      </c>
    </row>
    <row r="398" spans="1:8" x14ac:dyDescent="0.2">
      <c r="A398" s="121"/>
      <c r="B398" s="199" t="s">
        <v>78</v>
      </c>
      <c r="C398" s="199"/>
      <c r="D398" s="122" t="s">
        <v>78</v>
      </c>
      <c r="E398" s="123" t="s">
        <v>78</v>
      </c>
      <c r="F398" s="123" t="s">
        <v>78</v>
      </c>
      <c r="G398" s="124" t="s">
        <v>78</v>
      </c>
      <c r="H398" s="125" t="s">
        <v>78</v>
      </c>
    </row>
    <row r="399" spans="1:8" x14ac:dyDescent="0.2">
      <c r="A399" s="121"/>
      <c r="B399" s="199" t="s">
        <v>78</v>
      </c>
      <c r="C399" s="199"/>
      <c r="D399" s="122" t="s">
        <v>78</v>
      </c>
      <c r="E399" s="123" t="s">
        <v>78</v>
      </c>
      <c r="F399" s="123" t="s">
        <v>78</v>
      </c>
      <c r="G399" s="124" t="s">
        <v>78</v>
      </c>
      <c r="H399" s="125" t="s">
        <v>78</v>
      </c>
    </row>
    <row r="400" spans="1:8" x14ac:dyDescent="0.2">
      <c r="A400" s="121"/>
      <c r="B400" s="199" t="s">
        <v>78</v>
      </c>
      <c r="C400" s="199"/>
      <c r="D400" s="122" t="s">
        <v>78</v>
      </c>
      <c r="E400" s="123" t="s">
        <v>78</v>
      </c>
      <c r="F400" s="123" t="s">
        <v>78</v>
      </c>
      <c r="G400" s="124" t="s">
        <v>78</v>
      </c>
      <c r="H400" s="125" t="s">
        <v>78</v>
      </c>
    </row>
    <row r="401" spans="1:8" x14ac:dyDescent="0.2">
      <c r="A401" s="121"/>
      <c r="B401" s="199" t="s">
        <v>78</v>
      </c>
      <c r="C401" s="199"/>
      <c r="D401" s="122" t="s">
        <v>78</v>
      </c>
      <c r="E401" s="123" t="s">
        <v>78</v>
      </c>
      <c r="F401" s="123" t="s">
        <v>78</v>
      </c>
      <c r="G401" s="124" t="s">
        <v>78</v>
      </c>
      <c r="H401" s="125" t="s">
        <v>78</v>
      </c>
    </row>
    <row r="402" spans="1:8" x14ac:dyDescent="0.2">
      <c r="A402" s="121"/>
      <c r="B402" s="199" t="s">
        <v>78</v>
      </c>
      <c r="C402" s="199"/>
      <c r="D402" s="122" t="s">
        <v>78</v>
      </c>
      <c r="E402" s="123" t="s">
        <v>78</v>
      </c>
      <c r="F402" s="123" t="s">
        <v>78</v>
      </c>
      <c r="G402" s="124" t="s">
        <v>78</v>
      </c>
      <c r="H402" s="125" t="s">
        <v>78</v>
      </c>
    </row>
    <row r="403" spans="1:8" x14ac:dyDescent="0.2">
      <c r="A403" s="121"/>
      <c r="B403" s="199" t="s">
        <v>78</v>
      </c>
      <c r="C403" s="199"/>
      <c r="D403" s="122" t="s">
        <v>78</v>
      </c>
      <c r="E403" s="123" t="s">
        <v>78</v>
      </c>
      <c r="F403" s="123" t="s">
        <v>78</v>
      </c>
      <c r="G403" s="124" t="s">
        <v>78</v>
      </c>
      <c r="H403" s="125" t="s">
        <v>78</v>
      </c>
    </row>
    <row r="404" spans="1:8" x14ac:dyDescent="0.2">
      <c r="A404" s="121"/>
      <c r="B404" s="199" t="s">
        <v>78</v>
      </c>
      <c r="C404" s="199"/>
      <c r="D404" s="122" t="s">
        <v>78</v>
      </c>
      <c r="E404" s="123" t="s">
        <v>78</v>
      </c>
      <c r="F404" s="123" t="s">
        <v>78</v>
      </c>
      <c r="G404" s="124" t="s">
        <v>78</v>
      </c>
      <c r="H404" s="125" t="s">
        <v>78</v>
      </c>
    </row>
    <row r="405" spans="1:8" x14ac:dyDescent="0.2">
      <c r="A405" s="121"/>
      <c r="B405" s="199" t="s">
        <v>78</v>
      </c>
      <c r="C405" s="199"/>
      <c r="D405" s="122" t="s">
        <v>78</v>
      </c>
      <c r="E405" s="123" t="s">
        <v>78</v>
      </c>
      <c r="F405" s="123" t="s">
        <v>78</v>
      </c>
      <c r="G405" s="124" t="s">
        <v>78</v>
      </c>
      <c r="H405" s="125" t="s">
        <v>78</v>
      </c>
    </row>
    <row r="406" spans="1:8" x14ac:dyDescent="0.2">
      <c r="A406" s="121"/>
      <c r="B406" s="199" t="s">
        <v>78</v>
      </c>
      <c r="C406" s="199"/>
      <c r="D406" s="122" t="s">
        <v>78</v>
      </c>
      <c r="E406" s="123" t="s">
        <v>78</v>
      </c>
      <c r="F406" s="123" t="s">
        <v>78</v>
      </c>
      <c r="G406" s="124" t="s">
        <v>78</v>
      </c>
      <c r="H406" s="125" t="s">
        <v>78</v>
      </c>
    </row>
    <row r="407" spans="1:8" x14ac:dyDescent="0.2">
      <c r="A407" s="121"/>
      <c r="B407" s="199" t="s">
        <v>78</v>
      </c>
      <c r="C407" s="199"/>
      <c r="D407" s="122" t="s">
        <v>78</v>
      </c>
      <c r="E407" s="123" t="s">
        <v>78</v>
      </c>
      <c r="F407" s="123" t="s">
        <v>78</v>
      </c>
      <c r="G407" s="124" t="s">
        <v>78</v>
      </c>
      <c r="H407" s="125" t="s">
        <v>78</v>
      </c>
    </row>
    <row r="408" spans="1:8" x14ac:dyDescent="0.2">
      <c r="A408" s="121"/>
      <c r="B408" s="199" t="s">
        <v>78</v>
      </c>
      <c r="C408" s="199"/>
      <c r="D408" s="122" t="s">
        <v>78</v>
      </c>
      <c r="E408" s="123" t="s">
        <v>78</v>
      </c>
      <c r="F408" s="123" t="s">
        <v>78</v>
      </c>
      <c r="G408" s="124" t="s">
        <v>78</v>
      </c>
      <c r="H408" s="125" t="s">
        <v>78</v>
      </c>
    </row>
    <row r="409" spans="1:8" x14ac:dyDescent="0.2">
      <c r="A409" s="121"/>
      <c r="B409" s="199" t="s">
        <v>78</v>
      </c>
      <c r="C409" s="199"/>
      <c r="D409" s="122" t="s">
        <v>78</v>
      </c>
      <c r="E409" s="123" t="s">
        <v>78</v>
      </c>
      <c r="F409" s="123" t="s">
        <v>78</v>
      </c>
      <c r="G409" s="124" t="s">
        <v>78</v>
      </c>
      <c r="H409" s="125" t="s">
        <v>78</v>
      </c>
    </row>
    <row r="410" spans="1:8" x14ac:dyDescent="0.2">
      <c r="A410" s="121"/>
      <c r="B410" s="199" t="s">
        <v>78</v>
      </c>
      <c r="C410" s="199"/>
      <c r="D410" s="122" t="s">
        <v>78</v>
      </c>
      <c r="E410" s="123" t="s">
        <v>78</v>
      </c>
      <c r="F410" s="123" t="s">
        <v>78</v>
      </c>
      <c r="G410" s="124" t="s">
        <v>78</v>
      </c>
      <c r="H410" s="125" t="s">
        <v>78</v>
      </c>
    </row>
    <row r="411" spans="1:8" x14ac:dyDescent="0.2">
      <c r="A411" s="121"/>
      <c r="B411" s="199" t="s">
        <v>78</v>
      </c>
      <c r="C411" s="199"/>
      <c r="D411" s="122" t="s">
        <v>78</v>
      </c>
      <c r="E411" s="123" t="s">
        <v>78</v>
      </c>
      <c r="F411" s="123" t="s">
        <v>78</v>
      </c>
      <c r="G411" s="124" t="s">
        <v>78</v>
      </c>
      <c r="H411" s="125" t="s">
        <v>78</v>
      </c>
    </row>
    <row r="412" spans="1:8" x14ac:dyDescent="0.2">
      <c r="A412" s="121"/>
      <c r="B412" s="199" t="s">
        <v>78</v>
      </c>
      <c r="C412" s="199"/>
      <c r="D412" s="122" t="s">
        <v>78</v>
      </c>
      <c r="E412" s="123" t="s">
        <v>78</v>
      </c>
      <c r="F412" s="123" t="s">
        <v>78</v>
      </c>
      <c r="G412" s="124" t="s">
        <v>78</v>
      </c>
      <c r="H412" s="125" t="s">
        <v>78</v>
      </c>
    </row>
    <row r="413" spans="1:8" x14ac:dyDescent="0.2">
      <c r="A413" s="121"/>
      <c r="B413" s="199" t="s">
        <v>78</v>
      </c>
      <c r="C413" s="199"/>
      <c r="D413" s="122" t="s">
        <v>78</v>
      </c>
      <c r="E413" s="123" t="s">
        <v>78</v>
      </c>
      <c r="F413" s="123" t="s">
        <v>78</v>
      </c>
      <c r="G413" s="124" t="s">
        <v>78</v>
      </c>
      <c r="H413" s="125" t="s">
        <v>78</v>
      </c>
    </row>
    <row r="414" spans="1:8" x14ac:dyDescent="0.2">
      <c r="A414" s="121"/>
      <c r="B414" s="199" t="s">
        <v>78</v>
      </c>
      <c r="C414" s="199"/>
      <c r="D414" s="122" t="s">
        <v>78</v>
      </c>
      <c r="E414" s="123" t="s">
        <v>78</v>
      </c>
      <c r="F414" s="123" t="s">
        <v>78</v>
      </c>
      <c r="G414" s="124" t="s">
        <v>78</v>
      </c>
      <c r="H414" s="125" t="s">
        <v>78</v>
      </c>
    </row>
    <row r="415" spans="1:8" x14ac:dyDescent="0.2">
      <c r="A415" s="121"/>
      <c r="B415" s="199" t="s">
        <v>78</v>
      </c>
      <c r="C415" s="199"/>
      <c r="D415" s="122" t="s">
        <v>78</v>
      </c>
      <c r="E415" s="123" t="s">
        <v>78</v>
      </c>
      <c r="F415" s="123" t="s">
        <v>78</v>
      </c>
      <c r="G415" s="124" t="s">
        <v>78</v>
      </c>
      <c r="H415" s="125" t="s">
        <v>78</v>
      </c>
    </row>
    <row r="416" spans="1:8" x14ac:dyDescent="0.2">
      <c r="A416" s="121"/>
      <c r="B416" s="199" t="s">
        <v>78</v>
      </c>
      <c r="C416" s="199"/>
      <c r="D416" s="122" t="s">
        <v>78</v>
      </c>
      <c r="E416" s="123" t="s">
        <v>78</v>
      </c>
      <c r="F416" s="123" t="s">
        <v>78</v>
      </c>
      <c r="G416" s="124" t="s">
        <v>78</v>
      </c>
      <c r="H416" s="125" t="s">
        <v>78</v>
      </c>
    </row>
    <row r="417" spans="1:8" x14ac:dyDescent="0.2">
      <c r="A417" s="121"/>
      <c r="B417" s="199" t="s">
        <v>78</v>
      </c>
      <c r="C417" s="199"/>
      <c r="D417" s="122" t="s">
        <v>78</v>
      </c>
      <c r="E417" s="123" t="s">
        <v>78</v>
      </c>
      <c r="F417" s="123" t="s">
        <v>78</v>
      </c>
      <c r="G417" s="124" t="s">
        <v>78</v>
      </c>
      <c r="H417" s="125" t="s">
        <v>78</v>
      </c>
    </row>
    <row r="418" spans="1:8" x14ac:dyDescent="0.2">
      <c r="A418" s="121"/>
      <c r="B418" s="199" t="s">
        <v>78</v>
      </c>
      <c r="C418" s="199"/>
      <c r="D418" s="122" t="s">
        <v>78</v>
      </c>
      <c r="E418" s="123" t="s">
        <v>78</v>
      </c>
      <c r="F418" s="123" t="s">
        <v>78</v>
      </c>
      <c r="G418" s="124" t="s">
        <v>78</v>
      </c>
      <c r="H418" s="125" t="s">
        <v>78</v>
      </c>
    </row>
    <row r="419" spans="1:8" x14ac:dyDescent="0.2">
      <c r="A419" s="121"/>
      <c r="B419" s="199" t="s">
        <v>78</v>
      </c>
      <c r="C419" s="199"/>
      <c r="D419" s="122" t="s">
        <v>78</v>
      </c>
      <c r="E419" s="123" t="s">
        <v>78</v>
      </c>
      <c r="F419" s="123" t="s">
        <v>78</v>
      </c>
      <c r="G419" s="124" t="s">
        <v>78</v>
      </c>
      <c r="H419" s="125" t="s">
        <v>78</v>
      </c>
    </row>
    <row r="420" spans="1:8" x14ac:dyDescent="0.2">
      <c r="A420" s="121"/>
      <c r="B420" s="199" t="s">
        <v>78</v>
      </c>
      <c r="C420" s="199"/>
      <c r="D420" s="122" t="s">
        <v>78</v>
      </c>
      <c r="E420" s="123" t="s">
        <v>78</v>
      </c>
      <c r="F420" s="123" t="s">
        <v>78</v>
      </c>
      <c r="G420" s="124" t="s">
        <v>78</v>
      </c>
      <c r="H420" s="125" t="s">
        <v>78</v>
      </c>
    </row>
    <row r="421" spans="1:8" x14ac:dyDescent="0.2">
      <c r="A421" s="121"/>
      <c r="B421" s="199" t="s">
        <v>78</v>
      </c>
      <c r="C421" s="199"/>
      <c r="D421" s="122" t="s">
        <v>78</v>
      </c>
      <c r="E421" s="123" t="s">
        <v>78</v>
      </c>
      <c r="F421" s="123" t="s">
        <v>78</v>
      </c>
      <c r="G421" s="124" t="s">
        <v>78</v>
      </c>
      <c r="H421" s="125" t="s">
        <v>78</v>
      </c>
    </row>
    <row r="422" spans="1:8" x14ac:dyDescent="0.2">
      <c r="A422" s="121"/>
      <c r="B422" s="199" t="s">
        <v>78</v>
      </c>
      <c r="C422" s="199"/>
      <c r="D422" s="122" t="s">
        <v>78</v>
      </c>
      <c r="E422" s="123" t="s">
        <v>78</v>
      </c>
      <c r="F422" s="123" t="s">
        <v>78</v>
      </c>
      <c r="G422" s="124" t="s">
        <v>78</v>
      </c>
      <c r="H422" s="125" t="s">
        <v>78</v>
      </c>
    </row>
    <row r="423" spans="1:8" x14ac:dyDescent="0.2">
      <c r="A423" s="121"/>
      <c r="B423" s="199" t="s">
        <v>78</v>
      </c>
      <c r="C423" s="199"/>
      <c r="D423" s="122" t="s">
        <v>78</v>
      </c>
      <c r="E423" s="123" t="s">
        <v>78</v>
      </c>
      <c r="F423" s="123" t="s">
        <v>78</v>
      </c>
      <c r="G423" s="124" t="s">
        <v>78</v>
      </c>
      <c r="H423" s="125" t="s">
        <v>78</v>
      </c>
    </row>
    <row r="424" spans="1:8" x14ac:dyDescent="0.2">
      <c r="A424" s="121"/>
      <c r="B424" s="199" t="s">
        <v>78</v>
      </c>
      <c r="C424" s="199"/>
      <c r="D424" s="122" t="s">
        <v>78</v>
      </c>
      <c r="E424" s="123" t="s">
        <v>78</v>
      </c>
      <c r="F424" s="123" t="s">
        <v>78</v>
      </c>
      <c r="G424" s="124" t="s">
        <v>78</v>
      </c>
      <c r="H424" s="125" t="s">
        <v>78</v>
      </c>
    </row>
    <row r="425" spans="1:8" x14ac:dyDescent="0.2">
      <c r="A425" s="121"/>
      <c r="B425" s="199" t="s">
        <v>78</v>
      </c>
      <c r="C425" s="199"/>
      <c r="D425" s="122" t="s">
        <v>78</v>
      </c>
      <c r="E425" s="123" t="s">
        <v>78</v>
      </c>
      <c r="F425" s="123" t="s">
        <v>78</v>
      </c>
      <c r="G425" s="124" t="s">
        <v>78</v>
      </c>
      <c r="H425" s="125" t="s">
        <v>78</v>
      </c>
    </row>
    <row r="426" spans="1:8" x14ac:dyDescent="0.2">
      <c r="A426" s="121"/>
      <c r="B426" s="199" t="s">
        <v>78</v>
      </c>
      <c r="C426" s="199"/>
      <c r="D426" s="122" t="s">
        <v>78</v>
      </c>
      <c r="E426" s="123" t="s">
        <v>78</v>
      </c>
      <c r="F426" s="123" t="s">
        <v>78</v>
      </c>
      <c r="G426" s="124" t="s">
        <v>78</v>
      </c>
      <c r="H426" s="125" t="s">
        <v>78</v>
      </c>
    </row>
    <row r="427" spans="1:8" x14ac:dyDescent="0.2">
      <c r="A427" s="121"/>
      <c r="B427" s="199" t="s">
        <v>78</v>
      </c>
      <c r="C427" s="199"/>
      <c r="D427" s="122" t="s">
        <v>78</v>
      </c>
      <c r="E427" s="123" t="s">
        <v>78</v>
      </c>
      <c r="F427" s="123" t="s">
        <v>78</v>
      </c>
      <c r="G427" s="124" t="s">
        <v>78</v>
      </c>
      <c r="H427" s="125" t="s">
        <v>78</v>
      </c>
    </row>
    <row r="428" spans="1:8" x14ac:dyDescent="0.2">
      <c r="A428" s="121"/>
      <c r="B428" s="199" t="s">
        <v>78</v>
      </c>
      <c r="C428" s="199"/>
      <c r="D428" s="122" t="s">
        <v>78</v>
      </c>
      <c r="E428" s="123" t="s">
        <v>78</v>
      </c>
      <c r="F428" s="123" t="s">
        <v>78</v>
      </c>
      <c r="G428" s="124" t="s">
        <v>78</v>
      </c>
      <c r="H428" s="125" t="s">
        <v>78</v>
      </c>
    </row>
    <row r="429" spans="1:8" x14ac:dyDescent="0.2">
      <c r="A429" s="121"/>
      <c r="B429" s="199" t="s">
        <v>78</v>
      </c>
      <c r="C429" s="199"/>
      <c r="D429" s="122" t="s">
        <v>78</v>
      </c>
      <c r="E429" s="123" t="s">
        <v>78</v>
      </c>
      <c r="F429" s="123" t="s">
        <v>78</v>
      </c>
      <c r="G429" s="124" t="s">
        <v>78</v>
      </c>
      <c r="H429" s="125" t="s">
        <v>78</v>
      </c>
    </row>
    <row r="430" spans="1:8" x14ac:dyDescent="0.2">
      <c r="A430" s="121"/>
      <c r="B430" s="199" t="s">
        <v>78</v>
      </c>
      <c r="C430" s="199"/>
      <c r="D430" s="122" t="s">
        <v>78</v>
      </c>
      <c r="E430" s="123" t="s">
        <v>78</v>
      </c>
      <c r="F430" s="123" t="s">
        <v>78</v>
      </c>
      <c r="G430" s="124" t="s">
        <v>78</v>
      </c>
      <c r="H430" s="125" t="s">
        <v>78</v>
      </c>
    </row>
    <row r="431" spans="1:8" x14ac:dyDescent="0.2">
      <c r="A431" s="121"/>
      <c r="B431" s="199" t="s">
        <v>78</v>
      </c>
      <c r="C431" s="199"/>
      <c r="D431" s="122" t="s">
        <v>78</v>
      </c>
      <c r="E431" s="123" t="s">
        <v>78</v>
      </c>
      <c r="F431" s="123" t="s">
        <v>78</v>
      </c>
      <c r="G431" s="124" t="s">
        <v>78</v>
      </c>
      <c r="H431" s="125" t="s">
        <v>78</v>
      </c>
    </row>
    <row r="432" spans="1:8" x14ac:dyDescent="0.2">
      <c r="A432" s="121"/>
      <c r="B432" s="199" t="s">
        <v>78</v>
      </c>
      <c r="C432" s="199"/>
      <c r="D432" s="122" t="s">
        <v>78</v>
      </c>
      <c r="E432" s="123" t="s">
        <v>78</v>
      </c>
      <c r="F432" s="123" t="s">
        <v>78</v>
      </c>
      <c r="G432" s="124" t="s">
        <v>78</v>
      </c>
      <c r="H432" s="125" t="s">
        <v>78</v>
      </c>
    </row>
    <row r="433" spans="1:8" x14ac:dyDescent="0.2">
      <c r="A433" s="121"/>
      <c r="B433" s="199" t="s">
        <v>78</v>
      </c>
      <c r="C433" s="199"/>
      <c r="D433" s="122" t="s">
        <v>78</v>
      </c>
      <c r="E433" s="123" t="s">
        <v>78</v>
      </c>
      <c r="F433" s="123" t="s">
        <v>78</v>
      </c>
      <c r="G433" s="124" t="s">
        <v>78</v>
      </c>
      <c r="H433" s="125" t="s">
        <v>78</v>
      </c>
    </row>
    <row r="434" spans="1:8" x14ac:dyDescent="0.2">
      <c r="A434" s="121"/>
      <c r="B434" s="199" t="s">
        <v>78</v>
      </c>
      <c r="C434" s="199"/>
      <c r="D434" s="122" t="s">
        <v>78</v>
      </c>
      <c r="E434" s="123" t="s">
        <v>78</v>
      </c>
      <c r="F434" s="123" t="s">
        <v>78</v>
      </c>
      <c r="G434" s="124" t="s">
        <v>78</v>
      </c>
      <c r="H434" s="125" t="s">
        <v>78</v>
      </c>
    </row>
    <row r="435" spans="1:8" x14ac:dyDescent="0.2">
      <c r="A435" s="121"/>
      <c r="B435" s="199" t="s">
        <v>78</v>
      </c>
      <c r="C435" s="199"/>
      <c r="D435" s="122" t="s">
        <v>78</v>
      </c>
      <c r="E435" s="123" t="s">
        <v>78</v>
      </c>
      <c r="F435" s="123" t="s">
        <v>78</v>
      </c>
      <c r="G435" s="124" t="s">
        <v>78</v>
      </c>
      <c r="H435" s="125" t="s">
        <v>78</v>
      </c>
    </row>
    <row r="436" spans="1:8" x14ac:dyDescent="0.2">
      <c r="A436" s="121"/>
      <c r="B436" s="199" t="s">
        <v>78</v>
      </c>
      <c r="C436" s="199"/>
      <c r="D436" s="122" t="s">
        <v>78</v>
      </c>
      <c r="E436" s="123" t="s">
        <v>78</v>
      </c>
      <c r="F436" s="123" t="s">
        <v>78</v>
      </c>
      <c r="G436" s="124" t="s">
        <v>78</v>
      </c>
      <c r="H436" s="125" t="s">
        <v>78</v>
      </c>
    </row>
    <row r="437" spans="1:8" x14ac:dyDescent="0.2">
      <c r="A437" s="121"/>
      <c r="B437" s="199" t="s">
        <v>78</v>
      </c>
      <c r="C437" s="199"/>
      <c r="D437" s="122" t="s">
        <v>78</v>
      </c>
      <c r="E437" s="123" t="s">
        <v>78</v>
      </c>
      <c r="F437" s="123" t="s">
        <v>78</v>
      </c>
      <c r="G437" s="124" t="s">
        <v>78</v>
      </c>
      <c r="H437" s="125" t="s">
        <v>78</v>
      </c>
    </row>
    <row r="438" spans="1:8" x14ac:dyDescent="0.2">
      <c r="A438" s="121"/>
      <c r="B438" s="199" t="s">
        <v>78</v>
      </c>
      <c r="C438" s="199"/>
      <c r="D438" s="122" t="s">
        <v>78</v>
      </c>
      <c r="E438" s="123" t="s">
        <v>78</v>
      </c>
      <c r="F438" s="123" t="s">
        <v>78</v>
      </c>
      <c r="G438" s="124" t="s">
        <v>78</v>
      </c>
      <c r="H438" s="125" t="s">
        <v>78</v>
      </c>
    </row>
    <row r="439" spans="1:8" x14ac:dyDescent="0.2">
      <c r="A439" s="121"/>
      <c r="B439" s="199" t="s">
        <v>78</v>
      </c>
      <c r="C439" s="199"/>
      <c r="D439" s="122" t="s">
        <v>78</v>
      </c>
      <c r="E439" s="123" t="s">
        <v>78</v>
      </c>
      <c r="F439" s="123" t="s">
        <v>78</v>
      </c>
      <c r="G439" s="124" t="s">
        <v>78</v>
      </c>
      <c r="H439" s="125" t="s">
        <v>78</v>
      </c>
    </row>
    <row r="440" spans="1:8" x14ac:dyDescent="0.2">
      <c r="A440" s="121"/>
      <c r="B440" s="199" t="s">
        <v>78</v>
      </c>
      <c r="C440" s="199"/>
      <c r="D440" s="122" t="s">
        <v>78</v>
      </c>
      <c r="E440" s="123" t="s">
        <v>78</v>
      </c>
      <c r="F440" s="123" t="s">
        <v>78</v>
      </c>
      <c r="G440" s="124" t="s">
        <v>78</v>
      </c>
      <c r="H440" s="125" t="s">
        <v>78</v>
      </c>
    </row>
    <row r="441" spans="1:8" x14ac:dyDescent="0.2">
      <c r="A441" s="121"/>
      <c r="B441" s="199" t="s">
        <v>78</v>
      </c>
      <c r="C441" s="199"/>
      <c r="D441" s="122" t="s">
        <v>78</v>
      </c>
      <c r="E441" s="123" t="s">
        <v>78</v>
      </c>
      <c r="F441" s="123" t="s">
        <v>78</v>
      </c>
      <c r="G441" s="124" t="s">
        <v>78</v>
      </c>
      <c r="H441" s="125" t="s">
        <v>78</v>
      </c>
    </row>
    <row r="442" spans="1:8" x14ac:dyDescent="0.2">
      <c r="A442" s="121"/>
      <c r="B442" s="199" t="s">
        <v>78</v>
      </c>
      <c r="C442" s="199"/>
      <c r="D442" s="122" t="s">
        <v>78</v>
      </c>
      <c r="E442" s="123" t="s">
        <v>78</v>
      </c>
      <c r="F442" s="123" t="s">
        <v>78</v>
      </c>
      <c r="G442" s="124" t="s">
        <v>78</v>
      </c>
      <c r="H442" s="125" t="s">
        <v>78</v>
      </c>
    </row>
    <row r="443" spans="1:8" x14ac:dyDescent="0.2">
      <c r="A443" s="121"/>
      <c r="B443" s="199" t="s">
        <v>78</v>
      </c>
      <c r="C443" s="199"/>
      <c r="D443" s="122" t="s">
        <v>78</v>
      </c>
      <c r="E443" s="123" t="s">
        <v>78</v>
      </c>
      <c r="F443" s="123" t="s">
        <v>78</v>
      </c>
      <c r="G443" s="124" t="s">
        <v>78</v>
      </c>
      <c r="H443" s="125" t="s">
        <v>78</v>
      </c>
    </row>
    <row r="444" spans="1:8" x14ac:dyDescent="0.2">
      <c r="A444" s="121"/>
      <c r="B444" s="199" t="s">
        <v>78</v>
      </c>
      <c r="C444" s="199"/>
      <c r="D444" s="122" t="s">
        <v>78</v>
      </c>
      <c r="E444" s="123" t="s">
        <v>78</v>
      </c>
      <c r="F444" s="123" t="s">
        <v>78</v>
      </c>
      <c r="G444" s="124" t="s">
        <v>78</v>
      </c>
      <c r="H444" s="125" t="s">
        <v>78</v>
      </c>
    </row>
    <row r="445" spans="1:8" x14ac:dyDescent="0.2">
      <c r="A445" s="121"/>
      <c r="B445" s="199" t="s">
        <v>78</v>
      </c>
      <c r="C445" s="199"/>
      <c r="D445" s="122" t="s">
        <v>78</v>
      </c>
      <c r="E445" s="123" t="s">
        <v>78</v>
      </c>
      <c r="F445" s="123" t="s">
        <v>78</v>
      </c>
      <c r="G445" s="124" t="s">
        <v>78</v>
      </c>
      <c r="H445" s="125" t="s">
        <v>78</v>
      </c>
    </row>
    <row r="446" spans="1:8" x14ac:dyDescent="0.2">
      <c r="A446" s="121"/>
      <c r="B446" s="199" t="s">
        <v>78</v>
      </c>
      <c r="C446" s="199"/>
      <c r="D446" s="122" t="s">
        <v>78</v>
      </c>
      <c r="E446" s="123" t="s">
        <v>78</v>
      </c>
      <c r="F446" s="123" t="s">
        <v>78</v>
      </c>
      <c r="G446" s="124" t="s">
        <v>78</v>
      </c>
      <c r="H446" s="125" t="s">
        <v>78</v>
      </c>
    </row>
    <row r="447" spans="1:8" x14ac:dyDescent="0.2">
      <c r="A447" s="121"/>
      <c r="B447" s="199" t="s">
        <v>78</v>
      </c>
      <c r="C447" s="199"/>
      <c r="D447" s="122" t="s">
        <v>78</v>
      </c>
      <c r="E447" s="123" t="s">
        <v>78</v>
      </c>
      <c r="F447" s="123" t="s">
        <v>78</v>
      </c>
      <c r="G447" s="124" t="s">
        <v>78</v>
      </c>
      <c r="H447" s="125" t="s">
        <v>78</v>
      </c>
    </row>
    <row r="448" spans="1:8" x14ac:dyDescent="0.2">
      <c r="A448" s="121"/>
      <c r="B448" s="199" t="s">
        <v>78</v>
      </c>
      <c r="C448" s="199"/>
      <c r="D448" s="122" t="s">
        <v>78</v>
      </c>
      <c r="E448" s="123" t="s">
        <v>78</v>
      </c>
      <c r="F448" s="123" t="s">
        <v>78</v>
      </c>
      <c r="G448" s="124" t="s">
        <v>78</v>
      </c>
      <c r="H448" s="125" t="s">
        <v>78</v>
      </c>
    </row>
    <row r="449" spans="1:8" x14ac:dyDescent="0.2">
      <c r="A449" s="121"/>
      <c r="B449" s="199" t="s">
        <v>78</v>
      </c>
      <c r="C449" s="199"/>
      <c r="D449" s="122" t="s">
        <v>78</v>
      </c>
      <c r="E449" s="123" t="s">
        <v>78</v>
      </c>
      <c r="F449" s="123" t="s">
        <v>78</v>
      </c>
      <c r="G449" s="124" t="s">
        <v>78</v>
      </c>
      <c r="H449" s="125" t="s">
        <v>78</v>
      </c>
    </row>
    <row r="450" spans="1:8" x14ac:dyDescent="0.2">
      <c r="A450" s="121"/>
      <c r="B450" s="199" t="s">
        <v>78</v>
      </c>
      <c r="C450" s="199"/>
      <c r="D450" s="122" t="s">
        <v>78</v>
      </c>
      <c r="E450" s="123" t="s">
        <v>78</v>
      </c>
      <c r="F450" s="123" t="s">
        <v>78</v>
      </c>
      <c r="G450" s="124" t="s">
        <v>78</v>
      </c>
      <c r="H450" s="125" t="s">
        <v>78</v>
      </c>
    </row>
    <row r="451" spans="1:8" x14ac:dyDescent="0.2">
      <c r="A451" s="121"/>
      <c r="B451" s="199" t="s">
        <v>78</v>
      </c>
      <c r="C451" s="199"/>
      <c r="D451" s="122" t="s">
        <v>78</v>
      </c>
      <c r="E451" s="123" t="s">
        <v>78</v>
      </c>
      <c r="F451" s="123" t="s">
        <v>78</v>
      </c>
      <c r="G451" s="124" t="s">
        <v>78</v>
      </c>
      <c r="H451" s="125" t="s">
        <v>78</v>
      </c>
    </row>
    <row r="452" spans="1:8" x14ac:dyDescent="0.2">
      <c r="A452" s="121"/>
      <c r="B452" s="199" t="s">
        <v>78</v>
      </c>
      <c r="C452" s="199"/>
      <c r="D452" s="122" t="s">
        <v>78</v>
      </c>
      <c r="E452" s="123" t="s">
        <v>78</v>
      </c>
      <c r="F452" s="123" t="s">
        <v>78</v>
      </c>
      <c r="G452" s="124" t="s">
        <v>78</v>
      </c>
      <c r="H452" s="125" t="s">
        <v>78</v>
      </c>
    </row>
    <row r="453" spans="1:8" x14ac:dyDescent="0.2">
      <c r="A453" s="121"/>
      <c r="B453" s="199" t="s">
        <v>78</v>
      </c>
      <c r="C453" s="199"/>
      <c r="D453" s="122" t="s">
        <v>78</v>
      </c>
      <c r="E453" s="123" t="s">
        <v>78</v>
      </c>
      <c r="F453" s="123" t="s">
        <v>78</v>
      </c>
      <c r="G453" s="124" t="s">
        <v>78</v>
      </c>
      <c r="H453" s="125" t="s">
        <v>78</v>
      </c>
    </row>
    <row r="454" spans="1:8" x14ac:dyDescent="0.2">
      <c r="A454" s="121"/>
      <c r="B454" s="199" t="s">
        <v>78</v>
      </c>
      <c r="C454" s="199"/>
      <c r="D454" s="122" t="s">
        <v>78</v>
      </c>
      <c r="E454" s="123" t="s">
        <v>78</v>
      </c>
      <c r="F454" s="123" t="s">
        <v>78</v>
      </c>
      <c r="G454" s="124" t="s">
        <v>78</v>
      </c>
      <c r="H454" s="125" t="s">
        <v>78</v>
      </c>
    </row>
    <row r="455" spans="1:8" x14ac:dyDescent="0.2">
      <c r="A455" s="121"/>
      <c r="B455" s="199" t="s">
        <v>78</v>
      </c>
      <c r="C455" s="199"/>
      <c r="D455" s="122" t="s">
        <v>78</v>
      </c>
      <c r="E455" s="123" t="s">
        <v>78</v>
      </c>
      <c r="F455" s="123" t="s">
        <v>78</v>
      </c>
      <c r="G455" s="124" t="s">
        <v>78</v>
      </c>
      <c r="H455" s="125" t="s">
        <v>78</v>
      </c>
    </row>
    <row r="456" spans="1:8" x14ac:dyDescent="0.2">
      <c r="A456" s="121"/>
      <c r="B456" s="199" t="s">
        <v>78</v>
      </c>
      <c r="C456" s="199"/>
      <c r="D456" s="122" t="s">
        <v>78</v>
      </c>
      <c r="E456" s="123" t="s">
        <v>78</v>
      </c>
      <c r="F456" s="123" t="s">
        <v>78</v>
      </c>
      <c r="G456" s="124" t="s">
        <v>78</v>
      </c>
      <c r="H456" s="125" t="s">
        <v>78</v>
      </c>
    </row>
    <row r="457" spans="1:8" x14ac:dyDescent="0.2">
      <c r="A457" s="121"/>
      <c r="B457" s="199" t="s">
        <v>78</v>
      </c>
      <c r="C457" s="199"/>
      <c r="D457" s="122" t="s">
        <v>78</v>
      </c>
      <c r="E457" s="123" t="s">
        <v>78</v>
      </c>
      <c r="F457" s="123" t="s">
        <v>78</v>
      </c>
      <c r="G457" s="124" t="s">
        <v>78</v>
      </c>
      <c r="H457" s="125" t="s">
        <v>78</v>
      </c>
    </row>
    <row r="458" spans="1:8" x14ac:dyDescent="0.2">
      <c r="A458" s="121"/>
      <c r="B458" s="199" t="s">
        <v>78</v>
      </c>
      <c r="C458" s="199"/>
      <c r="D458" s="122" t="s">
        <v>78</v>
      </c>
      <c r="E458" s="123" t="s">
        <v>78</v>
      </c>
      <c r="F458" s="123" t="s">
        <v>78</v>
      </c>
      <c r="G458" s="124" t="s">
        <v>78</v>
      </c>
      <c r="H458" s="125" t="s">
        <v>78</v>
      </c>
    </row>
    <row r="459" spans="1:8" x14ac:dyDescent="0.2">
      <c r="A459" s="121"/>
      <c r="B459" s="199" t="s">
        <v>78</v>
      </c>
      <c r="C459" s="199"/>
      <c r="D459" s="122" t="s">
        <v>78</v>
      </c>
      <c r="E459" s="123" t="s">
        <v>78</v>
      </c>
      <c r="F459" s="123" t="s">
        <v>78</v>
      </c>
      <c r="G459" s="124" t="s">
        <v>78</v>
      </c>
      <c r="H459" s="125" t="s">
        <v>78</v>
      </c>
    </row>
    <row r="460" spans="1:8" x14ac:dyDescent="0.2">
      <c r="A460" s="121"/>
      <c r="B460" s="199" t="s">
        <v>78</v>
      </c>
      <c r="C460" s="199"/>
      <c r="D460" s="122" t="s">
        <v>78</v>
      </c>
      <c r="E460" s="123" t="s">
        <v>78</v>
      </c>
      <c r="F460" s="123" t="s">
        <v>78</v>
      </c>
      <c r="G460" s="124" t="s">
        <v>78</v>
      </c>
      <c r="H460" s="125" t="s">
        <v>78</v>
      </c>
    </row>
    <row r="461" spans="1:8" x14ac:dyDescent="0.2">
      <c r="A461" s="121"/>
      <c r="B461" s="199" t="s">
        <v>78</v>
      </c>
      <c r="C461" s="199"/>
      <c r="D461" s="122" t="s">
        <v>78</v>
      </c>
      <c r="E461" s="123" t="s">
        <v>78</v>
      </c>
      <c r="F461" s="123" t="s">
        <v>78</v>
      </c>
      <c r="G461" s="124" t="s">
        <v>78</v>
      </c>
      <c r="H461" s="125" t="s">
        <v>78</v>
      </c>
    </row>
    <row r="462" spans="1:8" x14ac:dyDescent="0.2">
      <c r="A462" s="121"/>
      <c r="B462" s="199" t="s">
        <v>78</v>
      </c>
      <c r="C462" s="199"/>
      <c r="D462" s="122" t="s">
        <v>78</v>
      </c>
      <c r="E462" s="123" t="s">
        <v>78</v>
      </c>
      <c r="F462" s="123" t="s">
        <v>78</v>
      </c>
      <c r="G462" s="124" t="s">
        <v>78</v>
      </c>
      <c r="H462" s="125" t="s">
        <v>78</v>
      </c>
    </row>
    <row r="463" spans="1:8" x14ac:dyDescent="0.2">
      <c r="A463" s="121"/>
      <c r="B463" s="199" t="s">
        <v>78</v>
      </c>
      <c r="C463" s="199"/>
      <c r="D463" s="122" t="s">
        <v>78</v>
      </c>
      <c r="E463" s="123" t="s">
        <v>78</v>
      </c>
      <c r="F463" s="123" t="s">
        <v>78</v>
      </c>
      <c r="G463" s="124" t="s">
        <v>78</v>
      </c>
      <c r="H463" s="125" t="s">
        <v>78</v>
      </c>
    </row>
    <row r="464" spans="1:8" x14ac:dyDescent="0.2">
      <c r="A464" s="121"/>
      <c r="B464" s="199" t="s">
        <v>78</v>
      </c>
      <c r="C464" s="199"/>
      <c r="D464" s="122" t="s">
        <v>78</v>
      </c>
      <c r="E464" s="123" t="s">
        <v>78</v>
      </c>
      <c r="F464" s="123" t="s">
        <v>78</v>
      </c>
      <c r="G464" s="124" t="s">
        <v>78</v>
      </c>
      <c r="H464" s="125" t="s">
        <v>78</v>
      </c>
    </row>
    <row r="465" spans="1:8" x14ac:dyDescent="0.2">
      <c r="A465" s="121"/>
      <c r="B465" s="199" t="s">
        <v>78</v>
      </c>
      <c r="C465" s="199"/>
      <c r="D465" s="122" t="s">
        <v>78</v>
      </c>
      <c r="E465" s="123" t="s">
        <v>78</v>
      </c>
      <c r="F465" s="123" t="s">
        <v>78</v>
      </c>
      <c r="G465" s="124" t="s">
        <v>78</v>
      </c>
      <c r="H465" s="125" t="s">
        <v>78</v>
      </c>
    </row>
    <row r="466" spans="1:8" x14ac:dyDescent="0.2">
      <c r="A466" s="121"/>
      <c r="B466" s="199" t="s">
        <v>78</v>
      </c>
      <c r="C466" s="199"/>
      <c r="D466" s="122" t="s">
        <v>78</v>
      </c>
      <c r="E466" s="123" t="s">
        <v>78</v>
      </c>
      <c r="F466" s="123" t="s">
        <v>78</v>
      </c>
      <c r="G466" s="124" t="s">
        <v>78</v>
      </c>
      <c r="H466" s="125" t="s">
        <v>78</v>
      </c>
    </row>
    <row r="467" spans="1:8" x14ac:dyDescent="0.2">
      <c r="A467" s="121"/>
      <c r="B467" s="199" t="s">
        <v>78</v>
      </c>
      <c r="C467" s="199"/>
      <c r="D467" s="122" t="s">
        <v>78</v>
      </c>
      <c r="E467" s="123" t="s">
        <v>78</v>
      </c>
      <c r="F467" s="123" t="s">
        <v>78</v>
      </c>
      <c r="G467" s="124" t="s">
        <v>78</v>
      </c>
      <c r="H467" s="125" t="s">
        <v>78</v>
      </c>
    </row>
    <row r="468" spans="1:8" x14ac:dyDescent="0.2">
      <c r="A468" s="121"/>
      <c r="B468" s="199" t="s">
        <v>78</v>
      </c>
      <c r="C468" s="199"/>
      <c r="D468" s="122" t="s">
        <v>78</v>
      </c>
      <c r="E468" s="123" t="s">
        <v>78</v>
      </c>
      <c r="F468" s="123" t="s">
        <v>78</v>
      </c>
      <c r="G468" s="124" t="s">
        <v>78</v>
      </c>
      <c r="H468" s="125" t="s">
        <v>78</v>
      </c>
    </row>
    <row r="469" spans="1:8" x14ac:dyDescent="0.2">
      <c r="A469" s="121"/>
      <c r="B469" s="199" t="s">
        <v>78</v>
      </c>
      <c r="C469" s="199"/>
      <c r="D469" s="122" t="s">
        <v>78</v>
      </c>
      <c r="E469" s="123" t="s">
        <v>78</v>
      </c>
      <c r="F469" s="123" t="s">
        <v>78</v>
      </c>
      <c r="G469" s="124" t="s">
        <v>78</v>
      </c>
      <c r="H469" s="125" t="s">
        <v>78</v>
      </c>
    </row>
    <row r="470" spans="1:8" x14ac:dyDescent="0.2">
      <c r="A470" s="121"/>
      <c r="B470" s="199" t="s">
        <v>78</v>
      </c>
      <c r="C470" s="199"/>
      <c r="D470" s="122" t="s">
        <v>78</v>
      </c>
      <c r="E470" s="123" t="s">
        <v>78</v>
      </c>
      <c r="F470" s="123" t="s">
        <v>78</v>
      </c>
      <c r="G470" s="124" t="s">
        <v>78</v>
      </c>
      <c r="H470" s="125" t="s">
        <v>78</v>
      </c>
    </row>
    <row r="471" spans="1:8" x14ac:dyDescent="0.2">
      <c r="A471" s="121"/>
      <c r="B471" s="199" t="s">
        <v>78</v>
      </c>
      <c r="C471" s="199"/>
      <c r="D471" s="122" t="s">
        <v>78</v>
      </c>
      <c r="E471" s="123" t="s">
        <v>78</v>
      </c>
      <c r="F471" s="123" t="s">
        <v>78</v>
      </c>
      <c r="G471" s="124" t="s">
        <v>78</v>
      </c>
      <c r="H471" s="125" t="s">
        <v>78</v>
      </c>
    </row>
    <row r="472" spans="1:8" x14ac:dyDescent="0.2">
      <c r="A472" s="121"/>
      <c r="B472" s="199" t="s">
        <v>78</v>
      </c>
      <c r="C472" s="199"/>
      <c r="D472" s="122" t="s">
        <v>78</v>
      </c>
      <c r="E472" s="123" t="s">
        <v>78</v>
      </c>
      <c r="F472" s="123" t="s">
        <v>78</v>
      </c>
      <c r="G472" s="124" t="s">
        <v>78</v>
      </c>
      <c r="H472" s="125" t="s">
        <v>78</v>
      </c>
    </row>
    <row r="473" spans="1:8" x14ac:dyDescent="0.2">
      <c r="A473" s="121"/>
      <c r="B473" s="199" t="s">
        <v>78</v>
      </c>
      <c r="C473" s="199"/>
      <c r="D473" s="122" t="s">
        <v>78</v>
      </c>
      <c r="E473" s="123" t="s">
        <v>78</v>
      </c>
      <c r="F473" s="123" t="s">
        <v>78</v>
      </c>
      <c r="G473" s="124" t="s">
        <v>78</v>
      </c>
      <c r="H473" s="125" t="s">
        <v>78</v>
      </c>
    </row>
    <row r="474" spans="1:8" x14ac:dyDescent="0.2">
      <c r="A474" s="121"/>
      <c r="B474" s="199" t="s">
        <v>78</v>
      </c>
      <c r="C474" s="199"/>
      <c r="D474" s="122" t="s">
        <v>78</v>
      </c>
      <c r="E474" s="123" t="s">
        <v>78</v>
      </c>
      <c r="F474" s="123" t="s">
        <v>78</v>
      </c>
      <c r="G474" s="124" t="s">
        <v>78</v>
      </c>
      <c r="H474" s="125" t="s">
        <v>78</v>
      </c>
    </row>
    <row r="475" spans="1:8" x14ac:dyDescent="0.2">
      <c r="A475" s="121"/>
      <c r="B475" s="199" t="s">
        <v>78</v>
      </c>
      <c r="C475" s="199"/>
      <c r="D475" s="122" t="s">
        <v>78</v>
      </c>
      <c r="E475" s="123" t="s">
        <v>78</v>
      </c>
      <c r="F475" s="123" t="s">
        <v>78</v>
      </c>
      <c r="G475" s="124" t="s">
        <v>78</v>
      </c>
      <c r="H475" s="125" t="s">
        <v>78</v>
      </c>
    </row>
    <row r="476" spans="1:8" x14ac:dyDescent="0.2">
      <c r="A476" s="121"/>
      <c r="B476" s="199" t="s">
        <v>78</v>
      </c>
      <c r="C476" s="199"/>
      <c r="D476" s="122" t="s">
        <v>78</v>
      </c>
      <c r="E476" s="123" t="s">
        <v>78</v>
      </c>
      <c r="F476" s="123" t="s">
        <v>78</v>
      </c>
      <c r="G476" s="124" t="s">
        <v>78</v>
      </c>
      <c r="H476" s="125" t="s">
        <v>78</v>
      </c>
    </row>
    <row r="477" spans="1:8" x14ac:dyDescent="0.2">
      <c r="A477" s="121"/>
      <c r="B477" s="199" t="s">
        <v>78</v>
      </c>
      <c r="C477" s="199"/>
      <c r="D477" s="122" t="s">
        <v>78</v>
      </c>
      <c r="E477" s="123" t="s">
        <v>78</v>
      </c>
      <c r="F477" s="123" t="s">
        <v>78</v>
      </c>
      <c r="G477" s="124" t="s">
        <v>78</v>
      </c>
      <c r="H477" s="125" t="s">
        <v>78</v>
      </c>
    </row>
    <row r="478" spans="1:8" x14ac:dyDescent="0.2">
      <c r="A478" s="121"/>
      <c r="B478" s="199" t="s">
        <v>78</v>
      </c>
      <c r="C478" s="199"/>
      <c r="D478" s="122" t="s">
        <v>78</v>
      </c>
      <c r="E478" s="123" t="s">
        <v>78</v>
      </c>
      <c r="F478" s="123" t="s">
        <v>78</v>
      </c>
      <c r="G478" s="124" t="s">
        <v>78</v>
      </c>
      <c r="H478" s="125" t="s">
        <v>78</v>
      </c>
    </row>
    <row r="479" spans="1:8" x14ac:dyDescent="0.2">
      <c r="A479" s="121"/>
      <c r="B479" s="199" t="s">
        <v>78</v>
      </c>
      <c r="C479" s="199"/>
      <c r="D479" s="122" t="s">
        <v>78</v>
      </c>
      <c r="E479" s="123" t="s">
        <v>78</v>
      </c>
      <c r="F479" s="123" t="s">
        <v>78</v>
      </c>
      <c r="G479" s="124" t="s">
        <v>78</v>
      </c>
      <c r="H479" s="125" t="s">
        <v>78</v>
      </c>
    </row>
    <row r="480" spans="1:8" x14ac:dyDescent="0.2">
      <c r="A480" s="121"/>
      <c r="B480" s="199" t="s">
        <v>78</v>
      </c>
      <c r="C480" s="199"/>
      <c r="D480" s="122" t="s">
        <v>78</v>
      </c>
      <c r="E480" s="123" t="s">
        <v>78</v>
      </c>
      <c r="F480" s="123" t="s">
        <v>78</v>
      </c>
      <c r="G480" s="124" t="s">
        <v>78</v>
      </c>
      <c r="H480" s="125" t="s">
        <v>78</v>
      </c>
    </row>
    <row r="481" spans="1:8" x14ac:dyDescent="0.2">
      <c r="A481" s="121"/>
      <c r="B481" s="199" t="s">
        <v>78</v>
      </c>
      <c r="C481" s="199"/>
      <c r="D481" s="122" t="s">
        <v>78</v>
      </c>
      <c r="E481" s="123" t="s">
        <v>78</v>
      </c>
      <c r="F481" s="123" t="s">
        <v>78</v>
      </c>
      <c r="G481" s="124" t="s">
        <v>78</v>
      </c>
      <c r="H481" s="125" t="s">
        <v>78</v>
      </c>
    </row>
    <row r="482" spans="1:8" x14ac:dyDescent="0.2">
      <c r="A482" s="121"/>
      <c r="B482" s="199" t="s">
        <v>78</v>
      </c>
      <c r="C482" s="199"/>
      <c r="D482" s="122" t="s">
        <v>78</v>
      </c>
      <c r="E482" s="123" t="s">
        <v>78</v>
      </c>
      <c r="F482" s="123" t="s">
        <v>78</v>
      </c>
      <c r="G482" s="124" t="s">
        <v>78</v>
      </c>
      <c r="H482" s="125" t="s">
        <v>78</v>
      </c>
    </row>
    <row r="483" spans="1:8" x14ac:dyDescent="0.2">
      <c r="A483" s="121"/>
      <c r="B483" s="199" t="s">
        <v>78</v>
      </c>
      <c r="C483" s="199"/>
      <c r="D483" s="122" t="s">
        <v>78</v>
      </c>
      <c r="E483" s="123" t="s">
        <v>78</v>
      </c>
      <c r="F483" s="123" t="s">
        <v>78</v>
      </c>
      <c r="G483" s="124" t="s">
        <v>78</v>
      </c>
      <c r="H483" s="125" t="s">
        <v>78</v>
      </c>
    </row>
    <row r="484" spans="1:8" x14ac:dyDescent="0.2">
      <c r="A484" s="121"/>
      <c r="B484" s="199" t="s">
        <v>78</v>
      </c>
      <c r="C484" s="199"/>
      <c r="D484" s="122" t="s">
        <v>78</v>
      </c>
      <c r="E484" s="123" t="s">
        <v>78</v>
      </c>
      <c r="F484" s="123" t="s">
        <v>78</v>
      </c>
      <c r="G484" s="124" t="s">
        <v>78</v>
      </c>
      <c r="H484" s="125" t="s">
        <v>78</v>
      </c>
    </row>
    <row r="485" spans="1:8" x14ac:dyDescent="0.2">
      <c r="A485" s="121"/>
      <c r="B485" s="199" t="s">
        <v>78</v>
      </c>
      <c r="C485" s="199"/>
      <c r="D485" s="122" t="s">
        <v>78</v>
      </c>
      <c r="E485" s="123" t="s">
        <v>78</v>
      </c>
      <c r="F485" s="123" t="s">
        <v>78</v>
      </c>
      <c r="G485" s="124" t="s">
        <v>78</v>
      </c>
      <c r="H485" s="125" t="s">
        <v>78</v>
      </c>
    </row>
    <row r="486" spans="1:8" x14ac:dyDescent="0.2">
      <c r="A486" s="121"/>
      <c r="B486" s="199" t="s">
        <v>78</v>
      </c>
      <c r="C486" s="199"/>
      <c r="D486" s="122" t="s">
        <v>78</v>
      </c>
      <c r="E486" s="123" t="s">
        <v>78</v>
      </c>
      <c r="F486" s="123" t="s">
        <v>78</v>
      </c>
      <c r="G486" s="124" t="s">
        <v>78</v>
      </c>
      <c r="H486" s="125" t="s">
        <v>78</v>
      </c>
    </row>
    <row r="487" spans="1:8" x14ac:dyDescent="0.2">
      <c r="A487" s="121"/>
      <c r="B487" s="199" t="s">
        <v>78</v>
      </c>
      <c r="C487" s="199"/>
      <c r="D487" s="122" t="s">
        <v>78</v>
      </c>
      <c r="E487" s="123" t="s">
        <v>78</v>
      </c>
      <c r="F487" s="123" t="s">
        <v>78</v>
      </c>
      <c r="G487" s="124" t="s">
        <v>78</v>
      </c>
      <c r="H487" s="125" t="s">
        <v>78</v>
      </c>
    </row>
    <row r="488" spans="1:8" x14ac:dyDescent="0.2">
      <c r="A488" s="121"/>
      <c r="B488" s="199" t="s">
        <v>78</v>
      </c>
      <c r="C488" s="199"/>
      <c r="D488" s="122" t="s">
        <v>78</v>
      </c>
      <c r="E488" s="123" t="s">
        <v>78</v>
      </c>
      <c r="F488" s="123" t="s">
        <v>78</v>
      </c>
      <c r="G488" s="124" t="s">
        <v>78</v>
      </c>
      <c r="H488" s="125" t="s">
        <v>78</v>
      </c>
    </row>
    <row r="489" spans="1:8" x14ac:dyDescent="0.2">
      <c r="A489" s="121"/>
      <c r="B489" s="199" t="s">
        <v>78</v>
      </c>
      <c r="C489" s="199"/>
      <c r="D489" s="122" t="s">
        <v>78</v>
      </c>
      <c r="E489" s="123" t="s">
        <v>78</v>
      </c>
      <c r="F489" s="123" t="s">
        <v>78</v>
      </c>
      <c r="G489" s="124" t="s">
        <v>78</v>
      </c>
      <c r="H489" s="125" t="s">
        <v>78</v>
      </c>
    </row>
    <row r="490" spans="1:8" x14ac:dyDescent="0.2">
      <c r="A490" s="121"/>
      <c r="B490" s="199" t="s">
        <v>78</v>
      </c>
      <c r="C490" s="199"/>
      <c r="D490" s="122" t="s">
        <v>78</v>
      </c>
      <c r="E490" s="123" t="s">
        <v>78</v>
      </c>
      <c r="F490" s="123" t="s">
        <v>78</v>
      </c>
      <c r="G490" s="124" t="s">
        <v>78</v>
      </c>
      <c r="H490" s="125" t="s">
        <v>78</v>
      </c>
    </row>
    <row r="491" spans="1:8" x14ac:dyDescent="0.2">
      <c r="A491" s="121"/>
      <c r="B491" s="199" t="s">
        <v>78</v>
      </c>
      <c r="C491" s="199"/>
      <c r="D491" s="122" t="s">
        <v>78</v>
      </c>
      <c r="E491" s="123" t="s">
        <v>78</v>
      </c>
      <c r="F491" s="123" t="s">
        <v>78</v>
      </c>
      <c r="G491" s="124" t="s">
        <v>78</v>
      </c>
      <c r="H491" s="125" t="s">
        <v>78</v>
      </c>
    </row>
    <row r="492" spans="1:8" x14ac:dyDescent="0.2">
      <c r="A492" s="121"/>
      <c r="B492" s="199" t="s">
        <v>78</v>
      </c>
      <c r="C492" s="199"/>
      <c r="D492" s="122" t="s">
        <v>78</v>
      </c>
      <c r="E492" s="123" t="s">
        <v>78</v>
      </c>
      <c r="F492" s="123" t="s">
        <v>78</v>
      </c>
      <c r="G492" s="124" t="s">
        <v>78</v>
      </c>
      <c r="H492" s="125" t="s">
        <v>78</v>
      </c>
    </row>
    <row r="493" spans="1:8" x14ac:dyDescent="0.2">
      <c r="A493" s="121"/>
      <c r="B493" s="199" t="s">
        <v>78</v>
      </c>
      <c r="C493" s="199"/>
      <c r="D493" s="122" t="s">
        <v>78</v>
      </c>
      <c r="E493" s="123" t="s">
        <v>78</v>
      </c>
      <c r="F493" s="123" t="s">
        <v>78</v>
      </c>
      <c r="G493" s="124" t="s">
        <v>78</v>
      </c>
      <c r="H493" s="125" t="s">
        <v>78</v>
      </c>
    </row>
    <row r="494" spans="1:8" x14ac:dyDescent="0.2">
      <c r="A494" s="121"/>
      <c r="B494" s="199" t="s">
        <v>78</v>
      </c>
      <c r="C494" s="199"/>
      <c r="D494" s="122" t="s">
        <v>78</v>
      </c>
      <c r="E494" s="123" t="s">
        <v>78</v>
      </c>
      <c r="F494" s="123" t="s">
        <v>78</v>
      </c>
      <c r="G494" s="124" t="s">
        <v>78</v>
      </c>
      <c r="H494" s="125" t="s">
        <v>78</v>
      </c>
    </row>
    <row r="495" spans="1:8" x14ac:dyDescent="0.2">
      <c r="A495" s="121"/>
      <c r="B495" s="199" t="s">
        <v>78</v>
      </c>
      <c r="C495" s="199"/>
      <c r="D495" s="122" t="s">
        <v>78</v>
      </c>
      <c r="E495" s="123" t="s">
        <v>78</v>
      </c>
      <c r="F495" s="123" t="s">
        <v>78</v>
      </c>
      <c r="G495" s="124" t="s">
        <v>78</v>
      </c>
      <c r="H495" s="125" t="s">
        <v>78</v>
      </c>
    </row>
    <row r="496" spans="1:8" x14ac:dyDescent="0.2">
      <c r="A496" s="121"/>
      <c r="B496" s="199" t="s">
        <v>78</v>
      </c>
      <c r="C496" s="199"/>
      <c r="D496" s="122" t="s">
        <v>78</v>
      </c>
      <c r="E496" s="123" t="s">
        <v>78</v>
      </c>
      <c r="F496" s="123" t="s">
        <v>78</v>
      </c>
      <c r="G496" s="124" t="s">
        <v>78</v>
      </c>
      <c r="H496" s="125" t="s">
        <v>78</v>
      </c>
    </row>
    <row r="497" spans="1:8" x14ac:dyDescent="0.2">
      <c r="A497" s="121"/>
      <c r="B497" s="199" t="s">
        <v>78</v>
      </c>
      <c r="C497" s="199"/>
      <c r="D497" s="122" t="s">
        <v>78</v>
      </c>
      <c r="E497" s="123" t="s">
        <v>78</v>
      </c>
      <c r="F497" s="123" t="s">
        <v>78</v>
      </c>
      <c r="G497" s="124" t="s">
        <v>78</v>
      </c>
      <c r="H497" s="125" t="s">
        <v>78</v>
      </c>
    </row>
    <row r="498" spans="1:8" x14ac:dyDescent="0.2">
      <c r="A498" s="121"/>
      <c r="B498" s="199" t="s">
        <v>78</v>
      </c>
      <c r="C498" s="199"/>
      <c r="D498" s="122" t="s">
        <v>78</v>
      </c>
      <c r="E498" s="123" t="s">
        <v>78</v>
      </c>
      <c r="F498" s="123" t="s">
        <v>78</v>
      </c>
      <c r="G498" s="124" t="s">
        <v>78</v>
      </c>
      <c r="H498" s="125" t="s">
        <v>78</v>
      </c>
    </row>
    <row r="499" spans="1:8" x14ac:dyDescent="0.2">
      <c r="A499" s="121"/>
      <c r="B499" s="199" t="s">
        <v>78</v>
      </c>
      <c r="C499" s="199"/>
      <c r="D499" s="122" t="s">
        <v>78</v>
      </c>
      <c r="E499" s="123" t="s">
        <v>78</v>
      </c>
      <c r="F499" s="123" t="s">
        <v>78</v>
      </c>
      <c r="G499" s="124" t="s">
        <v>78</v>
      </c>
      <c r="H499" s="125" t="s">
        <v>78</v>
      </c>
    </row>
    <row r="500" spans="1:8" x14ac:dyDescent="0.2">
      <c r="A500" s="121"/>
      <c r="B500" s="199" t="s">
        <v>78</v>
      </c>
      <c r="C500" s="199"/>
      <c r="D500" s="122" t="s">
        <v>78</v>
      </c>
      <c r="E500" s="123" t="s">
        <v>78</v>
      </c>
      <c r="F500" s="123" t="s">
        <v>78</v>
      </c>
      <c r="G500" s="124" t="s">
        <v>78</v>
      </c>
      <c r="H500" s="125" t="s">
        <v>78</v>
      </c>
    </row>
    <row r="501" spans="1:8" x14ac:dyDescent="0.2">
      <c r="A501" s="121"/>
      <c r="B501" s="199" t="s">
        <v>78</v>
      </c>
      <c r="C501" s="199"/>
      <c r="D501" s="122" t="s">
        <v>78</v>
      </c>
      <c r="E501" s="123" t="s">
        <v>78</v>
      </c>
      <c r="F501" s="123" t="s">
        <v>78</v>
      </c>
      <c r="G501" s="124" t="s">
        <v>78</v>
      </c>
      <c r="H501" s="125" t="s">
        <v>78</v>
      </c>
    </row>
    <row r="502" spans="1:8" x14ac:dyDescent="0.2">
      <c r="A502" s="121"/>
      <c r="B502" s="199" t="s">
        <v>78</v>
      </c>
      <c r="C502" s="199"/>
      <c r="D502" s="122" t="s">
        <v>78</v>
      </c>
      <c r="E502" s="123" t="s">
        <v>78</v>
      </c>
      <c r="F502" s="123" t="s">
        <v>78</v>
      </c>
      <c r="G502" s="124" t="s">
        <v>78</v>
      </c>
      <c r="H502" s="125" t="s">
        <v>78</v>
      </c>
    </row>
    <row r="503" spans="1:8" x14ac:dyDescent="0.2">
      <c r="A503" s="121"/>
      <c r="B503" s="199" t="s">
        <v>78</v>
      </c>
      <c r="C503" s="199"/>
      <c r="D503" s="122" t="s">
        <v>78</v>
      </c>
      <c r="E503" s="123" t="s">
        <v>78</v>
      </c>
      <c r="F503" s="123" t="s">
        <v>78</v>
      </c>
      <c r="G503" s="124" t="s">
        <v>78</v>
      </c>
      <c r="H503" s="125" t="s">
        <v>78</v>
      </c>
    </row>
    <row r="504" spans="1:8" x14ac:dyDescent="0.2">
      <c r="A504" s="121"/>
      <c r="B504" s="199" t="s">
        <v>78</v>
      </c>
      <c r="C504" s="199"/>
      <c r="D504" s="122" t="s">
        <v>78</v>
      </c>
      <c r="E504" s="123" t="s">
        <v>78</v>
      </c>
      <c r="F504" s="123" t="s">
        <v>78</v>
      </c>
      <c r="G504" s="124" t="s">
        <v>78</v>
      </c>
      <c r="H504" s="125" t="s">
        <v>78</v>
      </c>
    </row>
    <row r="505" spans="1:8" x14ac:dyDescent="0.2">
      <c r="A505" s="121"/>
      <c r="B505" s="199" t="s">
        <v>78</v>
      </c>
      <c r="C505" s="199"/>
      <c r="D505" s="122" t="s">
        <v>78</v>
      </c>
      <c r="E505" s="123" t="s">
        <v>78</v>
      </c>
      <c r="F505" s="123" t="s">
        <v>78</v>
      </c>
      <c r="G505" s="124" t="s">
        <v>78</v>
      </c>
      <c r="H505" s="125" t="s">
        <v>78</v>
      </c>
    </row>
    <row r="506" spans="1:8" x14ac:dyDescent="0.2">
      <c r="A506" s="121"/>
      <c r="B506" s="199" t="s">
        <v>78</v>
      </c>
      <c r="C506" s="199"/>
      <c r="D506" s="122" t="s">
        <v>78</v>
      </c>
      <c r="E506" s="123" t="s">
        <v>78</v>
      </c>
      <c r="F506" s="123" t="s">
        <v>78</v>
      </c>
      <c r="G506" s="124" t="s">
        <v>78</v>
      </c>
      <c r="H506" s="125" t="s">
        <v>78</v>
      </c>
    </row>
    <row r="507" spans="1:8" x14ac:dyDescent="0.2">
      <c r="A507" s="121"/>
      <c r="B507" s="199" t="s">
        <v>78</v>
      </c>
      <c r="C507" s="199"/>
      <c r="D507" s="122" t="s">
        <v>78</v>
      </c>
      <c r="E507" s="123" t="s">
        <v>78</v>
      </c>
      <c r="F507" s="123" t="s">
        <v>78</v>
      </c>
      <c r="G507" s="124" t="s">
        <v>78</v>
      </c>
      <c r="H507" s="125" t="s">
        <v>78</v>
      </c>
    </row>
    <row r="508" spans="1:8" x14ac:dyDescent="0.2">
      <c r="A508" s="121"/>
      <c r="B508" s="199" t="s">
        <v>78</v>
      </c>
      <c r="C508" s="199"/>
      <c r="D508" s="122" t="s">
        <v>78</v>
      </c>
      <c r="E508" s="123" t="s">
        <v>78</v>
      </c>
      <c r="F508" s="123" t="s">
        <v>78</v>
      </c>
      <c r="G508" s="124" t="s">
        <v>78</v>
      </c>
      <c r="H508" s="125" t="s">
        <v>78</v>
      </c>
    </row>
    <row r="509" spans="1:8" x14ac:dyDescent="0.2">
      <c r="A509" s="121"/>
      <c r="B509" s="199" t="s">
        <v>78</v>
      </c>
      <c r="C509" s="199"/>
      <c r="D509" s="122" t="s">
        <v>78</v>
      </c>
      <c r="E509" s="123" t="s">
        <v>78</v>
      </c>
      <c r="F509" s="123" t="s">
        <v>78</v>
      </c>
      <c r="G509" s="124" t="s">
        <v>78</v>
      </c>
      <c r="H509" s="125" t="s">
        <v>78</v>
      </c>
    </row>
    <row r="510" spans="1:8" x14ac:dyDescent="0.2">
      <c r="A510" s="121"/>
      <c r="B510" s="199" t="s">
        <v>78</v>
      </c>
      <c r="C510" s="199"/>
      <c r="D510" s="122" t="s">
        <v>78</v>
      </c>
      <c r="E510" s="123" t="s">
        <v>78</v>
      </c>
      <c r="F510" s="123" t="s">
        <v>78</v>
      </c>
      <c r="G510" s="124" t="s">
        <v>78</v>
      </c>
      <c r="H510" s="125" t="s">
        <v>78</v>
      </c>
    </row>
  </sheetData>
  <autoFilter ref="A5:H5" xr:uid="{00000000-0009-0000-0000-000008000000}">
    <filterColumn colId="1" showButton="0"/>
  </autoFilter>
  <mergeCells count="511">
    <mergeCell ref="C1:H4"/>
    <mergeCell ref="I1:AV4"/>
    <mergeCell ref="A2:B2"/>
    <mergeCell ref="A3:B3"/>
    <mergeCell ref="A4:B4"/>
    <mergeCell ref="B5:C5"/>
    <mergeCell ref="B12:C12"/>
    <mergeCell ref="B13:C13"/>
    <mergeCell ref="B14:C14"/>
    <mergeCell ref="B15:C15"/>
    <mergeCell ref="B16:C16"/>
    <mergeCell ref="B17:C17"/>
    <mergeCell ref="B6:C6"/>
    <mergeCell ref="B7:C7"/>
    <mergeCell ref="B8:C8"/>
    <mergeCell ref="B9:C9"/>
    <mergeCell ref="B10:C10"/>
    <mergeCell ref="B11:C11"/>
    <mergeCell ref="B24:C24"/>
    <mergeCell ref="B25:C25"/>
    <mergeCell ref="B26:C26"/>
    <mergeCell ref="B27:C27"/>
    <mergeCell ref="B28:C28"/>
    <mergeCell ref="B29:C29"/>
    <mergeCell ref="B18:C18"/>
    <mergeCell ref="B19:C19"/>
    <mergeCell ref="B20:C20"/>
    <mergeCell ref="B21:C21"/>
    <mergeCell ref="B22:C22"/>
    <mergeCell ref="B23:C23"/>
    <mergeCell ref="B36:C36"/>
    <mergeCell ref="B37:C37"/>
    <mergeCell ref="B38:C38"/>
    <mergeCell ref="B39:C39"/>
    <mergeCell ref="B40:C40"/>
    <mergeCell ref="B41:C41"/>
    <mergeCell ref="B30:C30"/>
    <mergeCell ref="B31:C31"/>
    <mergeCell ref="B32:C32"/>
    <mergeCell ref="B33:C33"/>
    <mergeCell ref="B34:C34"/>
    <mergeCell ref="B35:C35"/>
    <mergeCell ref="B48:C48"/>
    <mergeCell ref="B49:C49"/>
    <mergeCell ref="B50:C50"/>
    <mergeCell ref="B51:C51"/>
    <mergeCell ref="B52:C52"/>
    <mergeCell ref="B53:C53"/>
    <mergeCell ref="B42:C42"/>
    <mergeCell ref="B43:C43"/>
    <mergeCell ref="B44:C44"/>
    <mergeCell ref="B45:C45"/>
    <mergeCell ref="B46:C46"/>
    <mergeCell ref="B47:C47"/>
    <mergeCell ref="B60:C60"/>
    <mergeCell ref="B61:C61"/>
    <mergeCell ref="B62:C62"/>
    <mergeCell ref="B63:C63"/>
    <mergeCell ref="B64:C64"/>
    <mergeCell ref="B65:C65"/>
    <mergeCell ref="B54:C54"/>
    <mergeCell ref="B55:C55"/>
    <mergeCell ref="B56:C56"/>
    <mergeCell ref="B57:C57"/>
    <mergeCell ref="B58:C58"/>
    <mergeCell ref="B59:C59"/>
    <mergeCell ref="B72:C72"/>
    <mergeCell ref="B73:C73"/>
    <mergeCell ref="B74:C74"/>
    <mergeCell ref="B75:C75"/>
    <mergeCell ref="B76:C76"/>
    <mergeCell ref="B77:C77"/>
    <mergeCell ref="B66:C66"/>
    <mergeCell ref="B67:C67"/>
    <mergeCell ref="B68:C68"/>
    <mergeCell ref="B69:C69"/>
    <mergeCell ref="B70:C70"/>
    <mergeCell ref="B71:C71"/>
    <mergeCell ref="B84:C84"/>
    <mergeCell ref="B85:C85"/>
    <mergeCell ref="B86:C86"/>
    <mergeCell ref="B87:C87"/>
    <mergeCell ref="B88:C88"/>
    <mergeCell ref="B89:C89"/>
    <mergeCell ref="B78:C78"/>
    <mergeCell ref="B79:C79"/>
    <mergeCell ref="B80:C80"/>
    <mergeCell ref="B81:C81"/>
    <mergeCell ref="B82:C82"/>
    <mergeCell ref="B83:C83"/>
    <mergeCell ref="B96:C96"/>
    <mergeCell ref="B97:C97"/>
    <mergeCell ref="B98:C98"/>
    <mergeCell ref="B99:C99"/>
    <mergeCell ref="B100:C100"/>
    <mergeCell ref="B101:C101"/>
    <mergeCell ref="B90:C90"/>
    <mergeCell ref="B91:C91"/>
    <mergeCell ref="B92:C92"/>
    <mergeCell ref="B93:C93"/>
    <mergeCell ref="B94:C94"/>
    <mergeCell ref="B95:C95"/>
    <mergeCell ref="B108:C108"/>
    <mergeCell ref="B109:C109"/>
    <mergeCell ref="B110:C110"/>
    <mergeCell ref="B111:C111"/>
    <mergeCell ref="B112:C112"/>
    <mergeCell ref="B113:C113"/>
    <mergeCell ref="B102:C102"/>
    <mergeCell ref="B103:C103"/>
    <mergeCell ref="B104:C104"/>
    <mergeCell ref="B105:C105"/>
    <mergeCell ref="B106:C106"/>
    <mergeCell ref="B107:C107"/>
    <mergeCell ref="B120:C120"/>
    <mergeCell ref="B121:C121"/>
    <mergeCell ref="B122:C122"/>
    <mergeCell ref="B123:C123"/>
    <mergeCell ref="B124:C124"/>
    <mergeCell ref="B125:C125"/>
    <mergeCell ref="B114:C114"/>
    <mergeCell ref="B115:C115"/>
    <mergeCell ref="B116:C116"/>
    <mergeCell ref="B117:C117"/>
    <mergeCell ref="B118:C118"/>
    <mergeCell ref="B119:C119"/>
    <mergeCell ref="B132:C132"/>
    <mergeCell ref="B133:C133"/>
    <mergeCell ref="B134:C134"/>
    <mergeCell ref="B135:C135"/>
    <mergeCell ref="B136:C136"/>
    <mergeCell ref="B137:C137"/>
    <mergeCell ref="B126:C126"/>
    <mergeCell ref="B127:C127"/>
    <mergeCell ref="B128:C128"/>
    <mergeCell ref="B129:C129"/>
    <mergeCell ref="B130:C130"/>
    <mergeCell ref="B131:C131"/>
    <mergeCell ref="B144:C144"/>
    <mergeCell ref="B145:C145"/>
    <mergeCell ref="B146:C146"/>
    <mergeCell ref="B147:C147"/>
    <mergeCell ref="B148:C148"/>
    <mergeCell ref="B149:C149"/>
    <mergeCell ref="B138:C138"/>
    <mergeCell ref="B139:C139"/>
    <mergeCell ref="B140:C140"/>
    <mergeCell ref="B141:C141"/>
    <mergeCell ref="B142:C142"/>
    <mergeCell ref="B143:C143"/>
    <mergeCell ref="B156:C156"/>
    <mergeCell ref="B157:C157"/>
    <mergeCell ref="B158:C158"/>
    <mergeCell ref="B159:C159"/>
    <mergeCell ref="B160:C160"/>
    <mergeCell ref="B161:C161"/>
    <mergeCell ref="B150:C150"/>
    <mergeCell ref="B151:C151"/>
    <mergeCell ref="B152:C152"/>
    <mergeCell ref="B153:C153"/>
    <mergeCell ref="B154:C154"/>
    <mergeCell ref="B155:C155"/>
    <mergeCell ref="B168:C168"/>
    <mergeCell ref="B169:C169"/>
    <mergeCell ref="B170:C170"/>
    <mergeCell ref="B171:C171"/>
    <mergeCell ref="B172:C172"/>
    <mergeCell ref="B173:C173"/>
    <mergeCell ref="B162:C162"/>
    <mergeCell ref="B163:C163"/>
    <mergeCell ref="B164:C164"/>
    <mergeCell ref="B165:C165"/>
    <mergeCell ref="B166:C166"/>
    <mergeCell ref="B167:C167"/>
    <mergeCell ref="B180:C180"/>
    <mergeCell ref="B181:C181"/>
    <mergeCell ref="B182:C182"/>
    <mergeCell ref="B183:C183"/>
    <mergeCell ref="B184:C184"/>
    <mergeCell ref="B185:C185"/>
    <mergeCell ref="B174:C174"/>
    <mergeCell ref="B175:C175"/>
    <mergeCell ref="B176:C176"/>
    <mergeCell ref="B177:C177"/>
    <mergeCell ref="B178:C178"/>
    <mergeCell ref="B179:C179"/>
    <mergeCell ref="B192:C192"/>
    <mergeCell ref="B193:C193"/>
    <mergeCell ref="B194:C194"/>
    <mergeCell ref="B195:C195"/>
    <mergeCell ref="B196:C196"/>
    <mergeCell ref="B197:C197"/>
    <mergeCell ref="B186:C186"/>
    <mergeCell ref="B187:C187"/>
    <mergeCell ref="B188:C188"/>
    <mergeCell ref="B189:C189"/>
    <mergeCell ref="B190:C190"/>
    <mergeCell ref="B191:C191"/>
    <mergeCell ref="B204:C204"/>
    <mergeCell ref="B205:C205"/>
    <mergeCell ref="B206:C206"/>
    <mergeCell ref="B207:C207"/>
    <mergeCell ref="B208:C208"/>
    <mergeCell ref="B209:C209"/>
    <mergeCell ref="B198:C198"/>
    <mergeCell ref="B199:C199"/>
    <mergeCell ref="B200:C200"/>
    <mergeCell ref="B201:C201"/>
    <mergeCell ref="B202:C202"/>
    <mergeCell ref="B203:C203"/>
    <mergeCell ref="B216:C216"/>
    <mergeCell ref="B217:C217"/>
    <mergeCell ref="B218:C218"/>
    <mergeCell ref="B219:C219"/>
    <mergeCell ref="B220:C220"/>
    <mergeCell ref="B221:C221"/>
    <mergeCell ref="B210:C210"/>
    <mergeCell ref="B211:C211"/>
    <mergeCell ref="B212:C212"/>
    <mergeCell ref="B213:C213"/>
    <mergeCell ref="B214:C214"/>
    <mergeCell ref="B215:C215"/>
    <mergeCell ref="B228:C228"/>
    <mergeCell ref="B229:C229"/>
    <mergeCell ref="B230:C230"/>
    <mergeCell ref="B231:C231"/>
    <mergeCell ref="B232:C232"/>
    <mergeCell ref="B233:C233"/>
    <mergeCell ref="B222:C222"/>
    <mergeCell ref="B223:C223"/>
    <mergeCell ref="B224:C224"/>
    <mergeCell ref="B225:C225"/>
    <mergeCell ref="B226:C226"/>
    <mergeCell ref="B227:C227"/>
    <mergeCell ref="B240:C240"/>
    <mergeCell ref="B241:C241"/>
    <mergeCell ref="B242:C242"/>
    <mergeCell ref="B243:C243"/>
    <mergeCell ref="B244:C244"/>
    <mergeCell ref="B245:C245"/>
    <mergeCell ref="B234:C234"/>
    <mergeCell ref="B235:C235"/>
    <mergeCell ref="B236:C236"/>
    <mergeCell ref="B237:C237"/>
    <mergeCell ref="B238:C238"/>
    <mergeCell ref="B239:C239"/>
    <mergeCell ref="B252:C252"/>
    <mergeCell ref="B253:C253"/>
    <mergeCell ref="B254:C254"/>
    <mergeCell ref="B255:C255"/>
    <mergeCell ref="B256:C256"/>
    <mergeCell ref="B257:C257"/>
    <mergeCell ref="B246:C246"/>
    <mergeCell ref="B247:C247"/>
    <mergeCell ref="B248:C248"/>
    <mergeCell ref="B249:C249"/>
    <mergeCell ref="B250:C250"/>
    <mergeCell ref="B251:C251"/>
    <mergeCell ref="B264:C264"/>
    <mergeCell ref="B265:C265"/>
    <mergeCell ref="B266:C266"/>
    <mergeCell ref="B267:C267"/>
    <mergeCell ref="B268:C268"/>
    <mergeCell ref="B269:C269"/>
    <mergeCell ref="B258:C258"/>
    <mergeCell ref="B259:C259"/>
    <mergeCell ref="B260:C260"/>
    <mergeCell ref="B261:C261"/>
    <mergeCell ref="B262:C262"/>
    <mergeCell ref="B263:C263"/>
    <mergeCell ref="B276:C276"/>
    <mergeCell ref="B277:C277"/>
    <mergeCell ref="B278:C278"/>
    <mergeCell ref="B279:C279"/>
    <mergeCell ref="B280:C280"/>
    <mergeCell ref="B281:C281"/>
    <mergeCell ref="B270:C270"/>
    <mergeCell ref="B271:C271"/>
    <mergeCell ref="B272:C272"/>
    <mergeCell ref="B273:C273"/>
    <mergeCell ref="B274:C274"/>
    <mergeCell ref="B275:C275"/>
    <mergeCell ref="B288:C288"/>
    <mergeCell ref="B289:C289"/>
    <mergeCell ref="B290:C290"/>
    <mergeCell ref="B291:C291"/>
    <mergeCell ref="B292:C292"/>
    <mergeCell ref="B293:C293"/>
    <mergeCell ref="B282:C282"/>
    <mergeCell ref="B283:C283"/>
    <mergeCell ref="B284:C284"/>
    <mergeCell ref="B285:C285"/>
    <mergeCell ref="B286:C286"/>
    <mergeCell ref="B287:C287"/>
    <mergeCell ref="B300:C300"/>
    <mergeCell ref="B301:C301"/>
    <mergeCell ref="B302:C302"/>
    <mergeCell ref="B303:C303"/>
    <mergeCell ref="B304:C304"/>
    <mergeCell ref="B305:C305"/>
    <mergeCell ref="B294:C294"/>
    <mergeCell ref="B295:C295"/>
    <mergeCell ref="B296:C296"/>
    <mergeCell ref="B297:C297"/>
    <mergeCell ref="B298:C298"/>
    <mergeCell ref="B299:C299"/>
    <mergeCell ref="B312:C312"/>
    <mergeCell ref="B313:C313"/>
    <mergeCell ref="B314:C314"/>
    <mergeCell ref="B315:C315"/>
    <mergeCell ref="B316:C316"/>
    <mergeCell ref="B317:C317"/>
    <mergeCell ref="B306:C306"/>
    <mergeCell ref="B307:C307"/>
    <mergeCell ref="B308:C308"/>
    <mergeCell ref="B309:C309"/>
    <mergeCell ref="B310:C310"/>
    <mergeCell ref="B311:C311"/>
    <mergeCell ref="B324:C324"/>
    <mergeCell ref="B325:C325"/>
    <mergeCell ref="B326:C326"/>
    <mergeCell ref="B327:C327"/>
    <mergeCell ref="B328:C328"/>
    <mergeCell ref="B329:C329"/>
    <mergeCell ref="B318:C318"/>
    <mergeCell ref="B319:C319"/>
    <mergeCell ref="B320:C320"/>
    <mergeCell ref="B321:C321"/>
    <mergeCell ref="B322:C322"/>
    <mergeCell ref="B323:C323"/>
    <mergeCell ref="B336:C336"/>
    <mergeCell ref="B337:C337"/>
    <mergeCell ref="B338:C338"/>
    <mergeCell ref="B339:C339"/>
    <mergeCell ref="B340:C340"/>
    <mergeCell ref="B341:C341"/>
    <mergeCell ref="B330:C330"/>
    <mergeCell ref="B331:C331"/>
    <mergeCell ref="B332:C332"/>
    <mergeCell ref="B333:C333"/>
    <mergeCell ref="B334:C334"/>
    <mergeCell ref="B335:C335"/>
    <mergeCell ref="B348:C348"/>
    <mergeCell ref="B349:C349"/>
    <mergeCell ref="B350:C350"/>
    <mergeCell ref="B351:C351"/>
    <mergeCell ref="B352:C352"/>
    <mergeCell ref="B353:C353"/>
    <mergeCell ref="B342:C342"/>
    <mergeCell ref="B343:C343"/>
    <mergeCell ref="B344:C344"/>
    <mergeCell ref="B345:C345"/>
    <mergeCell ref="B346:C346"/>
    <mergeCell ref="B347:C347"/>
    <mergeCell ref="B360:C360"/>
    <mergeCell ref="B361:C361"/>
    <mergeCell ref="B362:C362"/>
    <mergeCell ref="B363:C363"/>
    <mergeCell ref="B364:C364"/>
    <mergeCell ref="B365:C365"/>
    <mergeCell ref="B354:C354"/>
    <mergeCell ref="B355:C355"/>
    <mergeCell ref="B356:C356"/>
    <mergeCell ref="B357:C357"/>
    <mergeCell ref="B358:C358"/>
    <mergeCell ref="B359:C359"/>
    <mergeCell ref="B372:C372"/>
    <mergeCell ref="B373:C373"/>
    <mergeCell ref="B374:C374"/>
    <mergeCell ref="B375:C375"/>
    <mergeCell ref="B376:C376"/>
    <mergeCell ref="B377:C377"/>
    <mergeCell ref="B366:C366"/>
    <mergeCell ref="B367:C367"/>
    <mergeCell ref="B368:C368"/>
    <mergeCell ref="B369:C369"/>
    <mergeCell ref="B370:C370"/>
    <mergeCell ref="B371:C371"/>
    <mergeCell ref="B384:C384"/>
    <mergeCell ref="B385:C385"/>
    <mergeCell ref="B386:C386"/>
    <mergeCell ref="B387:C387"/>
    <mergeCell ref="B388:C388"/>
    <mergeCell ref="B389:C389"/>
    <mergeCell ref="B378:C378"/>
    <mergeCell ref="B379:C379"/>
    <mergeCell ref="B380:C380"/>
    <mergeCell ref="B381:C381"/>
    <mergeCell ref="B382:C382"/>
    <mergeCell ref="B383:C383"/>
    <mergeCell ref="B396:C396"/>
    <mergeCell ref="B397:C397"/>
    <mergeCell ref="B398:C398"/>
    <mergeCell ref="B399:C399"/>
    <mergeCell ref="B400:C400"/>
    <mergeCell ref="B401:C401"/>
    <mergeCell ref="B390:C390"/>
    <mergeCell ref="B391:C391"/>
    <mergeCell ref="B392:C392"/>
    <mergeCell ref="B393:C393"/>
    <mergeCell ref="B394:C394"/>
    <mergeCell ref="B395:C395"/>
    <mergeCell ref="B408:C408"/>
    <mergeCell ref="B409:C409"/>
    <mergeCell ref="B410:C410"/>
    <mergeCell ref="B411:C411"/>
    <mergeCell ref="B412:C412"/>
    <mergeCell ref="B413:C413"/>
    <mergeCell ref="B402:C402"/>
    <mergeCell ref="B403:C403"/>
    <mergeCell ref="B404:C404"/>
    <mergeCell ref="B405:C405"/>
    <mergeCell ref="B406:C406"/>
    <mergeCell ref="B407:C407"/>
    <mergeCell ref="B420:C420"/>
    <mergeCell ref="B421:C421"/>
    <mergeCell ref="B422:C422"/>
    <mergeCell ref="B423:C423"/>
    <mergeCell ref="B424:C424"/>
    <mergeCell ref="B425:C425"/>
    <mergeCell ref="B414:C414"/>
    <mergeCell ref="B415:C415"/>
    <mergeCell ref="B416:C416"/>
    <mergeCell ref="B417:C417"/>
    <mergeCell ref="B418:C418"/>
    <mergeCell ref="B419:C419"/>
    <mergeCell ref="B432:C432"/>
    <mergeCell ref="B433:C433"/>
    <mergeCell ref="B434:C434"/>
    <mergeCell ref="B435:C435"/>
    <mergeCell ref="B436:C436"/>
    <mergeCell ref="B437:C437"/>
    <mergeCell ref="B426:C426"/>
    <mergeCell ref="B427:C427"/>
    <mergeCell ref="B428:C428"/>
    <mergeCell ref="B429:C429"/>
    <mergeCell ref="B430:C430"/>
    <mergeCell ref="B431:C431"/>
    <mergeCell ref="B444:C444"/>
    <mergeCell ref="B445:C445"/>
    <mergeCell ref="B446:C446"/>
    <mergeCell ref="B447:C447"/>
    <mergeCell ref="B448:C448"/>
    <mergeCell ref="B449:C449"/>
    <mergeCell ref="B438:C438"/>
    <mergeCell ref="B439:C439"/>
    <mergeCell ref="B440:C440"/>
    <mergeCell ref="B441:C441"/>
    <mergeCell ref="B442:C442"/>
    <mergeCell ref="B443:C443"/>
    <mergeCell ref="B456:C456"/>
    <mergeCell ref="B457:C457"/>
    <mergeCell ref="B458:C458"/>
    <mergeCell ref="B459:C459"/>
    <mergeCell ref="B460:C460"/>
    <mergeCell ref="B461:C461"/>
    <mergeCell ref="B450:C450"/>
    <mergeCell ref="B451:C451"/>
    <mergeCell ref="B452:C452"/>
    <mergeCell ref="B453:C453"/>
    <mergeCell ref="B454:C454"/>
    <mergeCell ref="B455:C455"/>
    <mergeCell ref="B468:C468"/>
    <mergeCell ref="B469:C469"/>
    <mergeCell ref="B470:C470"/>
    <mergeCell ref="B471:C471"/>
    <mergeCell ref="B472:C472"/>
    <mergeCell ref="B473:C473"/>
    <mergeCell ref="B462:C462"/>
    <mergeCell ref="B463:C463"/>
    <mergeCell ref="B464:C464"/>
    <mergeCell ref="B465:C465"/>
    <mergeCell ref="B466:C466"/>
    <mergeCell ref="B467:C467"/>
    <mergeCell ref="B480:C480"/>
    <mergeCell ref="B481:C481"/>
    <mergeCell ref="B482:C482"/>
    <mergeCell ref="B483:C483"/>
    <mergeCell ref="B484:C484"/>
    <mergeCell ref="B485:C485"/>
    <mergeCell ref="B474:C474"/>
    <mergeCell ref="B475:C475"/>
    <mergeCell ref="B476:C476"/>
    <mergeCell ref="B477:C477"/>
    <mergeCell ref="B478:C478"/>
    <mergeCell ref="B479:C479"/>
    <mergeCell ref="B492:C492"/>
    <mergeCell ref="B493:C493"/>
    <mergeCell ref="B494:C494"/>
    <mergeCell ref="B495:C495"/>
    <mergeCell ref="B496:C496"/>
    <mergeCell ref="B497:C497"/>
    <mergeCell ref="B486:C486"/>
    <mergeCell ref="B487:C487"/>
    <mergeCell ref="B488:C488"/>
    <mergeCell ref="B489:C489"/>
    <mergeCell ref="B490:C490"/>
    <mergeCell ref="B491:C491"/>
    <mergeCell ref="B510:C510"/>
    <mergeCell ref="B504:C504"/>
    <mergeCell ref="B505:C505"/>
    <mergeCell ref="B506:C506"/>
    <mergeCell ref="B507:C507"/>
    <mergeCell ref="B508:C508"/>
    <mergeCell ref="B509:C509"/>
    <mergeCell ref="B498:C498"/>
    <mergeCell ref="B499:C499"/>
    <mergeCell ref="B500:C500"/>
    <mergeCell ref="B501:C501"/>
    <mergeCell ref="B502:C502"/>
    <mergeCell ref="B503:C503"/>
  </mergeCells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&amp;LProblem Status Report Template (RAG) V5.0&amp;C_x000D_&amp;1#&amp;"Arial"&amp;9&amp;K000000 Confidential&amp;RLast Updated: 26/02/2020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0070C0"/>
  </sheetPr>
  <dimension ref="A1:AF82"/>
  <sheetViews>
    <sheetView showGridLines="0" zoomScale="90" zoomScaleNormal="90" workbookViewId="0">
      <pane xSplit="10" ySplit="1" topLeftCell="W2" activePane="bottomRight" state="frozen"/>
      <selection pane="topRight" activeCell="K1" sqref="K1"/>
      <selection pane="bottomLeft" activeCell="A2" sqref="A2"/>
      <selection pane="bottomRight" activeCell="D24" sqref="D24"/>
    </sheetView>
  </sheetViews>
  <sheetFormatPr defaultColWidth="0" defaultRowHeight="15" x14ac:dyDescent="0.2"/>
  <cols>
    <col min="1" max="1" width="8.7109375" style="151" bestFit="1" customWidth="1"/>
    <col min="2" max="2" width="31.5703125" style="142" bestFit="1" customWidth="1"/>
    <col min="3" max="3" width="26.7109375" style="142" customWidth="1"/>
    <col min="4" max="4" width="25.42578125" style="142" customWidth="1"/>
    <col min="5" max="5" width="35.5703125" style="142" customWidth="1"/>
    <col min="6" max="6" width="10.85546875" style="142" customWidth="1"/>
    <col min="7" max="7" width="11.140625" style="152" customWidth="1"/>
    <col min="8" max="8" width="18" style="142" customWidth="1"/>
    <col min="9" max="9" width="14.5703125" style="151" bestFit="1" customWidth="1"/>
    <col min="10" max="10" width="5.7109375" style="151" customWidth="1"/>
    <col min="11" max="11" width="59.140625" style="142" customWidth="1"/>
    <col min="12" max="12" width="32.28515625" style="142" customWidth="1"/>
    <col min="13" max="13" width="35" style="142" customWidth="1"/>
    <col min="14" max="14" width="36.28515625" style="142" customWidth="1"/>
    <col min="15" max="15" width="37.5703125" style="142" customWidth="1"/>
    <col min="16" max="23" width="32.28515625" style="142" customWidth="1"/>
    <col min="24" max="32" width="0" style="142" hidden="1" customWidth="1"/>
    <col min="33" max="16384" width="9.140625" style="142" hidden="1"/>
  </cols>
  <sheetData>
    <row r="1" spans="1:23" s="133" customFormat="1" ht="30" x14ac:dyDescent="0.2">
      <c r="A1" s="128" t="s">
        <v>94</v>
      </c>
      <c r="B1" s="129" t="s">
        <v>95</v>
      </c>
      <c r="C1" s="128" t="s">
        <v>96</v>
      </c>
      <c r="D1" s="129" t="s">
        <v>97</v>
      </c>
      <c r="E1" s="129" t="s">
        <v>98</v>
      </c>
      <c r="F1" s="129" t="s">
        <v>99</v>
      </c>
      <c r="G1" s="130" t="s">
        <v>66</v>
      </c>
      <c r="H1" s="129" t="s">
        <v>100</v>
      </c>
      <c r="I1" s="129" t="s">
        <v>101</v>
      </c>
      <c r="J1" s="129" t="s">
        <v>102</v>
      </c>
      <c r="K1" s="131">
        <v>43709</v>
      </c>
      <c r="L1" s="132">
        <v>43739</v>
      </c>
      <c r="M1" s="132">
        <v>43770</v>
      </c>
      <c r="N1" s="132">
        <v>43800</v>
      </c>
      <c r="O1" s="132">
        <v>43831</v>
      </c>
      <c r="P1" s="132">
        <v>43862</v>
      </c>
      <c r="Q1" s="132">
        <v>43891</v>
      </c>
      <c r="R1" s="132">
        <v>43922</v>
      </c>
      <c r="S1" s="132">
        <v>43952</v>
      </c>
      <c r="T1" s="132">
        <v>43983</v>
      </c>
      <c r="U1" s="132">
        <v>44013</v>
      </c>
      <c r="V1" s="132">
        <v>44044</v>
      </c>
      <c r="W1" s="132">
        <v>44075</v>
      </c>
    </row>
    <row r="2" spans="1:23" x14ac:dyDescent="0.2">
      <c r="A2" s="112"/>
      <c r="B2" s="134"/>
      <c r="C2" s="134"/>
      <c r="D2" s="134"/>
      <c r="E2" s="135"/>
      <c r="F2" s="136"/>
      <c r="G2" s="137"/>
      <c r="H2" s="137"/>
      <c r="I2" s="136"/>
      <c r="J2" s="138">
        <v>3</v>
      </c>
      <c r="K2" s="139"/>
      <c r="L2" s="140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</row>
    <row r="3" spans="1:23" x14ac:dyDescent="0.2">
      <c r="A3" s="143"/>
      <c r="B3" s="144"/>
      <c r="C3" s="145"/>
      <c r="D3" s="144"/>
      <c r="E3" s="139"/>
      <c r="F3" s="136"/>
      <c r="G3" s="137"/>
      <c r="H3" s="137"/>
      <c r="I3" s="136"/>
      <c r="J3" s="138"/>
      <c r="K3" s="140"/>
      <c r="L3" s="140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</row>
    <row r="4" spans="1:23" x14ac:dyDescent="0.2">
      <c r="A4" s="143"/>
      <c r="B4" s="144"/>
      <c r="C4" s="145"/>
      <c r="D4" s="144"/>
      <c r="E4" s="139"/>
      <c r="F4" s="136"/>
      <c r="G4" s="137"/>
      <c r="H4" s="137"/>
      <c r="I4" s="136"/>
      <c r="J4" s="138"/>
      <c r="K4" s="146"/>
      <c r="L4" s="140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</row>
    <row r="5" spans="1:23" x14ac:dyDescent="0.2">
      <c r="A5" s="143"/>
      <c r="B5" s="144"/>
      <c r="C5" s="145"/>
      <c r="D5" s="144"/>
      <c r="E5" s="139"/>
      <c r="F5" s="136"/>
      <c r="G5" s="137"/>
      <c r="H5" s="137"/>
      <c r="I5" s="136"/>
      <c r="J5" s="138"/>
      <c r="K5" s="146"/>
      <c r="L5" s="140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</row>
    <row r="6" spans="1:23" x14ac:dyDescent="0.2">
      <c r="A6" s="143"/>
      <c r="B6" s="144"/>
      <c r="C6" s="145"/>
      <c r="D6" s="144"/>
      <c r="E6" s="141"/>
      <c r="F6" s="136"/>
      <c r="G6" s="137"/>
      <c r="H6" s="137"/>
      <c r="I6" s="136"/>
      <c r="J6" s="138"/>
      <c r="K6" s="139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</row>
    <row r="7" spans="1:23" x14ac:dyDescent="0.2">
      <c r="A7" s="143"/>
      <c r="B7" s="144"/>
      <c r="C7" s="145"/>
      <c r="D7" s="144"/>
      <c r="E7" s="145"/>
      <c r="F7" s="147"/>
      <c r="G7" s="148"/>
      <c r="H7" s="149"/>
      <c r="I7" s="147"/>
      <c r="J7" s="147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</row>
    <row r="8" spans="1:23" x14ac:dyDescent="0.2">
      <c r="A8" s="150"/>
      <c r="E8" s="151"/>
      <c r="F8" s="151"/>
      <c r="H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</row>
    <row r="9" spans="1:23" x14ac:dyDescent="0.2">
      <c r="A9" s="150"/>
      <c r="E9" s="151"/>
      <c r="F9" s="151"/>
      <c r="H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</row>
    <row r="10" spans="1:23" x14ac:dyDescent="0.2">
      <c r="A10" s="150"/>
      <c r="E10" s="151"/>
      <c r="F10" s="151"/>
      <c r="H10" s="151"/>
      <c r="J10" s="136">
        <v>1</v>
      </c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51"/>
    </row>
    <row r="11" spans="1:23" hidden="1" x14ac:dyDescent="0.2">
      <c r="A11" s="150"/>
      <c r="E11" s="151"/>
      <c r="F11" s="151"/>
      <c r="H11" s="151"/>
      <c r="J11" s="136">
        <v>2</v>
      </c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</row>
    <row r="12" spans="1:23" hidden="1" x14ac:dyDescent="0.2">
      <c r="A12" s="150"/>
      <c r="E12" s="151"/>
      <c r="F12" s="151"/>
      <c r="H12" s="151"/>
      <c r="J12" s="136">
        <v>3</v>
      </c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</row>
    <row r="13" spans="1:23" hidden="1" x14ac:dyDescent="0.2">
      <c r="A13" s="150"/>
      <c r="E13" s="151"/>
      <c r="F13" s="151"/>
      <c r="H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</row>
    <row r="14" spans="1:23" hidden="1" x14ac:dyDescent="0.2">
      <c r="A14" s="150"/>
      <c r="E14" s="151"/>
      <c r="F14" s="151"/>
      <c r="H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</row>
    <row r="15" spans="1:23" hidden="1" x14ac:dyDescent="0.2">
      <c r="A15" s="150"/>
      <c r="E15" s="151"/>
      <c r="F15" s="151"/>
      <c r="H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</row>
    <row r="16" spans="1:23" hidden="1" x14ac:dyDescent="0.2">
      <c r="A16" s="150"/>
      <c r="E16" s="151"/>
      <c r="F16" s="151"/>
      <c r="H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</row>
    <row r="17" spans="1:23" x14ac:dyDescent="0.2">
      <c r="A17" s="150"/>
      <c r="E17" s="151"/>
      <c r="F17" s="151"/>
      <c r="H17" s="151"/>
      <c r="J17" s="136">
        <v>2</v>
      </c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51"/>
      <c r="W17" s="151"/>
    </row>
    <row r="18" spans="1:23" hidden="1" x14ac:dyDescent="0.2">
      <c r="A18" s="150"/>
      <c r="E18" s="151"/>
      <c r="F18" s="151"/>
      <c r="H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</row>
    <row r="19" spans="1:23" x14ac:dyDescent="0.2">
      <c r="A19" s="150"/>
      <c r="E19" s="151"/>
      <c r="F19" s="151"/>
      <c r="H19" s="151"/>
      <c r="J19" s="136">
        <v>3</v>
      </c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</row>
    <row r="20" spans="1:23" x14ac:dyDescent="0.2">
      <c r="A20" s="150"/>
      <c r="E20" s="151"/>
      <c r="F20" s="151"/>
      <c r="H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</row>
    <row r="21" spans="1:23" x14ac:dyDescent="0.2">
      <c r="A21" s="150"/>
      <c r="E21" s="151"/>
      <c r="F21" s="151"/>
      <c r="H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</row>
    <row r="22" spans="1:23" x14ac:dyDescent="0.2">
      <c r="A22" s="150"/>
      <c r="E22" s="151"/>
      <c r="F22" s="151"/>
      <c r="H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</row>
    <row r="23" spans="1:23" x14ac:dyDescent="0.2">
      <c r="A23" s="150"/>
      <c r="E23" s="151"/>
      <c r="F23" s="151"/>
      <c r="H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</row>
    <row r="24" spans="1:23" x14ac:dyDescent="0.2">
      <c r="A24" s="150"/>
      <c r="E24" s="151"/>
      <c r="F24" s="151"/>
      <c r="H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</row>
    <row r="25" spans="1:23" x14ac:dyDescent="0.2">
      <c r="A25" s="150"/>
      <c r="E25" s="151"/>
      <c r="F25" s="151"/>
      <c r="H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</row>
    <row r="26" spans="1:23" x14ac:dyDescent="0.2">
      <c r="A26" s="150"/>
      <c r="E26" s="151"/>
      <c r="F26" s="151"/>
      <c r="H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</row>
    <row r="27" spans="1:23" x14ac:dyDescent="0.2">
      <c r="A27" s="150"/>
      <c r="E27" s="151"/>
      <c r="F27" s="151"/>
      <c r="H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</row>
    <row r="28" spans="1:23" x14ac:dyDescent="0.2">
      <c r="A28" s="150"/>
      <c r="E28" s="151"/>
      <c r="F28" s="151"/>
      <c r="H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</row>
    <row r="29" spans="1:23" x14ac:dyDescent="0.2">
      <c r="A29" s="150"/>
      <c r="E29" s="151"/>
      <c r="F29" s="151"/>
      <c r="H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</row>
    <row r="30" spans="1:23" x14ac:dyDescent="0.2">
      <c r="A30" s="150"/>
      <c r="E30" s="151"/>
      <c r="F30" s="151"/>
      <c r="H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</row>
    <row r="31" spans="1:23" x14ac:dyDescent="0.2">
      <c r="A31" s="150"/>
      <c r="E31" s="151"/>
      <c r="F31" s="151"/>
      <c r="H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</row>
    <row r="32" spans="1:23" x14ac:dyDescent="0.2">
      <c r="A32" s="150"/>
      <c r="E32" s="151"/>
      <c r="F32" s="151"/>
      <c r="H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</row>
    <row r="33" spans="1:23" x14ac:dyDescent="0.2">
      <c r="A33" s="150"/>
      <c r="E33" s="151"/>
      <c r="F33" s="151"/>
      <c r="H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</row>
    <row r="34" spans="1:23" x14ac:dyDescent="0.2">
      <c r="A34" s="150"/>
      <c r="E34" s="151"/>
      <c r="F34" s="151"/>
      <c r="H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</row>
    <row r="35" spans="1:23" x14ac:dyDescent="0.2">
      <c r="A35" s="150"/>
      <c r="E35" s="151"/>
      <c r="F35" s="151"/>
      <c r="H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</row>
    <row r="36" spans="1:23" x14ac:dyDescent="0.2">
      <c r="A36" s="150"/>
      <c r="E36" s="151"/>
      <c r="F36" s="151"/>
      <c r="H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</row>
    <row r="37" spans="1:23" x14ac:dyDescent="0.2">
      <c r="A37" s="150"/>
      <c r="E37" s="151"/>
      <c r="F37" s="151"/>
      <c r="H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</row>
    <row r="38" spans="1:23" x14ac:dyDescent="0.2">
      <c r="A38" s="150"/>
      <c r="E38" s="151"/>
      <c r="F38" s="151"/>
      <c r="H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</row>
    <row r="39" spans="1:23" x14ac:dyDescent="0.2">
      <c r="A39" s="150"/>
      <c r="E39" s="151"/>
      <c r="F39" s="151"/>
      <c r="H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</row>
    <row r="40" spans="1:23" x14ac:dyDescent="0.2">
      <c r="A40" s="150"/>
      <c r="E40" s="151"/>
      <c r="F40" s="151"/>
      <c r="H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</row>
    <row r="41" spans="1:23" x14ac:dyDescent="0.2">
      <c r="A41" s="150"/>
      <c r="E41" s="151"/>
      <c r="F41" s="151"/>
      <c r="H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</row>
    <row r="42" spans="1:23" x14ac:dyDescent="0.2">
      <c r="A42" s="150"/>
      <c r="E42" s="151"/>
      <c r="F42" s="151"/>
      <c r="H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</row>
    <row r="43" spans="1:23" x14ac:dyDescent="0.2">
      <c r="A43" s="150"/>
      <c r="E43" s="151"/>
      <c r="F43" s="151"/>
      <c r="H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</row>
    <row r="44" spans="1:23" x14ac:dyDescent="0.2">
      <c r="A44" s="150"/>
      <c r="E44" s="151"/>
      <c r="F44" s="151"/>
      <c r="H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</row>
    <row r="45" spans="1:23" x14ac:dyDescent="0.2">
      <c r="A45" s="150"/>
      <c r="E45" s="151"/>
      <c r="F45" s="151"/>
      <c r="H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</row>
    <row r="46" spans="1:23" x14ac:dyDescent="0.2">
      <c r="A46" s="150"/>
      <c r="E46" s="151"/>
      <c r="F46" s="151"/>
      <c r="H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</row>
    <row r="47" spans="1:23" x14ac:dyDescent="0.2">
      <c r="A47" s="150"/>
      <c r="E47" s="151"/>
      <c r="F47" s="151"/>
      <c r="H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</row>
    <row r="48" spans="1:23" x14ac:dyDescent="0.2">
      <c r="A48" s="150"/>
      <c r="E48" s="151"/>
      <c r="F48" s="151"/>
      <c r="H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</row>
    <row r="49" spans="1:23" x14ac:dyDescent="0.2">
      <c r="A49" s="150"/>
      <c r="E49" s="151"/>
      <c r="F49" s="151"/>
      <c r="H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</row>
    <row r="50" spans="1:23" x14ac:dyDescent="0.2">
      <c r="A50" s="150"/>
      <c r="E50" s="151"/>
      <c r="F50" s="151"/>
      <c r="H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</row>
    <row r="51" spans="1:23" x14ac:dyDescent="0.2">
      <c r="A51" s="150"/>
      <c r="E51" s="151"/>
      <c r="F51" s="151"/>
      <c r="H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</row>
    <row r="52" spans="1:23" x14ac:dyDescent="0.2">
      <c r="A52" s="150"/>
      <c r="E52" s="151"/>
      <c r="F52" s="151"/>
      <c r="H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</row>
    <row r="53" spans="1:23" x14ac:dyDescent="0.2">
      <c r="A53" s="150"/>
      <c r="E53" s="151"/>
      <c r="F53" s="151"/>
      <c r="H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</row>
    <row r="54" spans="1:23" x14ac:dyDescent="0.2">
      <c r="A54" s="150"/>
      <c r="E54" s="151"/>
      <c r="F54" s="151"/>
      <c r="H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</row>
    <row r="55" spans="1:23" x14ac:dyDescent="0.2">
      <c r="A55" s="150"/>
      <c r="E55" s="151"/>
      <c r="F55" s="151"/>
      <c r="H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</row>
    <row r="56" spans="1:23" x14ac:dyDescent="0.2">
      <c r="A56" s="150"/>
      <c r="E56" s="151"/>
      <c r="F56" s="151"/>
      <c r="H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</row>
    <row r="57" spans="1:23" x14ac:dyDescent="0.2">
      <c r="A57" s="150"/>
      <c r="E57" s="151"/>
      <c r="F57" s="151"/>
      <c r="H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</row>
    <row r="58" spans="1:23" x14ac:dyDescent="0.2">
      <c r="A58" s="150"/>
      <c r="E58" s="151"/>
      <c r="F58" s="151"/>
      <c r="H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</row>
    <row r="59" spans="1:23" x14ac:dyDescent="0.2">
      <c r="A59" s="150"/>
      <c r="E59" s="151"/>
      <c r="F59" s="151"/>
      <c r="H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</row>
    <row r="60" spans="1:23" x14ac:dyDescent="0.2">
      <c r="A60" s="150"/>
      <c r="E60" s="151"/>
      <c r="F60" s="151"/>
      <c r="H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</row>
    <row r="61" spans="1:23" x14ac:dyDescent="0.2">
      <c r="A61" s="150"/>
    </row>
    <row r="62" spans="1:23" x14ac:dyDescent="0.2">
      <c r="A62" s="150"/>
    </row>
    <row r="63" spans="1:23" x14ac:dyDescent="0.2">
      <c r="A63" s="150"/>
    </row>
    <row r="64" spans="1:23" x14ac:dyDescent="0.2">
      <c r="A64" s="150"/>
    </row>
    <row r="65" spans="1:1" x14ac:dyDescent="0.2">
      <c r="A65" s="150"/>
    </row>
    <row r="66" spans="1:1" x14ac:dyDescent="0.2">
      <c r="A66" s="150"/>
    </row>
    <row r="67" spans="1:1" x14ac:dyDescent="0.2">
      <c r="A67" s="150"/>
    </row>
    <row r="68" spans="1:1" x14ac:dyDescent="0.2">
      <c r="A68" s="150"/>
    </row>
    <row r="69" spans="1:1" x14ac:dyDescent="0.2">
      <c r="A69" s="150"/>
    </row>
    <row r="70" spans="1:1" x14ac:dyDescent="0.2">
      <c r="A70" s="150"/>
    </row>
    <row r="71" spans="1:1" x14ac:dyDescent="0.2">
      <c r="A71" s="150"/>
    </row>
    <row r="72" spans="1:1" x14ac:dyDescent="0.2">
      <c r="A72" s="150"/>
    </row>
    <row r="73" spans="1:1" x14ac:dyDescent="0.2">
      <c r="A73" s="150"/>
    </row>
    <row r="74" spans="1:1" x14ac:dyDescent="0.2">
      <c r="A74" s="150"/>
    </row>
    <row r="75" spans="1:1" x14ac:dyDescent="0.2">
      <c r="A75" s="150"/>
    </row>
    <row r="76" spans="1:1" x14ac:dyDescent="0.2">
      <c r="A76" s="150"/>
    </row>
    <row r="77" spans="1:1" x14ac:dyDescent="0.2">
      <c r="A77" s="150"/>
    </row>
    <row r="78" spans="1:1" x14ac:dyDescent="0.2">
      <c r="A78" s="150"/>
    </row>
    <row r="79" spans="1:1" x14ac:dyDescent="0.2">
      <c r="A79" s="150"/>
    </row>
    <row r="80" spans="1:1" x14ac:dyDescent="0.2">
      <c r="A80" s="150"/>
    </row>
    <row r="81" spans="1:1" x14ac:dyDescent="0.2">
      <c r="A81" s="150"/>
    </row>
    <row r="82" spans="1:1" x14ac:dyDescent="0.2">
      <c r="A82" s="150"/>
    </row>
  </sheetData>
  <conditionalFormatting sqref="K6:N6 H4:O4 E6:I6 G2:W3 Q4:W4 E7:W7">
    <cfRule type="expression" dxfId="76" priority="336">
      <formula>$I2="Complete"</formula>
    </cfRule>
  </conditionalFormatting>
  <conditionalFormatting sqref="L2">
    <cfRule type="expression" dxfId="75" priority="335">
      <formula>$I2="Complete"</formula>
    </cfRule>
  </conditionalFormatting>
  <conditionalFormatting sqref="K3:L4">
    <cfRule type="expression" dxfId="74" priority="334">
      <formula>$I3="Complete"</formula>
    </cfRule>
  </conditionalFormatting>
  <conditionalFormatting sqref="M2">
    <cfRule type="expression" dxfId="73" priority="331">
      <formula>$I2="Complete"</formula>
    </cfRule>
  </conditionalFormatting>
  <conditionalFormatting sqref="M2">
    <cfRule type="expression" dxfId="72" priority="330">
      <formula>$I2="Complete"</formula>
    </cfRule>
  </conditionalFormatting>
  <conditionalFormatting sqref="M3:M4">
    <cfRule type="expression" dxfId="71" priority="329">
      <formula>$I3="Complete"</formula>
    </cfRule>
  </conditionalFormatting>
  <conditionalFormatting sqref="M3:M4">
    <cfRule type="expression" dxfId="70" priority="328">
      <formula>$I3="Complete"</formula>
    </cfRule>
  </conditionalFormatting>
  <conditionalFormatting sqref="N2">
    <cfRule type="expression" dxfId="69" priority="323">
      <formula>$I2="Complete"</formula>
    </cfRule>
  </conditionalFormatting>
  <conditionalFormatting sqref="N2">
    <cfRule type="expression" dxfId="68" priority="322">
      <formula>$I2="Complete"</formula>
    </cfRule>
  </conditionalFormatting>
  <conditionalFormatting sqref="N3:N4">
    <cfRule type="expression" dxfId="67" priority="321">
      <formula>$I3="Complete"</formula>
    </cfRule>
  </conditionalFormatting>
  <conditionalFormatting sqref="N3:N4">
    <cfRule type="expression" dxfId="66" priority="320">
      <formula>$I3="Complete"</formula>
    </cfRule>
  </conditionalFormatting>
  <conditionalFormatting sqref="G3">
    <cfRule type="expression" dxfId="65" priority="319">
      <formula>$I3="Complete"</formula>
    </cfRule>
  </conditionalFormatting>
  <conditionalFormatting sqref="G3">
    <cfRule type="expression" dxfId="64" priority="318">
      <formula>$I3="Complete"</formula>
    </cfRule>
  </conditionalFormatting>
  <conditionalFormatting sqref="O3:O4">
    <cfRule type="expression" dxfId="63" priority="313">
      <formula>$I3="Complete"</formula>
    </cfRule>
  </conditionalFormatting>
  <conditionalFormatting sqref="O3:O4">
    <cfRule type="expression" dxfId="62" priority="312">
      <formula>$I3="Complete"</formula>
    </cfRule>
  </conditionalFormatting>
  <conditionalFormatting sqref="P3">
    <cfRule type="expression" dxfId="61" priority="306">
      <formula>$I3="Complete"</formula>
    </cfRule>
  </conditionalFormatting>
  <conditionalFormatting sqref="P3">
    <cfRule type="expression" dxfId="60" priority="305">
      <formula>$I3="Complete"</formula>
    </cfRule>
  </conditionalFormatting>
  <conditionalFormatting sqref="Q3:Q4">
    <cfRule type="expression" dxfId="59" priority="304">
      <formula>$I3="Complete"</formula>
    </cfRule>
  </conditionalFormatting>
  <conditionalFormatting sqref="Q3:Q4">
    <cfRule type="expression" dxfId="58" priority="303">
      <formula>$I3="Complete"</formula>
    </cfRule>
  </conditionalFormatting>
  <conditionalFormatting sqref="R3:R4">
    <cfRule type="expression" dxfId="57" priority="302">
      <formula>$I3="Complete"</formula>
    </cfRule>
  </conditionalFormatting>
  <conditionalFormatting sqref="R3:R4">
    <cfRule type="expression" dxfId="56" priority="301">
      <formula>$I3="Complete"</formula>
    </cfRule>
  </conditionalFormatting>
  <conditionalFormatting sqref="S3:S4">
    <cfRule type="expression" dxfId="55" priority="300">
      <formula>$I3="Complete"</formula>
    </cfRule>
  </conditionalFormatting>
  <conditionalFormatting sqref="S3:S4">
    <cfRule type="expression" dxfId="54" priority="299">
      <formula>$I3="Complete"</formula>
    </cfRule>
  </conditionalFormatting>
  <conditionalFormatting sqref="T3:T4">
    <cfRule type="expression" dxfId="53" priority="298">
      <formula>$I3="Complete"</formula>
    </cfRule>
  </conditionalFormatting>
  <conditionalFormatting sqref="T3:T4">
    <cfRule type="expression" dxfId="52" priority="297">
      <formula>$I3="Complete"</formula>
    </cfRule>
  </conditionalFormatting>
  <conditionalFormatting sqref="U3:U4">
    <cfRule type="expression" dxfId="51" priority="296">
      <formula>$I3="Complete"</formula>
    </cfRule>
  </conditionalFormatting>
  <conditionalFormatting sqref="U3:U4">
    <cfRule type="expression" dxfId="50" priority="295">
      <formula>$I3="Complete"</formula>
    </cfRule>
  </conditionalFormatting>
  <conditionalFormatting sqref="W3:W4">
    <cfRule type="expression" dxfId="49" priority="294">
      <formula>$I3="Complete"</formula>
    </cfRule>
  </conditionalFormatting>
  <conditionalFormatting sqref="W3:W4">
    <cfRule type="expression" dxfId="48" priority="293">
      <formula>$I3="Complete"</formula>
    </cfRule>
  </conditionalFormatting>
  <conditionalFormatting sqref="V3:V4">
    <cfRule type="expression" dxfId="47" priority="290">
      <formula>$I3="Complete"</formula>
    </cfRule>
  </conditionalFormatting>
  <conditionalFormatting sqref="V3:V4">
    <cfRule type="expression" dxfId="46" priority="289">
      <formula>$I3="Complete"</formula>
    </cfRule>
  </conditionalFormatting>
  <conditionalFormatting sqref="E2">
    <cfRule type="expression" dxfId="45" priority="281">
      <formula>$I2="Complete"</formula>
    </cfRule>
  </conditionalFormatting>
  <conditionalFormatting sqref="J10:J12">
    <cfRule type="expression" dxfId="44" priority="227">
      <formula>$I10="Complete"</formula>
    </cfRule>
  </conditionalFormatting>
  <conditionalFormatting sqref="J10:J12">
    <cfRule type="iconSet" priority="228">
      <iconSet showValue="0">
        <cfvo type="percent" val="0"/>
        <cfvo type="num" val="2"/>
        <cfvo type="num" val="3"/>
      </iconSet>
    </cfRule>
  </conditionalFormatting>
  <conditionalFormatting sqref="J17">
    <cfRule type="expression" dxfId="43" priority="225">
      <formula>$I17="Complete"</formula>
    </cfRule>
  </conditionalFormatting>
  <conditionalFormatting sqref="J17">
    <cfRule type="iconSet" priority="226">
      <iconSet showValue="0">
        <cfvo type="percent" val="0"/>
        <cfvo type="num" val="2"/>
        <cfvo type="num" val="3"/>
      </iconSet>
    </cfRule>
  </conditionalFormatting>
  <conditionalFormatting sqref="J19">
    <cfRule type="expression" dxfId="42" priority="223">
      <formula>$I19="Complete"</formula>
    </cfRule>
  </conditionalFormatting>
  <conditionalFormatting sqref="J19">
    <cfRule type="iconSet" priority="224">
      <iconSet showValue="0">
        <cfvo type="percent" val="0"/>
        <cfvo type="num" val="2"/>
        <cfvo type="num" val="3"/>
      </iconSet>
    </cfRule>
  </conditionalFormatting>
  <conditionalFormatting sqref="G6">
    <cfRule type="expression" dxfId="41" priority="222">
      <formula>$I6="Complete"</formula>
    </cfRule>
  </conditionalFormatting>
  <conditionalFormatting sqref="G6">
    <cfRule type="expression" dxfId="40" priority="221">
      <formula>$I6="Complete"</formula>
    </cfRule>
  </conditionalFormatting>
  <conditionalFormatting sqref="F2:F4">
    <cfRule type="expression" dxfId="39" priority="109">
      <formula>$I2="Complete"</formula>
    </cfRule>
  </conditionalFormatting>
  <conditionalFormatting sqref="G4">
    <cfRule type="expression" dxfId="38" priority="103">
      <formula>$I4="Complete"</formula>
    </cfRule>
  </conditionalFormatting>
  <conditionalFormatting sqref="G4">
    <cfRule type="expression" dxfId="37" priority="102">
      <formula>$I4="Complete"</formula>
    </cfRule>
  </conditionalFormatting>
  <conditionalFormatting sqref="G4">
    <cfRule type="expression" dxfId="36" priority="101">
      <formula>$I4="Complete"</formula>
    </cfRule>
  </conditionalFormatting>
  <conditionalFormatting sqref="H5:I5 K5:W5">
    <cfRule type="expression" dxfId="35" priority="92">
      <formula>$I5="Complete"</formula>
    </cfRule>
  </conditionalFormatting>
  <conditionalFormatting sqref="K5:L5">
    <cfRule type="expression" dxfId="34" priority="91">
      <formula>$I5="Complete"</formula>
    </cfRule>
  </conditionalFormatting>
  <conditionalFormatting sqref="M5">
    <cfRule type="expression" dxfId="33" priority="90">
      <formula>$I5="Complete"</formula>
    </cfRule>
  </conditionalFormatting>
  <conditionalFormatting sqref="M5">
    <cfRule type="expression" dxfId="32" priority="89">
      <formula>$I5="Complete"</formula>
    </cfRule>
  </conditionalFormatting>
  <conditionalFormatting sqref="N5">
    <cfRule type="expression" dxfId="31" priority="88">
      <formula>$I5="Complete"</formula>
    </cfRule>
  </conditionalFormatting>
  <conditionalFormatting sqref="N5">
    <cfRule type="expression" dxfId="30" priority="87">
      <formula>$I5="Complete"</formula>
    </cfRule>
  </conditionalFormatting>
  <conditionalFormatting sqref="O5">
    <cfRule type="expression" dxfId="29" priority="86">
      <formula>$I5="Complete"</formula>
    </cfRule>
  </conditionalFormatting>
  <conditionalFormatting sqref="O5">
    <cfRule type="expression" dxfId="28" priority="85">
      <formula>$I5="Complete"</formula>
    </cfRule>
  </conditionalFormatting>
  <conditionalFormatting sqref="P5">
    <cfRule type="expression" dxfId="27" priority="84">
      <formula>$I5="Complete"</formula>
    </cfRule>
  </conditionalFormatting>
  <conditionalFormatting sqref="P5">
    <cfRule type="expression" dxfId="26" priority="83">
      <formula>$I5="Complete"</formula>
    </cfRule>
  </conditionalFormatting>
  <conditionalFormatting sqref="Q5">
    <cfRule type="expression" dxfId="25" priority="82">
      <formula>$I5="Complete"</formula>
    </cfRule>
  </conditionalFormatting>
  <conditionalFormatting sqref="Q5">
    <cfRule type="expression" dxfId="24" priority="81">
      <formula>$I5="Complete"</formula>
    </cfRule>
  </conditionalFormatting>
  <conditionalFormatting sqref="R5">
    <cfRule type="expression" dxfId="23" priority="80">
      <formula>$I5="Complete"</formula>
    </cfRule>
  </conditionalFormatting>
  <conditionalFormatting sqref="R5">
    <cfRule type="expression" dxfId="22" priority="79">
      <formula>$I5="Complete"</formula>
    </cfRule>
  </conditionalFormatting>
  <conditionalFormatting sqref="S5">
    <cfRule type="expression" dxfId="21" priority="78">
      <formula>$I5="Complete"</formula>
    </cfRule>
  </conditionalFormatting>
  <conditionalFormatting sqref="S5">
    <cfRule type="expression" dxfId="20" priority="77">
      <formula>$I5="Complete"</formula>
    </cfRule>
  </conditionalFormatting>
  <conditionalFormatting sqref="T5">
    <cfRule type="expression" dxfId="19" priority="76">
      <formula>$I5="Complete"</formula>
    </cfRule>
  </conditionalFormatting>
  <conditionalFormatting sqref="T5">
    <cfRule type="expression" dxfId="18" priority="75">
      <formula>$I5="Complete"</formula>
    </cfRule>
  </conditionalFormatting>
  <conditionalFormatting sqref="U5">
    <cfRule type="expression" dxfId="17" priority="74">
      <formula>$I5="Complete"</formula>
    </cfRule>
  </conditionalFormatting>
  <conditionalFormatting sqref="U5">
    <cfRule type="expression" dxfId="16" priority="73">
      <formula>$I5="Complete"</formula>
    </cfRule>
  </conditionalFormatting>
  <conditionalFormatting sqref="W5">
    <cfRule type="expression" dxfId="15" priority="72">
      <formula>$I5="Complete"</formula>
    </cfRule>
  </conditionalFormatting>
  <conditionalFormatting sqref="W5">
    <cfRule type="expression" dxfId="14" priority="71">
      <formula>$I5="Complete"</formula>
    </cfRule>
  </conditionalFormatting>
  <conditionalFormatting sqref="V5">
    <cfRule type="expression" dxfId="13" priority="70">
      <formula>$I5="Complete"</formula>
    </cfRule>
  </conditionalFormatting>
  <conditionalFormatting sqref="V5">
    <cfRule type="expression" dxfId="12" priority="69">
      <formula>$I5="Complete"</formula>
    </cfRule>
  </conditionalFormatting>
  <conditionalFormatting sqref="F5">
    <cfRule type="expression" dxfId="11" priority="68">
      <formula>$I5="Complete"</formula>
    </cfRule>
  </conditionalFormatting>
  <conditionalFormatting sqref="G5">
    <cfRule type="expression" dxfId="10" priority="67">
      <formula>$I5="Complete"</formula>
    </cfRule>
  </conditionalFormatting>
  <conditionalFormatting sqref="G5">
    <cfRule type="expression" dxfId="9" priority="66">
      <formula>$I5="Complete"</formula>
    </cfRule>
  </conditionalFormatting>
  <conditionalFormatting sqref="G5">
    <cfRule type="expression" dxfId="8" priority="65">
      <formula>$I5="Complete"</formula>
    </cfRule>
  </conditionalFormatting>
  <conditionalFormatting sqref="J5">
    <cfRule type="expression" dxfId="7" priority="52">
      <formula>$I5="Complete"</formula>
    </cfRule>
  </conditionalFormatting>
  <conditionalFormatting sqref="J5">
    <cfRule type="iconSet" priority="53">
      <iconSet showValue="0">
        <cfvo type="percent" val="0"/>
        <cfvo type="num" val="2"/>
        <cfvo type="num" val="3"/>
      </iconSet>
    </cfRule>
  </conditionalFormatting>
  <conditionalFormatting sqref="J6">
    <cfRule type="expression" dxfId="6" priority="46">
      <formula>$I6="Complete"</formula>
    </cfRule>
  </conditionalFormatting>
  <conditionalFormatting sqref="J6">
    <cfRule type="iconSet" priority="47">
      <iconSet showValue="0">
        <cfvo type="percent" val="0"/>
        <cfvo type="num" val="2"/>
        <cfvo type="num" val="3"/>
      </iconSet>
    </cfRule>
  </conditionalFormatting>
  <conditionalFormatting sqref="L3">
    <cfRule type="expression" dxfId="5" priority="24">
      <formula>$I3="Complete"</formula>
    </cfRule>
  </conditionalFormatting>
  <conditionalFormatting sqref="O6:Q6">
    <cfRule type="expression" dxfId="4" priority="13">
      <formula>$I6="Complete"</formula>
    </cfRule>
  </conditionalFormatting>
  <conditionalFormatting sqref="R6:W6">
    <cfRule type="expression" dxfId="3" priority="12">
      <formula>$I6="Complete"</formula>
    </cfRule>
  </conditionalFormatting>
  <conditionalFormatting sqref="P4">
    <cfRule type="expression" dxfId="2" priority="3">
      <formula>$I4="Complete"</formula>
    </cfRule>
  </conditionalFormatting>
  <conditionalFormatting sqref="P4">
    <cfRule type="expression" dxfId="1" priority="2">
      <formula>$I4="Complete"</formula>
    </cfRule>
  </conditionalFormatting>
  <conditionalFormatting sqref="P4">
    <cfRule type="expression" dxfId="0" priority="1">
      <formula>$I4="Complete"</formula>
    </cfRule>
  </conditionalFormatting>
  <conditionalFormatting sqref="J7 J2:J4">
    <cfRule type="iconSet" priority="343">
      <iconSet showValue="0">
        <cfvo type="percent" val="0"/>
        <cfvo type="num" val="2"/>
        <cfvo type="num" val="3"/>
      </iconSet>
    </cfRule>
  </conditionalFormatting>
  <dataValidations count="1">
    <dataValidation type="list" allowBlank="1" showInputMessage="1" showErrorMessage="1" sqref="I1:I1048576" xr:uid="{00000000-0002-0000-0900-000000000000}">
      <formula1>"Not Started,In Progress,Pending,Complete"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&amp;LProblem Management CSIP and Risk Register&amp;C_x000D_&amp;1#&amp;"Arial"&amp;9&amp;K000000 Confidential&amp;RLast  Updated 19/12/2019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pageSetUpPr autoPageBreaks="0"/>
  </sheetPr>
  <dimension ref="A1:AG500"/>
  <sheetViews>
    <sheetView zoomScaleNormal="100" workbookViewId="0">
      <pane xSplit="2" ySplit="1" topLeftCell="C2" activePane="bottomRight" state="frozen"/>
      <selection sqref="A1:L1048576"/>
      <selection pane="topRight" sqref="A1:L1048576"/>
      <selection pane="bottomLeft" sqref="A1:L1048576"/>
      <selection pane="bottomRight" activeCell="A2" sqref="A2:AG501"/>
    </sheetView>
  </sheetViews>
  <sheetFormatPr defaultColWidth="9.140625" defaultRowHeight="15" x14ac:dyDescent="0.2"/>
  <cols>
    <col min="1" max="1" width="16.42578125" style="9" bestFit="1" customWidth="1"/>
    <col min="2" max="3" width="60.7109375" style="7" customWidth="1"/>
    <col min="4" max="4" width="42.140625" style="9" customWidth="1"/>
    <col min="5" max="5" width="18.7109375" style="9" bestFit="1" customWidth="1"/>
    <col min="6" max="6" width="19.7109375" style="9" bestFit="1" customWidth="1"/>
    <col min="7" max="7" width="24.140625" style="9" bestFit="1" customWidth="1"/>
    <col min="8" max="8" width="11.85546875" style="9" customWidth="1"/>
    <col min="9" max="9" width="15.85546875" style="9" bestFit="1" customWidth="1"/>
    <col min="10" max="10" width="17.85546875" style="9" bestFit="1" customWidth="1"/>
    <col min="11" max="11" width="19.85546875" style="9" bestFit="1" customWidth="1"/>
    <col min="12" max="12" width="18.85546875" style="9" bestFit="1" customWidth="1"/>
    <col min="13" max="13" width="24" style="9" bestFit="1" customWidth="1"/>
    <col min="14" max="14" width="24.28515625" style="9" bestFit="1" customWidth="1"/>
    <col min="15" max="15" width="21.42578125" style="9" bestFit="1" customWidth="1"/>
    <col min="16" max="16" width="19.7109375" style="9" bestFit="1" customWidth="1"/>
    <col min="17" max="17" width="15.85546875" style="9" bestFit="1" customWidth="1"/>
    <col min="18" max="18" width="25" style="9" bestFit="1" customWidth="1"/>
    <col min="19" max="19" width="50.7109375" style="7" customWidth="1"/>
    <col min="20" max="20" width="25.140625" style="9" bestFit="1" customWidth="1"/>
    <col min="21" max="22" width="50.7109375" style="7" customWidth="1"/>
    <col min="23" max="23" width="31.7109375" style="7" customWidth="1"/>
    <col min="24" max="25" width="60.7109375" style="7" customWidth="1"/>
    <col min="26" max="26" width="29.42578125" style="7" customWidth="1"/>
    <col min="27" max="27" width="30.7109375" style="7" customWidth="1"/>
    <col min="28" max="28" width="21.140625" style="9" bestFit="1" customWidth="1"/>
    <col min="29" max="29" width="24.7109375" style="9" bestFit="1" customWidth="1"/>
    <col min="30" max="30" width="45.7109375" style="6" customWidth="1"/>
    <col min="31" max="31" width="18" style="6" bestFit="1" customWidth="1"/>
    <col min="32" max="32" width="9.7109375" style="6" bestFit="1" customWidth="1"/>
    <col min="33" max="33" width="10.85546875" style="6" bestFit="1" customWidth="1"/>
    <col min="34" max="16384" width="9.140625" style="10"/>
  </cols>
  <sheetData>
    <row r="1" spans="1:33" s="4" customFormat="1" x14ac:dyDescent="0.2">
      <c r="A1" s="1" t="s">
        <v>0</v>
      </c>
      <c r="B1" s="2" t="s">
        <v>1</v>
      </c>
      <c r="C1" s="2" t="s">
        <v>39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2" t="s">
        <v>17</v>
      </c>
      <c r="T1" s="1" t="s">
        <v>18</v>
      </c>
      <c r="U1" s="2" t="s">
        <v>19</v>
      </c>
      <c r="V1" s="2" t="s">
        <v>20</v>
      </c>
      <c r="W1" s="2" t="s">
        <v>24</v>
      </c>
      <c r="X1" s="2" t="s">
        <v>79</v>
      </c>
      <c r="Y1" s="2" t="s">
        <v>80</v>
      </c>
      <c r="Z1" s="2" t="s">
        <v>25</v>
      </c>
      <c r="AA1" s="2" t="s">
        <v>26</v>
      </c>
      <c r="AB1" s="1" t="s">
        <v>107</v>
      </c>
      <c r="AC1" s="1" t="s">
        <v>75</v>
      </c>
      <c r="AD1" s="3" t="s">
        <v>21</v>
      </c>
      <c r="AE1" s="3" t="s">
        <v>29</v>
      </c>
      <c r="AF1" s="3" t="s">
        <v>22</v>
      </c>
      <c r="AG1" s="3" t="s">
        <v>23</v>
      </c>
    </row>
    <row r="2" spans="1:33" x14ac:dyDescent="0.2">
      <c r="A2"/>
      <c r="B2"/>
      <c r="C2"/>
      <c r="D2"/>
      <c r="E2"/>
      <c r="F2"/>
      <c r="G2"/>
      <c r="H2"/>
      <c r="I2" s="37"/>
      <c r="J2" s="37"/>
      <c r="K2"/>
      <c r="L2"/>
      <c r="M2"/>
      <c r="N2"/>
      <c r="O2"/>
      <c r="P2"/>
      <c r="Q2"/>
      <c r="R2"/>
      <c r="S2"/>
      <c r="T2"/>
      <c r="U2"/>
      <c r="V2"/>
      <c r="X2"/>
      <c r="Y2"/>
      <c r="Z2"/>
      <c r="AB2" s="8"/>
      <c r="AC2" s="5"/>
    </row>
    <row r="3" spans="1:33" x14ac:dyDescent="0.2">
      <c r="A3"/>
      <c r="B3"/>
      <c r="C3"/>
      <c r="D3"/>
      <c r="E3"/>
      <c r="F3"/>
      <c r="G3"/>
      <c r="H3"/>
      <c r="I3" s="37"/>
      <c r="J3" s="37"/>
      <c r="K3"/>
      <c r="L3"/>
      <c r="M3"/>
      <c r="N3"/>
      <c r="O3"/>
      <c r="P3"/>
      <c r="Q3"/>
      <c r="R3"/>
      <c r="S3"/>
      <c r="T3"/>
      <c r="U3"/>
      <c r="V3"/>
      <c r="X3"/>
      <c r="Y3"/>
      <c r="Z3"/>
      <c r="AB3" s="8"/>
      <c r="AC3" s="5"/>
    </row>
    <row r="4" spans="1:33" x14ac:dyDescent="0.2">
      <c r="A4"/>
      <c r="B4"/>
      <c r="C4"/>
      <c r="D4"/>
      <c r="E4"/>
      <c r="F4"/>
      <c r="G4"/>
      <c r="H4"/>
      <c r="I4" s="37"/>
      <c r="J4" s="37"/>
      <c r="K4"/>
      <c r="L4"/>
      <c r="M4"/>
      <c r="N4"/>
      <c r="O4"/>
      <c r="P4"/>
      <c r="Q4"/>
      <c r="R4"/>
      <c r="S4"/>
      <c r="T4"/>
      <c r="U4"/>
      <c r="V4"/>
      <c r="X4"/>
      <c r="Y4"/>
      <c r="Z4"/>
      <c r="AB4" s="8"/>
      <c r="AC4" s="5"/>
    </row>
    <row r="5" spans="1:33" x14ac:dyDescent="0.2">
      <c r="A5"/>
      <c r="B5"/>
      <c r="C5"/>
      <c r="D5"/>
      <c r="E5"/>
      <c r="F5"/>
      <c r="G5"/>
      <c r="H5"/>
      <c r="I5" s="37"/>
      <c r="J5" s="37"/>
      <c r="K5"/>
      <c r="L5"/>
      <c r="M5"/>
      <c r="N5"/>
      <c r="O5"/>
      <c r="P5"/>
      <c r="Q5"/>
      <c r="R5"/>
      <c r="S5"/>
      <c r="T5"/>
      <c r="U5"/>
      <c r="V5"/>
      <c r="X5"/>
      <c r="Y5"/>
      <c r="Z5"/>
      <c r="AB5" s="8"/>
      <c r="AC5" s="5"/>
    </row>
    <row r="6" spans="1:33" x14ac:dyDescent="0.2">
      <c r="A6"/>
      <c r="B6"/>
      <c r="C6"/>
      <c r="D6"/>
      <c r="E6"/>
      <c r="F6"/>
      <c r="G6"/>
      <c r="H6"/>
      <c r="I6" s="37"/>
      <c r="J6" s="37"/>
      <c r="K6"/>
      <c r="L6"/>
      <c r="M6"/>
      <c r="N6"/>
      <c r="O6"/>
      <c r="P6"/>
      <c r="Q6"/>
      <c r="R6"/>
      <c r="S6"/>
      <c r="T6"/>
      <c r="U6"/>
      <c r="V6"/>
      <c r="X6"/>
      <c r="Y6"/>
      <c r="Z6"/>
      <c r="AB6" s="8"/>
      <c r="AC6" s="5"/>
    </row>
    <row r="7" spans="1:33" x14ac:dyDescent="0.2">
      <c r="A7"/>
      <c r="B7"/>
      <c r="C7"/>
      <c r="D7"/>
      <c r="E7"/>
      <c r="F7"/>
      <c r="G7"/>
      <c r="H7"/>
      <c r="I7" s="37"/>
      <c r="J7" s="37"/>
      <c r="K7"/>
      <c r="L7"/>
      <c r="M7"/>
      <c r="N7"/>
      <c r="O7"/>
      <c r="P7"/>
      <c r="Q7"/>
      <c r="R7"/>
      <c r="S7"/>
      <c r="T7"/>
      <c r="U7"/>
      <c r="V7"/>
      <c r="X7"/>
      <c r="Y7"/>
      <c r="Z7"/>
      <c r="AB7" s="8"/>
      <c r="AC7" s="5"/>
    </row>
    <row r="8" spans="1:33" x14ac:dyDescent="0.2">
      <c r="A8"/>
      <c r="B8"/>
      <c r="C8"/>
      <c r="D8"/>
      <c r="E8"/>
      <c r="F8"/>
      <c r="G8"/>
      <c r="H8"/>
      <c r="I8" s="37"/>
      <c r="J8" s="37"/>
      <c r="K8"/>
      <c r="L8"/>
      <c r="M8"/>
      <c r="N8"/>
      <c r="O8"/>
      <c r="P8"/>
      <c r="Q8"/>
      <c r="R8"/>
      <c r="S8"/>
      <c r="T8"/>
      <c r="U8"/>
      <c r="V8"/>
      <c r="X8"/>
      <c r="Y8"/>
      <c r="Z8"/>
      <c r="AB8" s="13"/>
      <c r="AC8" s="11"/>
    </row>
    <row r="9" spans="1:33" x14ac:dyDescent="0.2">
      <c r="A9"/>
      <c r="B9"/>
      <c r="C9"/>
      <c r="D9"/>
      <c r="E9"/>
      <c r="F9"/>
      <c r="G9"/>
      <c r="H9"/>
      <c r="I9" s="37"/>
      <c r="J9" s="37"/>
      <c r="K9"/>
      <c r="L9"/>
      <c r="M9"/>
      <c r="N9"/>
      <c r="O9"/>
      <c r="P9"/>
      <c r="Q9"/>
      <c r="R9"/>
      <c r="S9"/>
      <c r="T9"/>
      <c r="U9"/>
      <c r="V9"/>
      <c r="X9"/>
      <c r="Y9"/>
      <c r="Z9"/>
      <c r="AB9" s="13"/>
      <c r="AC9" s="11"/>
    </row>
    <row r="10" spans="1:33" x14ac:dyDescent="0.2">
      <c r="A10"/>
      <c r="B10"/>
      <c r="C10"/>
      <c r="D10"/>
      <c r="E10"/>
      <c r="F10"/>
      <c r="G10"/>
      <c r="H10"/>
      <c r="I10" s="37"/>
      <c r="J10" s="37"/>
      <c r="K10"/>
      <c r="L10"/>
      <c r="M10"/>
      <c r="N10"/>
      <c r="O10"/>
      <c r="P10"/>
      <c r="Q10"/>
      <c r="R10"/>
      <c r="S10"/>
      <c r="T10"/>
      <c r="U10"/>
      <c r="V10"/>
      <c r="X10"/>
      <c r="Y10"/>
      <c r="Z10"/>
      <c r="AB10" s="13"/>
      <c r="AC10" s="11"/>
    </row>
    <row r="11" spans="1:33" x14ac:dyDescent="0.2">
      <c r="A11"/>
      <c r="B11"/>
      <c r="C11"/>
      <c r="D11"/>
      <c r="E11"/>
      <c r="F11"/>
      <c r="G11"/>
      <c r="H11"/>
      <c r="I11" s="37"/>
      <c r="J11" s="37"/>
      <c r="K11"/>
      <c r="L11"/>
      <c r="M11"/>
      <c r="N11"/>
      <c r="O11"/>
      <c r="P11"/>
      <c r="Q11"/>
      <c r="R11"/>
      <c r="S11"/>
      <c r="T11"/>
      <c r="U11"/>
      <c r="V11"/>
      <c r="X11"/>
      <c r="Y11"/>
      <c r="Z11"/>
      <c r="AB11" s="13"/>
      <c r="AC11" s="14"/>
    </row>
    <row r="12" spans="1:33" x14ac:dyDescent="0.2">
      <c r="A12"/>
      <c r="B12"/>
      <c r="C12"/>
      <c r="D12"/>
      <c r="E12"/>
      <c r="F12"/>
      <c r="G12"/>
      <c r="H12"/>
      <c r="I12" s="37"/>
      <c r="J12" s="37"/>
      <c r="K12"/>
      <c r="L12"/>
      <c r="M12"/>
      <c r="N12"/>
      <c r="O12"/>
      <c r="P12"/>
      <c r="Q12"/>
      <c r="R12"/>
      <c r="S12"/>
      <c r="T12"/>
      <c r="U12"/>
      <c r="V12"/>
      <c r="X12"/>
      <c r="Y12"/>
      <c r="Z12"/>
      <c r="AB12" s="13"/>
      <c r="AC12" s="14"/>
    </row>
    <row r="13" spans="1:33" x14ac:dyDescent="0.2">
      <c r="A13"/>
      <c r="B13"/>
      <c r="C13"/>
      <c r="D13"/>
      <c r="E13"/>
      <c r="F13"/>
      <c r="G13"/>
      <c r="H13"/>
      <c r="I13" s="37"/>
      <c r="J13" s="37"/>
      <c r="K13"/>
      <c r="L13"/>
      <c r="M13"/>
      <c r="N13"/>
      <c r="O13"/>
      <c r="P13"/>
      <c r="Q13"/>
      <c r="R13"/>
      <c r="S13"/>
      <c r="T13"/>
      <c r="U13"/>
      <c r="V13"/>
      <c r="X13"/>
      <c r="Y13"/>
      <c r="Z13"/>
      <c r="AB13" s="13"/>
      <c r="AC13" s="14"/>
    </row>
    <row r="14" spans="1:33" x14ac:dyDescent="0.2">
      <c r="A14"/>
      <c r="B14"/>
      <c r="C14"/>
      <c r="D14"/>
      <c r="E14"/>
      <c r="F14"/>
      <c r="G14"/>
      <c r="H14"/>
      <c r="I14" s="37"/>
      <c r="J14" s="37"/>
      <c r="K14"/>
      <c r="L14"/>
      <c r="M14"/>
      <c r="N14"/>
      <c r="O14"/>
      <c r="P14"/>
      <c r="Q14"/>
      <c r="R14"/>
      <c r="S14"/>
      <c r="T14"/>
      <c r="U14"/>
      <c r="V14"/>
      <c r="X14"/>
      <c r="Y14"/>
      <c r="Z14"/>
      <c r="AB14" s="13"/>
      <c r="AC14" s="14"/>
    </row>
    <row r="15" spans="1:33" x14ac:dyDescent="0.2">
      <c r="A15"/>
      <c r="B15"/>
      <c r="C15"/>
      <c r="D15"/>
      <c r="E15"/>
      <c r="F15"/>
      <c r="G15"/>
      <c r="H15"/>
      <c r="I15" s="37"/>
      <c r="J15" s="37"/>
      <c r="K15"/>
      <c r="L15"/>
      <c r="M15"/>
      <c r="N15"/>
      <c r="O15"/>
      <c r="P15"/>
      <c r="Q15"/>
      <c r="R15"/>
      <c r="S15"/>
      <c r="T15"/>
      <c r="U15"/>
      <c r="V15"/>
      <c r="X15"/>
      <c r="Y15"/>
      <c r="Z15"/>
      <c r="AB15" s="13"/>
      <c r="AC15" s="14"/>
    </row>
    <row r="16" spans="1:33" x14ac:dyDescent="0.2">
      <c r="A16"/>
      <c r="B16"/>
      <c r="C16"/>
      <c r="D16"/>
      <c r="E16"/>
      <c r="F16"/>
      <c r="G16"/>
      <c r="H16"/>
      <c r="I16" s="37"/>
      <c r="J16" s="37"/>
      <c r="K16"/>
      <c r="L16"/>
      <c r="M16"/>
      <c r="N16"/>
      <c r="O16"/>
      <c r="P16"/>
      <c r="Q16"/>
      <c r="R16"/>
      <c r="S16"/>
      <c r="T16"/>
      <c r="U16"/>
      <c r="V16"/>
      <c r="X16"/>
      <c r="Y16"/>
      <c r="Z16"/>
      <c r="AB16" s="13"/>
      <c r="AC16" s="14"/>
    </row>
    <row r="17" spans="1:29" x14ac:dyDescent="0.2">
      <c r="A17"/>
      <c r="B17"/>
      <c r="C17"/>
      <c r="D17"/>
      <c r="E17"/>
      <c r="F17"/>
      <c r="G17"/>
      <c r="H17"/>
      <c r="I17" s="37"/>
      <c r="J17" s="37"/>
      <c r="K17"/>
      <c r="L17"/>
      <c r="M17"/>
      <c r="N17"/>
      <c r="O17"/>
      <c r="P17"/>
      <c r="Q17"/>
      <c r="R17"/>
      <c r="S17"/>
      <c r="T17"/>
      <c r="U17"/>
      <c r="V17"/>
      <c r="X17"/>
      <c r="Y17"/>
      <c r="Z17"/>
      <c r="AB17" s="13"/>
      <c r="AC17" s="14"/>
    </row>
    <row r="18" spans="1:29" x14ac:dyDescent="0.2">
      <c r="A18"/>
      <c r="B18"/>
      <c r="C18"/>
      <c r="D18"/>
      <c r="E18"/>
      <c r="F18"/>
      <c r="G18"/>
      <c r="H18"/>
      <c r="I18" s="37"/>
      <c r="J18" s="37"/>
      <c r="K18"/>
      <c r="L18"/>
      <c r="M18"/>
      <c r="N18"/>
      <c r="O18"/>
      <c r="P18"/>
      <c r="Q18" s="37"/>
      <c r="R18"/>
      <c r="S18"/>
      <c r="T18"/>
      <c r="U18"/>
      <c r="V18"/>
      <c r="X18"/>
      <c r="Y18"/>
      <c r="Z18"/>
      <c r="AB18" s="13"/>
      <c r="AC18" s="14"/>
    </row>
    <row r="19" spans="1:29" x14ac:dyDescent="0.2">
      <c r="A19"/>
      <c r="B19"/>
      <c r="C19"/>
      <c r="D19"/>
      <c r="E19"/>
      <c r="F19"/>
      <c r="G19"/>
      <c r="H19"/>
      <c r="I19" s="37"/>
      <c r="J19" s="37"/>
      <c r="K19"/>
      <c r="L19"/>
      <c r="M19"/>
      <c r="N19"/>
      <c r="O19"/>
      <c r="P19"/>
      <c r="Q19"/>
      <c r="R19"/>
      <c r="S19"/>
      <c r="T19"/>
      <c r="U19"/>
      <c r="V19"/>
      <c r="X19"/>
      <c r="Y19"/>
      <c r="Z19"/>
      <c r="AB19" s="13"/>
      <c r="AC19" s="14"/>
    </row>
    <row r="20" spans="1:29" x14ac:dyDescent="0.2">
      <c r="A20"/>
      <c r="B20"/>
      <c r="C20"/>
      <c r="D20"/>
      <c r="E20"/>
      <c r="F20"/>
      <c r="G20"/>
      <c r="H20"/>
      <c r="I20" s="37"/>
      <c r="J20" s="37"/>
      <c r="K20"/>
      <c r="L20"/>
      <c r="M20"/>
      <c r="N20"/>
      <c r="O20"/>
      <c r="P20"/>
      <c r="Q20"/>
      <c r="R20"/>
      <c r="S20"/>
      <c r="T20"/>
      <c r="U20"/>
      <c r="V20"/>
      <c r="X20"/>
      <c r="Y20"/>
      <c r="Z20"/>
      <c r="AB20" s="13"/>
      <c r="AC20" s="14"/>
    </row>
    <row r="21" spans="1:29" x14ac:dyDescent="0.2">
      <c r="A21"/>
      <c r="B21"/>
      <c r="C21"/>
      <c r="D21"/>
      <c r="E21"/>
      <c r="F21"/>
      <c r="G21"/>
      <c r="H21"/>
      <c r="I21" s="37"/>
      <c r="J21" s="37"/>
      <c r="K21"/>
      <c r="L21"/>
      <c r="M21"/>
      <c r="N21"/>
      <c r="O21"/>
      <c r="P21"/>
      <c r="Q21" s="37"/>
      <c r="R21"/>
      <c r="S21"/>
      <c r="T21"/>
      <c r="U21"/>
      <c r="V21"/>
      <c r="X21"/>
      <c r="Y21"/>
      <c r="Z21"/>
      <c r="AB21" s="13"/>
      <c r="AC21" s="14"/>
    </row>
    <row r="22" spans="1:29" x14ac:dyDescent="0.2">
      <c r="A22"/>
      <c r="B22"/>
      <c r="C22"/>
      <c r="D22"/>
      <c r="E22"/>
      <c r="F22"/>
      <c r="G22"/>
      <c r="H22"/>
      <c r="I22" s="37"/>
      <c r="J22" s="37"/>
      <c r="K22"/>
      <c r="L22"/>
      <c r="M22"/>
      <c r="N22"/>
      <c r="O22"/>
      <c r="P22"/>
      <c r="Q22"/>
      <c r="R22"/>
      <c r="S22"/>
      <c r="T22"/>
      <c r="U22"/>
      <c r="V22"/>
      <c r="X22"/>
      <c r="Y22"/>
      <c r="Z22"/>
      <c r="AB22" s="13"/>
      <c r="AC22" s="14"/>
    </row>
    <row r="23" spans="1:29" x14ac:dyDescent="0.2">
      <c r="A23"/>
      <c r="B23"/>
      <c r="C23"/>
      <c r="D23"/>
      <c r="E23"/>
      <c r="F23"/>
      <c r="G23"/>
      <c r="H23"/>
      <c r="I23" s="37"/>
      <c r="J23" s="37"/>
      <c r="K23"/>
      <c r="L23"/>
      <c r="M23"/>
      <c r="N23"/>
      <c r="O23"/>
      <c r="P23"/>
      <c r="Q23"/>
      <c r="R23"/>
      <c r="S23"/>
      <c r="T23"/>
      <c r="U23"/>
      <c r="V23"/>
      <c r="X23"/>
      <c r="Y23"/>
      <c r="Z23"/>
      <c r="AB23" s="13"/>
      <c r="AC23" s="14"/>
    </row>
    <row r="24" spans="1:29" x14ac:dyDescent="0.2">
      <c r="A24"/>
      <c r="B24"/>
      <c r="C24"/>
      <c r="D24"/>
      <c r="E24"/>
      <c r="F24"/>
      <c r="G24"/>
      <c r="H24"/>
      <c r="I24" s="37"/>
      <c r="J24" s="37"/>
      <c r="K24"/>
      <c r="L24"/>
      <c r="M24"/>
      <c r="N24"/>
      <c r="O24"/>
      <c r="P24"/>
      <c r="Q24"/>
      <c r="R24"/>
      <c r="S24"/>
      <c r="T24"/>
      <c r="U24"/>
      <c r="V24"/>
      <c r="X24"/>
      <c r="Y24"/>
      <c r="Z24"/>
      <c r="AB24" s="13"/>
      <c r="AC24" s="14"/>
    </row>
    <row r="25" spans="1:29" x14ac:dyDescent="0.2">
      <c r="A25"/>
      <c r="B25"/>
      <c r="C25"/>
      <c r="D25"/>
      <c r="E25"/>
      <c r="F25"/>
      <c r="G25"/>
      <c r="H25"/>
      <c r="I25" s="37"/>
      <c r="J25" s="37"/>
      <c r="K25"/>
      <c r="L25"/>
      <c r="M25"/>
      <c r="N25"/>
      <c r="O25"/>
      <c r="P25"/>
      <c r="Q25" s="37"/>
      <c r="R25"/>
      <c r="S25"/>
      <c r="T25"/>
      <c r="U25"/>
      <c r="V25"/>
      <c r="X25"/>
      <c r="Y25"/>
      <c r="Z25"/>
      <c r="AB25" s="13"/>
      <c r="AC25" s="14"/>
    </row>
    <row r="26" spans="1:29" x14ac:dyDescent="0.2">
      <c r="A26"/>
      <c r="B26"/>
      <c r="C26"/>
      <c r="D26"/>
      <c r="E26"/>
      <c r="F26"/>
      <c r="G26"/>
      <c r="H26"/>
      <c r="I26" s="37"/>
      <c r="J26" s="37"/>
      <c r="K26"/>
      <c r="L26"/>
      <c r="M26"/>
      <c r="N26"/>
      <c r="O26"/>
      <c r="P26"/>
      <c r="Q26" s="37"/>
      <c r="R26"/>
      <c r="S26"/>
      <c r="T26"/>
      <c r="U26"/>
      <c r="V26"/>
      <c r="X26"/>
      <c r="Y26"/>
      <c r="Z26"/>
      <c r="AB26" s="13"/>
      <c r="AC26" s="14"/>
    </row>
    <row r="27" spans="1:29" x14ac:dyDescent="0.2">
      <c r="A27"/>
      <c r="B27"/>
      <c r="C27"/>
      <c r="D27"/>
      <c r="E27"/>
      <c r="F27"/>
      <c r="G27"/>
      <c r="H27"/>
      <c r="I27" s="37"/>
      <c r="J27" s="37"/>
      <c r="K27"/>
      <c r="L27"/>
      <c r="M27"/>
      <c r="N27"/>
      <c r="O27"/>
      <c r="P27"/>
      <c r="Q27"/>
      <c r="R27"/>
      <c r="S27"/>
      <c r="T27"/>
      <c r="U27"/>
      <c r="V27"/>
      <c r="X27"/>
      <c r="Y27"/>
      <c r="Z27"/>
      <c r="AB27" s="8"/>
      <c r="AC27" s="14"/>
    </row>
    <row r="28" spans="1:29" x14ac:dyDescent="0.2">
      <c r="A28"/>
      <c r="B28"/>
      <c r="C28"/>
      <c r="D28"/>
      <c r="E28"/>
      <c r="F28"/>
      <c r="G28"/>
      <c r="H28"/>
      <c r="I28" s="37"/>
      <c r="J28" s="37"/>
      <c r="K28"/>
      <c r="L28"/>
      <c r="M28"/>
      <c r="N28"/>
      <c r="O28"/>
      <c r="P28"/>
      <c r="Q28"/>
      <c r="R28"/>
      <c r="S28"/>
      <c r="T28"/>
      <c r="U28"/>
      <c r="V28"/>
      <c r="X28"/>
      <c r="Y28"/>
      <c r="Z28"/>
      <c r="AB28" s="8"/>
      <c r="AC28" s="14"/>
    </row>
    <row r="29" spans="1:29" x14ac:dyDescent="0.2">
      <c r="A29"/>
      <c r="B29"/>
      <c r="C29"/>
      <c r="D29"/>
      <c r="E29"/>
      <c r="F29"/>
      <c r="G29"/>
      <c r="H29"/>
      <c r="I29" s="37"/>
      <c r="J29" s="37"/>
      <c r="K29"/>
      <c r="L29"/>
      <c r="M29"/>
      <c r="N29"/>
      <c r="O29"/>
      <c r="P29"/>
      <c r="Q29"/>
      <c r="R29"/>
      <c r="S29"/>
      <c r="T29"/>
      <c r="U29"/>
      <c r="V29"/>
      <c r="X29"/>
      <c r="Y29"/>
      <c r="Z29"/>
      <c r="AB29" s="8"/>
      <c r="AC29" s="14"/>
    </row>
    <row r="30" spans="1:29" x14ac:dyDescent="0.2">
      <c r="A30"/>
      <c r="B30"/>
      <c r="C30"/>
      <c r="D30"/>
      <c r="E30"/>
      <c r="F30"/>
      <c r="G30"/>
      <c r="H30"/>
      <c r="I30" s="37"/>
      <c r="J30" s="37"/>
      <c r="K30"/>
      <c r="L30"/>
      <c r="M30"/>
      <c r="N30"/>
      <c r="O30"/>
      <c r="P30"/>
      <c r="Q30"/>
      <c r="R30"/>
      <c r="S30"/>
      <c r="T30"/>
      <c r="U30"/>
      <c r="V30"/>
      <c r="X30"/>
      <c r="Y30"/>
      <c r="Z30"/>
      <c r="AB30" s="8"/>
      <c r="AC30" s="14"/>
    </row>
    <row r="31" spans="1:29" x14ac:dyDescent="0.2">
      <c r="A31"/>
      <c r="B31"/>
      <c r="C31"/>
      <c r="D31"/>
      <c r="E31"/>
      <c r="F31"/>
      <c r="G31"/>
      <c r="H31"/>
      <c r="I31" s="37"/>
      <c r="J31" s="37"/>
      <c r="K31"/>
      <c r="L31"/>
      <c r="M31"/>
      <c r="N31"/>
      <c r="O31"/>
      <c r="P31"/>
      <c r="Q31"/>
      <c r="R31"/>
      <c r="S31"/>
      <c r="T31"/>
      <c r="U31"/>
      <c r="V31"/>
      <c r="X31"/>
      <c r="Y31"/>
      <c r="Z31"/>
      <c r="AB31" s="8"/>
      <c r="AC31" s="14"/>
    </row>
    <row r="32" spans="1:29" x14ac:dyDescent="0.2">
      <c r="A32"/>
      <c r="B32"/>
      <c r="C32"/>
      <c r="D32"/>
      <c r="E32"/>
      <c r="F32"/>
      <c r="G32"/>
      <c r="H32"/>
      <c r="I32" s="37"/>
      <c r="J32" s="37"/>
      <c r="K32"/>
      <c r="L32"/>
      <c r="M32"/>
      <c r="N32"/>
      <c r="O32"/>
      <c r="P32"/>
      <c r="Q32"/>
      <c r="R32"/>
      <c r="S32"/>
      <c r="T32"/>
      <c r="U32"/>
      <c r="V32"/>
      <c r="X32"/>
      <c r="Y32"/>
      <c r="Z32"/>
      <c r="AB32" s="8"/>
      <c r="AC32" s="14"/>
    </row>
    <row r="33" spans="1:29" x14ac:dyDescent="0.2">
      <c r="A33"/>
      <c r="B33"/>
      <c r="C33"/>
      <c r="D33"/>
      <c r="E33"/>
      <c r="F33"/>
      <c r="G33"/>
      <c r="H33"/>
      <c r="I33" s="37"/>
      <c r="J33" s="37"/>
      <c r="K33"/>
      <c r="L33"/>
      <c r="M33"/>
      <c r="N33"/>
      <c r="O33"/>
      <c r="P33"/>
      <c r="Q33"/>
      <c r="R33"/>
      <c r="S33"/>
      <c r="T33"/>
      <c r="U33"/>
      <c r="V33"/>
      <c r="X33"/>
      <c r="Y33"/>
      <c r="Z33"/>
      <c r="AB33" s="13"/>
      <c r="AC33" s="14"/>
    </row>
    <row r="34" spans="1:29" x14ac:dyDescent="0.2">
      <c r="A34"/>
      <c r="B34"/>
      <c r="C34"/>
      <c r="D34"/>
      <c r="E34"/>
      <c r="F34"/>
      <c r="G34"/>
      <c r="H34"/>
      <c r="I34" s="37"/>
      <c r="J34" s="37"/>
      <c r="K34"/>
      <c r="L34"/>
      <c r="M34"/>
      <c r="N34"/>
      <c r="O34"/>
      <c r="P34"/>
      <c r="Q34"/>
      <c r="R34"/>
      <c r="S34"/>
      <c r="T34"/>
      <c r="U34"/>
      <c r="V34"/>
      <c r="X34"/>
      <c r="Y34"/>
      <c r="Z34"/>
      <c r="AB34" s="13"/>
      <c r="AC34" s="14"/>
    </row>
    <row r="35" spans="1:29" x14ac:dyDescent="0.2">
      <c r="A35"/>
      <c r="B35"/>
      <c r="C35"/>
      <c r="D35"/>
      <c r="E35"/>
      <c r="F35"/>
      <c r="G35"/>
      <c r="H35"/>
      <c r="I35" s="37"/>
      <c r="J35" s="37"/>
      <c r="K35"/>
      <c r="L35"/>
      <c r="M35"/>
      <c r="N35"/>
      <c r="O35"/>
      <c r="P35"/>
      <c r="Q35"/>
      <c r="R35"/>
      <c r="S35"/>
      <c r="T35"/>
      <c r="U35"/>
      <c r="V35"/>
      <c r="X35"/>
      <c r="Y35"/>
      <c r="Z35"/>
      <c r="AB35" s="13"/>
      <c r="AC35" s="14"/>
    </row>
    <row r="36" spans="1:29" x14ac:dyDescent="0.2">
      <c r="A36"/>
      <c r="B36"/>
      <c r="C36"/>
      <c r="D36"/>
      <c r="E36"/>
      <c r="F36"/>
      <c r="G36"/>
      <c r="H36"/>
      <c r="I36" s="37"/>
      <c r="J36" s="37"/>
      <c r="K36"/>
      <c r="L36"/>
      <c r="M36"/>
      <c r="N36"/>
      <c r="O36"/>
      <c r="P36"/>
      <c r="Q36"/>
      <c r="R36"/>
      <c r="S36"/>
      <c r="T36"/>
      <c r="U36"/>
      <c r="V36"/>
      <c r="X36"/>
      <c r="Y36"/>
      <c r="Z36"/>
      <c r="AB36" s="13"/>
      <c r="AC36" s="14"/>
    </row>
    <row r="37" spans="1:29" x14ac:dyDescent="0.2">
      <c r="A37"/>
      <c r="B37"/>
      <c r="C37"/>
      <c r="D37"/>
      <c r="E37"/>
      <c r="F37"/>
      <c r="G37"/>
      <c r="H37"/>
      <c r="I37" s="37"/>
      <c r="J37" s="37"/>
      <c r="K37"/>
      <c r="L37"/>
      <c r="M37"/>
      <c r="N37"/>
      <c r="O37"/>
      <c r="P37"/>
      <c r="Q37"/>
      <c r="R37"/>
      <c r="S37"/>
      <c r="T37"/>
      <c r="U37"/>
      <c r="V37"/>
      <c r="X37"/>
      <c r="Y37"/>
      <c r="Z37"/>
      <c r="AB37" s="13"/>
      <c r="AC37" s="14"/>
    </row>
    <row r="38" spans="1:29" x14ac:dyDescent="0.2">
      <c r="A38"/>
      <c r="B38"/>
      <c r="C38"/>
      <c r="D38"/>
      <c r="E38"/>
      <c r="F38"/>
      <c r="G38"/>
      <c r="H38"/>
      <c r="I38" s="37"/>
      <c r="J38" s="37"/>
      <c r="K38"/>
      <c r="L38"/>
      <c r="M38"/>
      <c r="N38"/>
      <c r="O38"/>
      <c r="P38"/>
      <c r="Q38"/>
      <c r="R38"/>
      <c r="S38"/>
      <c r="T38"/>
      <c r="U38"/>
      <c r="V38"/>
      <c r="X38"/>
      <c r="Y38"/>
      <c r="Z38"/>
      <c r="AB38" s="13"/>
      <c r="AC38" s="14"/>
    </row>
    <row r="39" spans="1:29" x14ac:dyDescent="0.2">
      <c r="A39"/>
      <c r="B39"/>
      <c r="C39"/>
      <c r="D39"/>
      <c r="E39"/>
      <c r="F39"/>
      <c r="G39"/>
      <c r="H39"/>
      <c r="I39" s="37"/>
      <c r="J39" s="37"/>
      <c r="K39"/>
      <c r="L39"/>
      <c r="M39"/>
      <c r="N39"/>
      <c r="O39"/>
      <c r="P39"/>
      <c r="Q39"/>
      <c r="R39"/>
      <c r="S39"/>
      <c r="T39"/>
      <c r="U39"/>
      <c r="V39"/>
      <c r="X39"/>
      <c r="Y39"/>
      <c r="Z39"/>
      <c r="AB39" s="13"/>
      <c r="AC39" s="14"/>
    </row>
    <row r="40" spans="1:29" x14ac:dyDescent="0.2">
      <c r="A40"/>
      <c r="B40"/>
      <c r="C40"/>
      <c r="D40"/>
      <c r="E40"/>
      <c r="F40"/>
      <c r="G40"/>
      <c r="H40"/>
      <c r="I40" s="37"/>
      <c r="J40" s="37"/>
      <c r="K40"/>
      <c r="L40"/>
      <c r="M40"/>
      <c r="N40"/>
      <c r="O40"/>
      <c r="P40"/>
      <c r="Q40"/>
      <c r="R40"/>
      <c r="S40"/>
      <c r="T40"/>
      <c r="U40"/>
      <c r="V40"/>
      <c r="X40"/>
      <c r="Y40"/>
      <c r="Z40"/>
      <c r="AB40" s="13"/>
      <c r="AC40" s="14"/>
    </row>
    <row r="41" spans="1:29" x14ac:dyDescent="0.2">
      <c r="A41"/>
      <c r="B41"/>
      <c r="C41"/>
      <c r="D41"/>
      <c r="E41"/>
      <c r="F41"/>
      <c r="G41"/>
      <c r="H41"/>
      <c r="I41" s="37"/>
      <c r="J41" s="37"/>
      <c r="K41"/>
      <c r="L41"/>
      <c r="M41"/>
      <c r="N41"/>
      <c r="O41"/>
      <c r="P41"/>
      <c r="Q41"/>
      <c r="R41"/>
      <c r="S41"/>
      <c r="T41"/>
      <c r="U41"/>
      <c r="V41"/>
      <c r="X41"/>
      <c r="Y41"/>
      <c r="Z41"/>
      <c r="AB41" s="13"/>
      <c r="AC41" s="14"/>
    </row>
    <row r="42" spans="1:29" x14ac:dyDescent="0.2">
      <c r="A42"/>
      <c r="B42"/>
      <c r="C42"/>
      <c r="D42"/>
      <c r="E42"/>
      <c r="F42"/>
      <c r="G42"/>
      <c r="H42"/>
      <c r="I42" s="37"/>
      <c r="J42" s="37"/>
      <c r="K42"/>
      <c r="L42"/>
      <c r="M42"/>
      <c r="N42"/>
      <c r="O42"/>
      <c r="P42"/>
      <c r="Q42"/>
      <c r="R42"/>
      <c r="S42"/>
      <c r="T42"/>
      <c r="U42"/>
      <c r="V42"/>
      <c r="X42"/>
      <c r="Y42"/>
      <c r="Z42"/>
      <c r="AB42" s="13"/>
      <c r="AC42" s="14"/>
    </row>
    <row r="43" spans="1:29" x14ac:dyDescent="0.2">
      <c r="A43"/>
      <c r="B43"/>
      <c r="C43"/>
      <c r="D43"/>
      <c r="E43"/>
      <c r="F43"/>
      <c r="G43"/>
      <c r="H43"/>
      <c r="I43" s="37"/>
      <c r="J43" s="37"/>
      <c r="K43"/>
      <c r="L43"/>
      <c r="M43"/>
      <c r="N43"/>
      <c r="O43"/>
      <c r="P43"/>
      <c r="Q43" s="37"/>
      <c r="R43"/>
      <c r="S43"/>
      <c r="T43"/>
      <c r="U43"/>
      <c r="V43"/>
      <c r="X43"/>
      <c r="Y43"/>
      <c r="Z43"/>
      <c r="AB43" s="13"/>
      <c r="AC43" s="14"/>
    </row>
    <row r="44" spans="1:29" x14ac:dyDescent="0.2">
      <c r="A44"/>
      <c r="B44"/>
      <c r="C44"/>
      <c r="D44"/>
      <c r="E44"/>
      <c r="F44"/>
      <c r="G44"/>
      <c r="H44"/>
      <c r="I44" s="37"/>
      <c r="J44" s="37"/>
      <c r="K44"/>
      <c r="L44"/>
      <c r="M44"/>
      <c r="N44"/>
      <c r="O44"/>
      <c r="P44"/>
      <c r="Q44"/>
      <c r="R44"/>
      <c r="S44"/>
      <c r="T44"/>
      <c r="U44"/>
      <c r="V44"/>
      <c r="X44"/>
      <c r="Y44"/>
      <c r="Z44"/>
      <c r="AB44" s="13"/>
      <c r="AC44" s="14"/>
    </row>
    <row r="45" spans="1:29" x14ac:dyDescent="0.2">
      <c r="A45"/>
      <c r="B45"/>
      <c r="C45"/>
      <c r="D45"/>
      <c r="E45"/>
      <c r="F45"/>
      <c r="G45"/>
      <c r="H45"/>
      <c r="I45" s="37"/>
      <c r="J45" s="37"/>
      <c r="K45"/>
      <c r="L45"/>
      <c r="M45"/>
      <c r="N45"/>
      <c r="O45"/>
      <c r="P45"/>
      <c r="Q45"/>
      <c r="R45"/>
      <c r="S45"/>
      <c r="T45"/>
      <c r="U45"/>
      <c r="V45"/>
      <c r="X45"/>
      <c r="Y45"/>
      <c r="Z45"/>
      <c r="AB45" s="13"/>
      <c r="AC45" s="14"/>
    </row>
    <row r="46" spans="1:29" x14ac:dyDescent="0.2">
      <c r="A46"/>
      <c r="B46"/>
      <c r="C46"/>
      <c r="D46"/>
      <c r="E46"/>
      <c r="F46"/>
      <c r="G46"/>
      <c r="H46"/>
      <c r="I46" s="37"/>
      <c r="J46" s="37"/>
      <c r="K46"/>
      <c r="L46"/>
      <c r="M46"/>
      <c r="N46"/>
      <c r="O46"/>
      <c r="P46"/>
      <c r="Q46" s="37"/>
      <c r="R46"/>
      <c r="S46"/>
      <c r="T46"/>
      <c r="U46"/>
      <c r="V46"/>
      <c r="X46"/>
      <c r="Y46"/>
      <c r="Z46"/>
      <c r="AB46" s="13"/>
      <c r="AC46" s="14"/>
    </row>
    <row r="47" spans="1:29" x14ac:dyDescent="0.2">
      <c r="A47"/>
      <c r="B47"/>
      <c r="C47"/>
      <c r="D47"/>
      <c r="E47"/>
      <c r="F47"/>
      <c r="G47"/>
      <c r="H47"/>
      <c r="I47" s="37"/>
      <c r="J47" s="37"/>
      <c r="K47"/>
      <c r="L47"/>
      <c r="M47"/>
      <c r="N47"/>
      <c r="O47"/>
      <c r="P47"/>
      <c r="Q47"/>
      <c r="R47"/>
      <c r="S47"/>
      <c r="T47"/>
      <c r="U47"/>
      <c r="V47"/>
      <c r="X47"/>
      <c r="Y47"/>
      <c r="Z47"/>
      <c r="AB47" s="13"/>
      <c r="AC47" s="14"/>
    </row>
    <row r="48" spans="1:29" x14ac:dyDescent="0.2">
      <c r="A48"/>
      <c r="B48"/>
      <c r="C48"/>
      <c r="D48"/>
      <c r="E48"/>
      <c r="F48"/>
      <c r="G48"/>
      <c r="H48"/>
      <c r="I48" s="37"/>
      <c r="J48" s="37"/>
      <c r="K48"/>
      <c r="L48"/>
      <c r="M48"/>
      <c r="N48"/>
      <c r="O48"/>
      <c r="P48"/>
      <c r="Q48"/>
      <c r="R48"/>
      <c r="S48"/>
      <c r="T48"/>
      <c r="U48"/>
      <c r="V48"/>
      <c r="X48"/>
      <c r="Y48"/>
      <c r="Z48"/>
      <c r="AB48" s="13"/>
      <c r="AC48" s="14"/>
    </row>
    <row r="49" spans="1:29" x14ac:dyDescent="0.2">
      <c r="A49"/>
      <c r="B49"/>
      <c r="C49"/>
      <c r="D49"/>
      <c r="E49"/>
      <c r="F49"/>
      <c r="G49"/>
      <c r="H49"/>
      <c r="I49" s="37"/>
      <c r="J49" s="37"/>
      <c r="K49"/>
      <c r="L49"/>
      <c r="M49"/>
      <c r="N49"/>
      <c r="O49"/>
      <c r="P49"/>
      <c r="Q49"/>
      <c r="R49"/>
      <c r="S49"/>
      <c r="T49"/>
      <c r="U49"/>
      <c r="V49"/>
      <c r="X49"/>
      <c r="Y49"/>
      <c r="Z49"/>
      <c r="AB49" s="13"/>
      <c r="AC49" s="14"/>
    </row>
    <row r="50" spans="1:29" x14ac:dyDescent="0.2">
      <c r="A50"/>
      <c r="B50"/>
      <c r="C50"/>
      <c r="D50"/>
      <c r="E50"/>
      <c r="F50"/>
      <c r="G50"/>
      <c r="H50"/>
      <c r="I50" s="37"/>
      <c r="J50" s="37"/>
      <c r="K50"/>
      <c r="L50"/>
      <c r="M50"/>
      <c r="N50"/>
      <c r="O50"/>
      <c r="P50"/>
      <c r="Q50" s="37"/>
      <c r="R50"/>
      <c r="S50"/>
      <c r="T50"/>
      <c r="U50"/>
      <c r="V50"/>
      <c r="X50"/>
      <c r="Y50"/>
      <c r="Z50"/>
      <c r="AB50" s="13"/>
      <c r="AC50" s="14"/>
    </row>
    <row r="51" spans="1:29" x14ac:dyDescent="0.2">
      <c r="A51"/>
      <c r="B51"/>
      <c r="C51"/>
      <c r="D51"/>
      <c r="E51"/>
      <c r="F51"/>
      <c r="G51"/>
      <c r="H51"/>
      <c r="I51" s="37"/>
      <c r="J51" s="37"/>
      <c r="K51"/>
      <c r="L51"/>
      <c r="M51"/>
      <c r="N51"/>
      <c r="O51"/>
      <c r="P51"/>
      <c r="Q51" s="37"/>
      <c r="R51"/>
      <c r="S51"/>
      <c r="T51"/>
      <c r="U51"/>
      <c r="V51"/>
      <c r="X51"/>
      <c r="Y51"/>
      <c r="Z51"/>
      <c r="AB51" s="13"/>
      <c r="AC51" s="14"/>
    </row>
    <row r="52" spans="1:29" x14ac:dyDescent="0.2">
      <c r="A52"/>
      <c r="B52"/>
      <c r="C52"/>
      <c r="D52"/>
      <c r="E52"/>
      <c r="F52"/>
      <c r="G52"/>
      <c r="H52"/>
      <c r="I52" s="37"/>
      <c r="J52" s="37"/>
      <c r="K52"/>
      <c r="L52"/>
      <c r="M52"/>
      <c r="N52"/>
      <c r="O52"/>
      <c r="P52"/>
      <c r="Q52"/>
      <c r="R52"/>
      <c r="S52"/>
      <c r="T52"/>
      <c r="U52"/>
      <c r="V52"/>
      <c r="X52"/>
      <c r="Y52"/>
      <c r="Z52"/>
      <c r="AB52" s="8"/>
      <c r="AC52" s="14"/>
    </row>
    <row r="53" spans="1:29" x14ac:dyDescent="0.2">
      <c r="A53"/>
      <c r="B53"/>
      <c r="C53"/>
      <c r="D53"/>
      <c r="E53"/>
      <c r="F53"/>
      <c r="G53"/>
      <c r="H53"/>
      <c r="I53" s="37"/>
      <c r="J53" s="37"/>
      <c r="K53"/>
      <c r="L53"/>
      <c r="M53"/>
      <c r="N53"/>
      <c r="O53"/>
      <c r="P53"/>
      <c r="Q53"/>
      <c r="R53"/>
      <c r="S53"/>
      <c r="T53"/>
      <c r="U53"/>
      <c r="V53"/>
      <c r="X53"/>
      <c r="Y53"/>
      <c r="Z53"/>
      <c r="AB53" s="8"/>
      <c r="AC53" s="14"/>
    </row>
    <row r="54" spans="1:29" x14ac:dyDescent="0.2">
      <c r="A54"/>
      <c r="B54"/>
      <c r="C54"/>
      <c r="D54"/>
      <c r="E54"/>
      <c r="F54"/>
      <c r="G54"/>
      <c r="H54"/>
      <c r="I54" s="37"/>
      <c r="J54" s="37"/>
      <c r="K54"/>
      <c r="L54"/>
      <c r="M54"/>
      <c r="N54"/>
      <c r="O54"/>
      <c r="P54"/>
      <c r="Q54"/>
      <c r="R54"/>
      <c r="S54"/>
      <c r="T54"/>
      <c r="U54"/>
      <c r="V54"/>
      <c r="X54"/>
      <c r="Y54"/>
      <c r="Z54"/>
      <c r="AB54" s="8"/>
      <c r="AC54" s="14"/>
    </row>
    <row r="55" spans="1:29" x14ac:dyDescent="0.2">
      <c r="A55"/>
      <c r="B55"/>
      <c r="C55"/>
      <c r="D55"/>
      <c r="E55"/>
      <c r="F55"/>
      <c r="G55"/>
      <c r="H55"/>
      <c r="I55" s="37"/>
      <c r="J55" s="37"/>
      <c r="K55"/>
      <c r="L55"/>
      <c r="M55"/>
      <c r="N55"/>
      <c r="O55"/>
      <c r="P55"/>
      <c r="Q55"/>
      <c r="R55"/>
      <c r="S55"/>
      <c r="T55"/>
      <c r="U55"/>
      <c r="V55"/>
      <c r="X55"/>
      <c r="Y55"/>
      <c r="Z55"/>
      <c r="AB55" s="8"/>
      <c r="AC55" s="14"/>
    </row>
    <row r="56" spans="1:29" x14ac:dyDescent="0.2">
      <c r="A56"/>
      <c r="B56"/>
      <c r="C56"/>
      <c r="D56"/>
      <c r="E56"/>
      <c r="F56"/>
      <c r="G56"/>
      <c r="H56"/>
      <c r="I56" s="37"/>
      <c r="J56" s="37"/>
      <c r="K56"/>
      <c r="L56"/>
      <c r="M56"/>
      <c r="N56"/>
      <c r="O56"/>
      <c r="P56"/>
      <c r="Q56"/>
      <c r="R56"/>
      <c r="S56"/>
      <c r="T56"/>
      <c r="U56"/>
      <c r="V56"/>
      <c r="X56"/>
      <c r="Y56"/>
      <c r="Z56"/>
      <c r="AB56" s="8"/>
      <c r="AC56" s="14"/>
    </row>
    <row r="57" spans="1:29" x14ac:dyDescent="0.2">
      <c r="A57"/>
      <c r="B57"/>
      <c r="C57"/>
      <c r="D57"/>
      <c r="E57"/>
      <c r="F57"/>
      <c r="G57"/>
      <c r="H57"/>
      <c r="I57" s="37"/>
      <c r="J57" s="37"/>
      <c r="K57"/>
      <c r="L57"/>
      <c r="M57"/>
      <c r="N57"/>
      <c r="O57"/>
      <c r="P57"/>
      <c r="Q57"/>
      <c r="R57"/>
      <c r="S57"/>
      <c r="T57"/>
      <c r="U57"/>
      <c r="V57"/>
      <c r="X57"/>
      <c r="Y57"/>
      <c r="Z57"/>
      <c r="AB57" s="8"/>
      <c r="AC57" s="14"/>
    </row>
    <row r="58" spans="1:29" x14ac:dyDescent="0.2">
      <c r="A58"/>
      <c r="B58"/>
      <c r="C58"/>
      <c r="D58"/>
      <c r="E58"/>
      <c r="F58"/>
      <c r="G58"/>
      <c r="H58"/>
      <c r="I58" s="37"/>
      <c r="J58" s="37"/>
      <c r="K58"/>
      <c r="L58"/>
      <c r="M58"/>
      <c r="N58"/>
      <c r="O58"/>
      <c r="P58"/>
      <c r="Q58"/>
      <c r="R58"/>
      <c r="S58"/>
      <c r="T58"/>
      <c r="U58"/>
      <c r="V58"/>
      <c r="X58"/>
      <c r="Y58"/>
      <c r="Z58"/>
      <c r="AB58" s="13"/>
      <c r="AC58" s="14"/>
    </row>
    <row r="59" spans="1:29" x14ac:dyDescent="0.2">
      <c r="A59"/>
      <c r="B59"/>
      <c r="C59"/>
      <c r="D59"/>
      <c r="E59"/>
      <c r="F59"/>
      <c r="G59"/>
      <c r="H59"/>
      <c r="I59" s="37"/>
      <c r="J59" s="37"/>
      <c r="K59"/>
      <c r="L59"/>
      <c r="M59"/>
      <c r="N59"/>
      <c r="O59"/>
      <c r="P59"/>
      <c r="Q59"/>
      <c r="R59"/>
      <c r="S59"/>
      <c r="T59"/>
      <c r="U59"/>
      <c r="V59"/>
      <c r="X59"/>
      <c r="Y59"/>
      <c r="Z59"/>
      <c r="AB59" s="13"/>
      <c r="AC59" s="14"/>
    </row>
    <row r="60" spans="1:29" x14ac:dyDescent="0.2">
      <c r="A60"/>
      <c r="B60"/>
      <c r="C60"/>
      <c r="D60"/>
      <c r="E60"/>
      <c r="F60"/>
      <c r="G60"/>
      <c r="H60"/>
      <c r="I60" s="37"/>
      <c r="J60" s="37"/>
      <c r="K60"/>
      <c r="L60"/>
      <c r="M60"/>
      <c r="N60"/>
      <c r="O60"/>
      <c r="P60"/>
      <c r="Q60"/>
      <c r="R60"/>
      <c r="S60"/>
      <c r="T60"/>
      <c r="U60"/>
      <c r="V60"/>
      <c r="X60"/>
      <c r="Y60"/>
      <c r="Z60"/>
      <c r="AB60" s="13"/>
      <c r="AC60" s="14"/>
    </row>
    <row r="61" spans="1:29" x14ac:dyDescent="0.2">
      <c r="A61"/>
      <c r="B61"/>
      <c r="C61"/>
      <c r="D61"/>
      <c r="E61"/>
      <c r="F61"/>
      <c r="G61"/>
      <c r="H61"/>
      <c r="I61" s="37"/>
      <c r="J61" s="37"/>
      <c r="K61"/>
      <c r="L61"/>
      <c r="M61"/>
      <c r="N61"/>
      <c r="O61"/>
      <c r="P61"/>
      <c r="Q61"/>
      <c r="R61"/>
      <c r="S61"/>
      <c r="T61"/>
      <c r="U61"/>
      <c r="V61"/>
      <c r="X61"/>
      <c r="Y61"/>
      <c r="Z61"/>
      <c r="AB61" s="13"/>
      <c r="AC61" s="14"/>
    </row>
    <row r="62" spans="1:29" x14ac:dyDescent="0.2">
      <c r="A62"/>
      <c r="B62"/>
      <c r="C62"/>
      <c r="D62"/>
      <c r="E62"/>
      <c r="F62"/>
      <c r="G62"/>
      <c r="H62"/>
      <c r="I62" s="37"/>
      <c r="J62" s="37"/>
      <c r="K62"/>
      <c r="L62"/>
      <c r="M62"/>
      <c r="N62"/>
      <c r="O62"/>
      <c r="P62"/>
      <c r="Q62"/>
      <c r="R62"/>
      <c r="S62"/>
      <c r="T62"/>
      <c r="U62"/>
      <c r="V62"/>
      <c r="X62"/>
      <c r="Y62"/>
      <c r="Z62"/>
      <c r="AB62" s="13"/>
      <c r="AC62" s="14"/>
    </row>
    <row r="63" spans="1:29" x14ac:dyDescent="0.2">
      <c r="A63"/>
      <c r="B63"/>
      <c r="C63"/>
      <c r="D63"/>
      <c r="E63"/>
      <c r="F63"/>
      <c r="G63"/>
      <c r="H63"/>
      <c r="I63" s="37"/>
      <c r="J63" s="37"/>
      <c r="K63"/>
      <c r="L63"/>
      <c r="M63"/>
      <c r="N63"/>
      <c r="O63"/>
      <c r="P63"/>
      <c r="Q63"/>
      <c r="R63"/>
      <c r="S63"/>
      <c r="T63"/>
      <c r="U63"/>
      <c r="V63"/>
      <c r="X63"/>
      <c r="Y63"/>
      <c r="Z63"/>
      <c r="AB63" s="13"/>
      <c r="AC63" s="14"/>
    </row>
    <row r="64" spans="1:29" x14ac:dyDescent="0.2">
      <c r="A64"/>
      <c r="B64"/>
      <c r="C64"/>
      <c r="D64"/>
      <c r="E64"/>
      <c r="F64"/>
      <c r="G64"/>
      <c r="H64"/>
      <c r="I64" s="37"/>
      <c r="J64" s="37"/>
      <c r="K64"/>
      <c r="L64"/>
      <c r="M64"/>
      <c r="N64"/>
      <c r="O64"/>
      <c r="P64"/>
      <c r="Q64"/>
      <c r="R64"/>
      <c r="S64"/>
      <c r="T64"/>
      <c r="U64"/>
      <c r="V64"/>
      <c r="X64"/>
      <c r="Y64"/>
      <c r="Z64"/>
      <c r="AB64" s="13"/>
      <c r="AC64" s="14"/>
    </row>
    <row r="65" spans="1:29" x14ac:dyDescent="0.2">
      <c r="A65"/>
      <c r="B65"/>
      <c r="C65"/>
      <c r="D65"/>
      <c r="E65"/>
      <c r="F65"/>
      <c r="G65"/>
      <c r="H65"/>
      <c r="I65" s="37"/>
      <c r="J65" s="37"/>
      <c r="K65"/>
      <c r="L65"/>
      <c r="M65"/>
      <c r="N65"/>
      <c r="O65"/>
      <c r="P65"/>
      <c r="Q65"/>
      <c r="R65"/>
      <c r="S65"/>
      <c r="T65"/>
      <c r="U65"/>
      <c r="V65"/>
      <c r="X65"/>
      <c r="Y65"/>
      <c r="Z65"/>
      <c r="AB65" s="13"/>
      <c r="AC65" s="14"/>
    </row>
    <row r="66" spans="1:29" x14ac:dyDescent="0.2">
      <c r="A66"/>
      <c r="B66"/>
      <c r="C66"/>
      <c r="D66"/>
      <c r="E66"/>
      <c r="F66"/>
      <c r="G66"/>
      <c r="H66"/>
      <c r="I66" s="37"/>
      <c r="J66" s="37"/>
      <c r="K66"/>
      <c r="L66"/>
      <c r="M66"/>
      <c r="N66"/>
      <c r="O66"/>
      <c r="P66"/>
      <c r="Q66"/>
      <c r="R66"/>
      <c r="S66"/>
      <c r="T66"/>
      <c r="U66"/>
      <c r="V66"/>
      <c r="X66"/>
      <c r="Y66"/>
      <c r="Z66"/>
      <c r="AB66" s="13"/>
      <c r="AC66" s="14"/>
    </row>
    <row r="67" spans="1:29" x14ac:dyDescent="0.2">
      <c r="A67"/>
      <c r="B67"/>
      <c r="C67"/>
      <c r="D67"/>
      <c r="E67"/>
      <c r="F67"/>
      <c r="G67"/>
      <c r="H67"/>
      <c r="I67" s="37"/>
      <c r="J67" s="37"/>
      <c r="K67"/>
      <c r="L67"/>
      <c r="M67"/>
      <c r="N67"/>
      <c r="O67"/>
      <c r="P67"/>
      <c r="Q67"/>
      <c r="R67"/>
      <c r="S67"/>
      <c r="T67"/>
      <c r="U67"/>
      <c r="V67"/>
      <c r="X67"/>
      <c r="Y67"/>
      <c r="Z67"/>
      <c r="AB67" s="13"/>
      <c r="AC67" s="14"/>
    </row>
    <row r="68" spans="1:29" x14ac:dyDescent="0.2">
      <c r="A68"/>
      <c r="B68"/>
      <c r="C68"/>
      <c r="D68"/>
      <c r="E68"/>
      <c r="F68"/>
      <c r="G68"/>
      <c r="H68"/>
      <c r="I68" s="37"/>
      <c r="J68" s="37"/>
      <c r="K68"/>
      <c r="L68"/>
      <c r="M68"/>
      <c r="N68"/>
      <c r="O68"/>
      <c r="P68"/>
      <c r="Q68" s="37"/>
      <c r="R68"/>
      <c r="S68"/>
      <c r="T68"/>
      <c r="U68"/>
      <c r="V68"/>
      <c r="X68"/>
      <c r="Y68"/>
      <c r="Z68"/>
      <c r="AB68" s="13"/>
      <c r="AC68" s="14"/>
    </row>
    <row r="69" spans="1:29" x14ac:dyDescent="0.2">
      <c r="A69"/>
      <c r="B69"/>
      <c r="C69"/>
      <c r="D69"/>
      <c r="E69"/>
      <c r="F69"/>
      <c r="G69"/>
      <c r="H69"/>
      <c r="I69" s="37"/>
      <c r="J69" s="37"/>
      <c r="K69"/>
      <c r="L69"/>
      <c r="M69"/>
      <c r="N69"/>
      <c r="O69"/>
      <c r="P69"/>
      <c r="Q69"/>
      <c r="R69"/>
      <c r="S69"/>
      <c r="T69"/>
      <c r="U69"/>
      <c r="V69"/>
      <c r="X69"/>
      <c r="Y69"/>
      <c r="Z69"/>
      <c r="AB69" s="13"/>
      <c r="AC69" s="14"/>
    </row>
    <row r="70" spans="1:29" x14ac:dyDescent="0.2">
      <c r="A70"/>
      <c r="B70"/>
      <c r="C70"/>
      <c r="D70"/>
      <c r="E70"/>
      <c r="F70"/>
      <c r="G70"/>
      <c r="H70"/>
      <c r="I70" s="37"/>
      <c r="J70" s="37"/>
      <c r="K70"/>
      <c r="L70"/>
      <c r="M70"/>
      <c r="N70"/>
      <c r="O70"/>
      <c r="P70"/>
      <c r="Q70"/>
      <c r="R70"/>
      <c r="S70"/>
      <c r="T70"/>
      <c r="U70"/>
      <c r="V70"/>
      <c r="X70"/>
      <c r="Y70"/>
      <c r="Z70"/>
      <c r="AB70" s="13"/>
      <c r="AC70" s="14"/>
    </row>
    <row r="71" spans="1:29" x14ac:dyDescent="0.2">
      <c r="A71"/>
      <c r="B71"/>
      <c r="C71"/>
      <c r="D71"/>
      <c r="E71"/>
      <c r="F71"/>
      <c r="G71"/>
      <c r="H71"/>
      <c r="I71" s="37"/>
      <c r="J71" s="37"/>
      <c r="K71"/>
      <c r="L71"/>
      <c r="M71"/>
      <c r="N71"/>
      <c r="O71"/>
      <c r="P71"/>
      <c r="Q71" s="37"/>
      <c r="R71"/>
      <c r="S71"/>
      <c r="T71"/>
      <c r="U71"/>
      <c r="V71"/>
      <c r="X71"/>
      <c r="Y71"/>
      <c r="Z71"/>
      <c r="AB71" s="13"/>
      <c r="AC71" s="14"/>
    </row>
    <row r="72" spans="1:29" x14ac:dyDescent="0.2">
      <c r="A72"/>
      <c r="B72"/>
      <c r="C72"/>
      <c r="D72"/>
      <c r="E72"/>
      <c r="F72"/>
      <c r="G72"/>
      <c r="H72"/>
      <c r="I72" s="37"/>
      <c r="J72" s="37"/>
      <c r="K72"/>
      <c r="L72"/>
      <c r="M72"/>
      <c r="N72"/>
      <c r="O72"/>
      <c r="P72"/>
      <c r="Q72"/>
      <c r="R72"/>
      <c r="S72"/>
      <c r="T72"/>
      <c r="U72"/>
      <c r="V72"/>
      <c r="X72"/>
      <c r="Y72"/>
      <c r="Z72"/>
      <c r="AB72" s="13"/>
      <c r="AC72" s="14"/>
    </row>
    <row r="73" spans="1:29" x14ac:dyDescent="0.2">
      <c r="A73"/>
      <c r="B73"/>
      <c r="C73"/>
      <c r="D73"/>
      <c r="E73"/>
      <c r="F73"/>
      <c r="G73"/>
      <c r="H73"/>
      <c r="I73" s="37"/>
      <c r="J73" s="37"/>
      <c r="K73"/>
      <c r="L73"/>
      <c r="M73"/>
      <c r="N73"/>
      <c r="O73"/>
      <c r="P73"/>
      <c r="Q73"/>
      <c r="R73"/>
      <c r="S73"/>
      <c r="T73"/>
      <c r="U73"/>
      <c r="V73"/>
      <c r="X73"/>
      <c r="Y73"/>
      <c r="Z73"/>
      <c r="AB73" s="13"/>
      <c r="AC73" s="14"/>
    </row>
    <row r="74" spans="1:29" x14ac:dyDescent="0.2">
      <c r="A74"/>
      <c r="B74"/>
      <c r="C74"/>
      <c r="D74"/>
      <c r="E74"/>
      <c r="F74"/>
      <c r="G74"/>
      <c r="H74"/>
      <c r="I74" s="37"/>
      <c r="J74" s="37"/>
      <c r="K74"/>
      <c r="L74"/>
      <c r="M74"/>
      <c r="N74"/>
      <c r="O74"/>
      <c r="P74"/>
      <c r="Q74"/>
      <c r="R74"/>
      <c r="S74"/>
      <c r="T74"/>
      <c r="U74"/>
      <c r="V74"/>
      <c r="X74"/>
      <c r="Y74"/>
      <c r="Z74"/>
      <c r="AB74" s="13"/>
      <c r="AC74" s="14"/>
    </row>
    <row r="75" spans="1:29" x14ac:dyDescent="0.2">
      <c r="A75"/>
      <c r="B75"/>
      <c r="C75"/>
      <c r="D75"/>
      <c r="E75"/>
      <c r="F75"/>
      <c r="G75"/>
      <c r="H75"/>
      <c r="I75" s="37"/>
      <c r="J75" s="37"/>
      <c r="K75"/>
      <c r="L75"/>
      <c r="M75"/>
      <c r="N75"/>
      <c r="O75"/>
      <c r="P75"/>
      <c r="Q75" s="37"/>
      <c r="R75"/>
      <c r="S75"/>
      <c r="T75"/>
      <c r="U75"/>
      <c r="V75"/>
      <c r="X75"/>
      <c r="Y75"/>
      <c r="Z75"/>
      <c r="AB75" s="13"/>
      <c r="AC75" s="14"/>
    </row>
    <row r="76" spans="1:29" x14ac:dyDescent="0.2">
      <c r="A76"/>
      <c r="B76"/>
      <c r="C76"/>
      <c r="D76"/>
      <c r="E76"/>
      <c r="F76"/>
      <c r="G76"/>
      <c r="H76"/>
      <c r="I76" s="37"/>
      <c r="J76" s="37"/>
      <c r="K76"/>
      <c r="L76"/>
      <c r="M76"/>
      <c r="N76"/>
      <c r="O76"/>
      <c r="P76"/>
      <c r="Q76" s="37"/>
      <c r="R76"/>
      <c r="S76"/>
      <c r="T76"/>
      <c r="U76"/>
      <c r="V76"/>
      <c r="X76"/>
      <c r="Y76"/>
      <c r="Z76"/>
      <c r="AB76" s="13"/>
      <c r="AC76" s="14"/>
    </row>
    <row r="77" spans="1:29" x14ac:dyDescent="0.2">
      <c r="A77"/>
      <c r="B77"/>
      <c r="C77"/>
      <c r="D77"/>
      <c r="E77"/>
      <c r="F77"/>
      <c r="G77"/>
      <c r="H77"/>
      <c r="I77" s="37"/>
      <c r="J77" s="37"/>
      <c r="K77"/>
      <c r="L77"/>
      <c r="M77"/>
      <c r="N77"/>
      <c r="O77"/>
      <c r="P77"/>
      <c r="Q77"/>
      <c r="R77"/>
      <c r="S77"/>
      <c r="T77"/>
      <c r="U77"/>
      <c r="V77"/>
      <c r="X77"/>
      <c r="Y77"/>
      <c r="Z77"/>
      <c r="AB77" s="8"/>
      <c r="AC77" s="14"/>
    </row>
    <row r="78" spans="1:29" x14ac:dyDescent="0.2">
      <c r="A78"/>
      <c r="B78"/>
      <c r="C78"/>
      <c r="D78"/>
      <c r="E78"/>
      <c r="F78"/>
      <c r="G78"/>
      <c r="H78"/>
      <c r="I78" s="37"/>
      <c r="J78" s="37"/>
      <c r="K78"/>
      <c r="L78"/>
      <c r="M78"/>
      <c r="N78"/>
      <c r="O78"/>
      <c r="P78"/>
      <c r="Q78"/>
      <c r="R78"/>
      <c r="S78"/>
      <c r="T78"/>
      <c r="U78"/>
      <c r="V78"/>
      <c r="X78"/>
      <c r="Y78"/>
      <c r="Z78"/>
      <c r="AB78" s="8"/>
      <c r="AC78" s="14"/>
    </row>
    <row r="79" spans="1:29" x14ac:dyDescent="0.2">
      <c r="A79"/>
      <c r="B79"/>
      <c r="C79"/>
      <c r="D79"/>
      <c r="E79"/>
      <c r="F79"/>
      <c r="G79"/>
      <c r="H79"/>
      <c r="I79" s="37"/>
      <c r="J79" s="37"/>
      <c r="K79"/>
      <c r="L79"/>
      <c r="M79"/>
      <c r="N79"/>
      <c r="O79"/>
      <c r="P79"/>
      <c r="Q79"/>
      <c r="R79"/>
      <c r="S79"/>
      <c r="T79"/>
      <c r="U79"/>
      <c r="V79"/>
      <c r="X79"/>
      <c r="Y79"/>
      <c r="Z79"/>
      <c r="AB79" s="8"/>
      <c r="AC79" s="14"/>
    </row>
    <row r="80" spans="1:29" x14ac:dyDescent="0.2">
      <c r="A80"/>
      <c r="B80"/>
      <c r="C80"/>
      <c r="D80"/>
      <c r="E80"/>
      <c r="F80"/>
      <c r="G80"/>
      <c r="H80"/>
      <c r="I80" s="37"/>
      <c r="J80" s="37"/>
      <c r="K80"/>
      <c r="L80"/>
      <c r="M80"/>
      <c r="N80"/>
      <c r="O80"/>
      <c r="P80"/>
      <c r="Q80"/>
      <c r="R80"/>
      <c r="S80"/>
      <c r="T80"/>
      <c r="U80"/>
      <c r="V80"/>
      <c r="X80"/>
      <c r="Y80"/>
      <c r="Z80"/>
      <c r="AB80" s="8"/>
      <c r="AC80" s="14"/>
    </row>
    <row r="81" spans="1:29" x14ac:dyDescent="0.2">
      <c r="A81"/>
      <c r="B81"/>
      <c r="C81"/>
      <c r="D81"/>
      <c r="E81"/>
      <c r="F81"/>
      <c r="G81"/>
      <c r="H81"/>
      <c r="I81" s="37"/>
      <c r="J81" s="37"/>
      <c r="K81"/>
      <c r="L81"/>
      <c r="M81"/>
      <c r="N81"/>
      <c r="O81"/>
      <c r="P81"/>
      <c r="Q81"/>
      <c r="R81"/>
      <c r="S81"/>
      <c r="T81"/>
      <c r="U81"/>
      <c r="V81"/>
      <c r="X81"/>
      <c r="Y81"/>
      <c r="Z81"/>
      <c r="AB81" s="8"/>
      <c r="AC81" s="14"/>
    </row>
    <row r="82" spans="1:29" x14ac:dyDescent="0.2">
      <c r="A82"/>
      <c r="B82"/>
      <c r="C82"/>
      <c r="D82"/>
      <c r="E82"/>
      <c r="F82"/>
      <c r="G82"/>
      <c r="H82"/>
      <c r="I82" s="37"/>
      <c r="J82" s="37"/>
      <c r="K82"/>
      <c r="L82"/>
      <c r="M82"/>
      <c r="N82"/>
      <c r="O82"/>
      <c r="P82"/>
      <c r="Q82"/>
      <c r="R82"/>
      <c r="S82"/>
      <c r="T82"/>
      <c r="U82"/>
      <c r="V82"/>
      <c r="X82"/>
      <c r="Y82"/>
      <c r="Z82"/>
      <c r="AB82" s="8"/>
      <c r="AC82" s="14"/>
    </row>
    <row r="83" spans="1:29" x14ac:dyDescent="0.2">
      <c r="A83"/>
      <c r="B83"/>
      <c r="C83"/>
      <c r="D83"/>
      <c r="E83"/>
      <c r="F83"/>
      <c r="G83"/>
      <c r="H83"/>
      <c r="I83" s="37"/>
      <c r="J83" s="37"/>
      <c r="K83"/>
      <c r="L83"/>
      <c r="M83"/>
      <c r="N83"/>
      <c r="O83"/>
      <c r="P83"/>
      <c r="Q83"/>
      <c r="R83"/>
      <c r="S83"/>
      <c r="T83"/>
      <c r="U83"/>
      <c r="V83"/>
      <c r="X83"/>
      <c r="Y83"/>
      <c r="Z83"/>
      <c r="AB83" s="13"/>
      <c r="AC83" s="14"/>
    </row>
    <row r="84" spans="1:29" x14ac:dyDescent="0.2">
      <c r="A84"/>
      <c r="B84"/>
      <c r="C84"/>
      <c r="D84"/>
      <c r="E84"/>
      <c r="F84"/>
      <c r="G84"/>
      <c r="H84"/>
      <c r="I84" s="37"/>
      <c r="J84" s="37"/>
      <c r="K84"/>
      <c r="L84"/>
      <c r="M84"/>
      <c r="N84"/>
      <c r="O84"/>
      <c r="P84"/>
      <c r="Q84"/>
      <c r="R84"/>
      <c r="S84"/>
      <c r="T84"/>
      <c r="U84"/>
      <c r="V84"/>
      <c r="X84"/>
      <c r="Y84"/>
      <c r="Z84"/>
      <c r="AB84" s="13"/>
      <c r="AC84" s="14"/>
    </row>
    <row r="85" spans="1:29" x14ac:dyDescent="0.2">
      <c r="A85"/>
      <c r="B85"/>
      <c r="C85"/>
      <c r="D85"/>
      <c r="E85"/>
      <c r="F85"/>
      <c r="G85"/>
      <c r="H85"/>
      <c r="I85" s="37"/>
      <c r="J85" s="37"/>
      <c r="K85"/>
      <c r="L85"/>
      <c r="M85"/>
      <c r="N85"/>
      <c r="O85"/>
      <c r="P85"/>
      <c r="Q85"/>
      <c r="R85"/>
      <c r="S85"/>
      <c r="T85"/>
      <c r="U85"/>
      <c r="V85"/>
      <c r="X85"/>
      <c r="Y85"/>
      <c r="Z85"/>
      <c r="AB85" s="13"/>
      <c r="AC85" s="14"/>
    </row>
    <row r="86" spans="1:29" x14ac:dyDescent="0.2">
      <c r="A86"/>
      <c r="B86"/>
      <c r="C86"/>
      <c r="D86"/>
      <c r="E86"/>
      <c r="F86"/>
      <c r="G86"/>
      <c r="H86"/>
      <c r="I86" s="37"/>
      <c r="J86" s="37"/>
      <c r="K86"/>
      <c r="L86"/>
      <c r="M86"/>
      <c r="N86"/>
      <c r="O86"/>
      <c r="P86"/>
      <c r="Q86"/>
      <c r="R86"/>
      <c r="S86"/>
      <c r="T86"/>
      <c r="U86"/>
      <c r="V86"/>
      <c r="X86"/>
      <c r="Y86"/>
      <c r="Z86"/>
      <c r="AB86" s="13"/>
      <c r="AC86" s="14"/>
    </row>
    <row r="87" spans="1:29" x14ac:dyDescent="0.2">
      <c r="A87"/>
      <c r="B87"/>
      <c r="C87"/>
      <c r="D87"/>
      <c r="E87"/>
      <c r="F87"/>
      <c r="G87"/>
      <c r="H87"/>
      <c r="I87" s="37"/>
      <c r="J87" s="37"/>
      <c r="K87"/>
      <c r="L87"/>
      <c r="M87"/>
      <c r="N87"/>
      <c r="O87"/>
      <c r="P87"/>
      <c r="Q87"/>
      <c r="R87"/>
      <c r="S87"/>
      <c r="T87"/>
      <c r="U87"/>
      <c r="V87"/>
      <c r="X87"/>
      <c r="Y87"/>
      <c r="Z87"/>
      <c r="AB87" s="13"/>
      <c r="AC87" s="14"/>
    </row>
    <row r="88" spans="1:29" x14ac:dyDescent="0.2">
      <c r="A88"/>
      <c r="B88"/>
      <c r="C88"/>
      <c r="D88"/>
      <c r="E88"/>
      <c r="F88"/>
      <c r="G88"/>
      <c r="H88"/>
      <c r="I88" s="37"/>
      <c r="J88" s="37"/>
      <c r="K88"/>
      <c r="L88"/>
      <c r="M88"/>
      <c r="N88"/>
      <c r="O88"/>
      <c r="P88"/>
      <c r="Q88"/>
      <c r="R88"/>
      <c r="S88"/>
      <c r="T88"/>
      <c r="U88"/>
      <c r="V88"/>
      <c r="X88"/>
      <c r="Y88"/>
      <c r="Z88"/>
      <c r="AB88" s="13"/>
      <c r="AC88" s="14"/>
    </row>
    <row r="89" spans="1:29" x14ac:dyDescent="0.2">
      <c r="A89"/>
      <c r="B89"/>
      <c r="C89"/>
      <c r="D89"/>
      <c r="E89"/>
      <c r="F89"/>
      <c r="G89"/>
      <c r="H89"/>
      <c r="I89" s="37"/>
      <c r="J89" s="37"/>
      <c r="K89"/>
      <c r="L89"/>
      <c r="M89"/>
      <c r="N89"/>
      <c r="O89"/>
      <c r="P89"/>
      <c r="Q89"/>
      <c r="R89"/>
      <c r="S89"/>
      <c r="T89"/>
      <c r="U89"/>
      <c r="V89"/>
      <c r="X89"/>
      <c r="Y89"/>
      <c r="Z89"/>
      <c r="AB89" s="13"/>
      <c r="AC89" s="14"/>
    </row>
    <row r="90" spans="1:29" x14ac:dyDescent="0.2">
      <c r="A90"/>
      <c r="B90"/>
      <c r="C90"/>
      <c r="D90"/>
      <c r="E90"/>
      <c r="F90"/>
      <c r="G90"/>
      <c r="H90"/>
      <c r="I90" s="37"/>
      <c r="J90" s="37"/>
      <c r="K90"/>
      <c r="L90"/>
      <c r="M90"/>
      <c r="N90"/>
      <c r="O90"/>
      <c r="P90"/>
      <c r="Q90"/>
      <c r="R90"/>
      <c r="S90"/>
      <c r="T90"/>
      <c r="U90"/>
      <c r="V90"/>
      <c r="X90"/>
      <c r="Y90"/>
      <c r="Z90"/>
      <c r="AB90" s="13"/>
      <c r="AC90" s="14"/>
    </row>
    <row r="91" spans="1:29" x14ac:dyDescent="0.2">
      <c r="A91"/>
      <c r="B91"/>
      <c r="C91"/>
      <c r="D91"/>
      <c r="E91"/>
      <c r="F91"/>
      <c r="G91"/>
      <c r="H91"/>
      <c r="I91" s="37"/>
      <c r="J91" s="37"/>
      <c r="K91"/>
      <c r="L91"/>
      <c r="M91"/>
      <c r="N91"/>
      <c r="O91"/>
      <c r="P91"/>
      <c r="Q91"/>
      <c r="R91"/>
      <c r="S91"/>
      <c r="T91"/>
      <c r="U91"/>
      <c r="V91"/>
      <c r="X91"/>
      <c r="Y91"/>
      <c r="Z91"/>
      <c r="AB91" s="13"/>
      <c r="AC91" s="14"/>
    </row>
    <row r="92" spans="1:29" x14ac:dyDescent="0.2">
      <c r="A92"/>
      <c r="B92"/>
      <c r="C92"/>
      <c r="D92"/>
      <c r="E92"/>
      <c r="F92"/>
      <c r="G92"/>
      <c r="H92"/>
      <c r="I92" s="37"/>
      <c r="J92" s="37"/>
      <c r="K92"/>
      <c r="L92"/>
      <c r="M92"/>
      <c r="N92"/>
      <c r="O92"/>
      <c r="P92"/>
      <c r="Q92"/>
      <c r="R92"/>
      <c r="S92"/>
      <c r="T92"/>
      <c r="U92"/>
      <c r="V92"/>
      <c r="X92"/>
      <c r="Y92"/>
      <c r="Z92"/>
      <c r="AB92" s="13"/>
      <c r="AC92" s="14"/>
    </row>
    <row r="93" spans="1:29" x14ac:dyDescent="0.2">
      <c r="A93"/>
      <c r="B93"/>
      <c r="C93"/>
      <c r="D93"/>
      <c r="E93"/>
      <c r="F93"/>
      <c r="G93"/>
      <c r="H93"/>
      <c r="I93" s="37"/>
      <c r="J93" s="37"/>
      <c r="K93"/>
      <c r="L93"/>
      <c r="M93"/>
      <c r="N93"/>
      <c r="O93"/>
      <c r="P93"/>
      <c r="Q93" s="37"/>
      <c r="R93"/>
      <c r="S93"/>
      <c r="T93"/>
      <c r="U93"/>
      <c r="V93"/>
      <c r="X93"/>
      <c r="Y93"/>
      <c r="Z93"/>
      <c r="AB93" s="13"/>
      <c r="AC93" s="14"/>
    </row>
    <row r="94" spans="1:29" x14ac:dyDescent="0.2">
      <c r="A94"/>
      <c r="B94"/>
      <c r="C94"/>
      <c r="D94"/>
      <c r="E94"/>
      <c r="F94"/>
      <c r="G94"/>
      <c r="H94"/>
      <c r="I94" s="37"/>
      <c r="J94" s="37"/>
      <c r="K94"/>
      <c r="L94"/>
      <c r="M94"/>
      <c r="N94"/>
      <c r="O94"/>
      <c r="P94"/>
      <c r="Q94"/>
      <c r="R94"/>
      <c r="S94"/>
      <c r="T94"/>
      <c r="U94"/>
      <c r="V94"/>
      <c r="X94"/>
      <c r="Y94"/>
      <c r="Z94"/>
      <c r="AB94" s="13"/>
      <c r="AC94" s="14"/>
    </row>
    <row r="95" spans="1:29" x14ac:dyDescent="0.2">
      <c r="A95"/>
      <c r="B95"/>
      <c r="C95"/>
      <c r="D95"/>
      <c r="E95"/>
      <c r="F95"/>
      <c r="G95"/>
      <c r="H95"/>
      <c r="I95" s="37"/>
      <c r="J95" s="37"/>
      <c r="K95"/>
      <c r="L95"/>
      <c r="M95"/>
      <c r="N95"/>
      <c r="O95"/>
      <c r="P95"/>
      <c r="Q95"/>
      <c r="R95"/>
      <c r="S95"/>
      <c r="T95"/>
      <c r="U95"/>
      <c r="V95"/>
      <c r="X95"/>
      <c r="Y95"/>
      <c r="Z95"/>
      <c r="AB95" s="13"/>
      <c r="AC95" s="14"/>
    </row>
    <row r="96" spans="1:29" x14ac:dyDescent="0.2">
      <c r="A96"/>
      <c r="B96"/>
      <c r="C96"/>
      <c r="D96"/>
      <c r="E96"/>
      <c r="F96"/>
      <c r="G96"/>
      <c r="H96"/>
      <c r="I96" s="37"/>
      <c r="J96" s="37"/>
      <c r="K96"/>
      <c r="L96"/>
      <c r="M96"/>
      <c r="N96"/>
      <c r="O96"/>
      <c r="P96"/>
      <c r="Q96" s="37"/>
      <c r="R96"/>
      <c r="S96"/>
      <c r="T96"/>
      <c r="U96"/>
      <c r="V96"/>
      <c r="X96"/>
      <c r="Y96"/>
      <c r="Z96"/>
      <c r="AB96" s="13"/>
      <c r="AC96" s="14"/>
    </row>
    <row r="97" spans="1:29" x14ac:dyDescent="0.2">
      <c r="A97"/>
      <c r="B97"/>
      <c r="C97"/>
      <c r="D97"/>
      <c r="E97"/>
      <c r="F97"/>
      <c r="G97"/>
      <c r="H97"/>
      <c r="I97" s="37"/>
      <c r="J97" s="37"/>
      <c r="K97"/>
      <c r="L97"/>
      <c r="M97"/>
      <c r="N97"/>
      <c r="O97"/>
      <c r="P97"/>
      <c r="Q97"/>
      <c r="R97"/>
      <c r="S97"/>
      <c r="T97"/>
      <c r="U97"/>
      <c r="V97"/>
      <c r="X97"/>
      <c r="Y97"/>
      <c r="Z97"/>
      <c r="AB97" s="13"/>
      <c r="AC97" s="14"/>
    </row>
    <row r="98" spans="1:29" x14ac:dyDescent="0.2">
      <c r="A98"/>
      <c r="B98"/>
      <c r="C98"/>
      <c r="D98"/>
      <c r="E98"/>
      <c r="F98"/>
      <c r="G98"/>
      <c r="H98"/>
      <c r="I98" s="37"/>
      <c r="J98" s="37"/>
      <c r="K98"/>
      <c r="L98"/>
      <c r="M98"/>
      <c r="N98"/>
      <c r="O98"/>
      <c r="P98"/>
      <c r="Q98"/>
      <c r="R98"/>
      <c r="S98"/>
      <c r="T98"/>
      <c r="U98"/>
      <c r="V98"/>
      <c r="X98"/>
      <c r="Y98"/>
      <c r="Z98"/>
      <c r="AB98" s="13"/>
      <c r="AC98" s="14"/>
    </row>
    <row r="99" spans="1:29" x14ac:dyDescent="0.2">
      <c r="A99"/>
      <c r="B99"/>
      <c r="C99"/>
      <c r="D99"/>
      <c r="E99"/>
      <c r="F99"/>
      <c r="G99"/>
      <c r="H99"/>
      <c r="I99" s="37"/>
      <c r="J99" s="37"/>
      <c r="K99"/>
      <c r="L99"/>
      <c r="M99"/>
      <c r="N99"/>
      <c r="O99"/>
      <c r="P99"/>
      <c r="Q99"/>
      <c r="R99"/>
      <c r="S99"/>
      <c r="T99"/>
      <c r="U99"/>
      <c r="V99"/>
      <c r="X99"/>
      <c r="Y99"/>
      <c r="Z99"/>
      <c r="AB99" s="13"/>
      <c r="AC99" s="14"/>
    </row>
    <row r="100" spans="1:29" x14ac:dyDescent="0.2">
      <c r="A100"/>
      <c r="B100"/>
      <c r="C100"/>
      <c r="D100"/>
      <c r="E100"/>
      <c r="F100"/>
      <c r="G100"/>
      <c r="H100"/>
      <c r="I100" s="37"/>
      <c r="J100" s="37"/>
      <c r="K100"/>
      <c r="L100"/>
      <c r="M100"/>
      <c r="N100"/>
      <c r="O100"/>
      <c r="P100"/>
      <c r="Q100" s="37"/>
      <c r="R100"/>
      <c r="S100"/>
      <c r="T100"/>
      <c r="U100"/>
      <c r="V100"/>
      <c r="X100"/>
      <c r="Y100"/>
      <c r="Z100"/>
      <c r="AB100" s="13"/>
      <c r="AC100" s="14"/>
    </row>
    <row r="101" spans="1:29" x14ac:dyDescent="0.2">
      <c r="A101"/>
      <c r="B101"/>
      <c r="C101"/>
      <c r="D101"/>
      <c r="E101"/>
      <c r="F101"/>
      <c r="G101"/>
      <c r="H101"/>
      <c r="I101" s="37"/>
      <c r="J101" s="37"/>
      <c r="K101"/>
      <c r="L101"/>
      <c r="M101"/>
      <c r="N101"/>
      <c r="O101"/>
      <c r="P101"/>
      <c r="Q101" s="37"/>
      <c r="R101"/>
      <c r="S101"/>
      <c r="T101"/>
      <c r="U101"/>
      <c r="V101"/>
      <c r="X101"/>
      <c r="Y101"/>
      <c r="Z101"/>
      <c r="AB101" s="13"/>
      <c r="AC101" s="14"/>
    </row>
    <row r="102" spans="1:29" x14ac:dyDescent="0.2">
      <c r="A102" s="14"/>
      <c r="B102" s="14"/>
      <c r="C102" s="14"/>
      <c r="D102" s="14"/>
      <c r="E102" s="14"/>
      <c r="F102" s="14"/>
      <c r="G102" s="14"/>
      <c r="H102" s="14"/>
      <c r="I102" s="15"/>
      <c r="J102" s="15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6"/>
      <c r="AB102" s="13"/>
      <c r="AC102" s="14"/>
    </row>
    <row r="103" spans="1:29" x14ac:dyDescent="0.2">
      <c r="A103" s="14"/>
      <c r="B103" s="14"/>
      <c r="C103" s="14"/>
      <c r="D103" s="14"/>
      <c r="E103" s="14"/>
      <c r="F103" s="14"/>
      <c r="G103" s="14"/>
      <c r="H103" s="14"/>
      <c r="I103" s="15"/>
      <c r="J103" s="15"/>
      <c r="K103" s="14"/>
      <c r="L103" s="14"/>
      <c r="M103" s="14"/>
      <c r="N103" s="14"/>
      <c r="O103" s="14"/>
      <c r="P103" s="14"/>
      <c r="Q103" s="15"/>
      <c r="R103" s="14"/>
      <c r="S103" s="14"/>
      <c r="T103" s="14"/>
      <c r="U103" s="14"/>
      <c r="V103" s="16"/>
      <c r="AB103" s="13"/>
      <c r="AC103" s="14"/>
    </row>
    <row r="104" spans="1:29" x14ac:dyDescent="0.2">
      <c r="A104" s="14"/>
      <c r="B104" s="14"/>
      <c r="C104" s="14"/>
      <c r="D104" s="14"/>
      <c r="E104" s="14"/>
      <c r="F104" s="14"/>
      <c r="G104" s="14"/>
      <c r="H104" s="14"/>
      <c r="I104" s="15"/>
      <c r="J104" s="15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6"/>
      <c r="AB104" s="13"/>
      <c r="AC104" s="14"/>
    </row>
    <row r="105" spans="1:29" x14ac:dyDescent="0.2">
      <c r="A105" s="14"/>
      <c r="B105" s="14"/>
      <c r="C105" s="14"/>
      <c r="D105" s="14"/>
      <c r="E105" s="14"/>
      <c r="F105" s="14"/>
      <c r="G105" s="14"/>
      <c r="H105" s="14"/>
      <c r="I105" s="15"/>
      <c r="J105" s="15"/>
      <c r="K105" s="14"/>
      <c r="L105" s="14"/>
      <c r="M105" s="14"/>
      <c r="N105" s="14"/>
      <c r="O105" s="14"/>
      <c r="P105" s="14"/>
      <c r="Q105" s="15"/>
      <c r="R105" s="14"/>
      <c r="S105" s="14"/>
      <c r="T105" s="14"/>
      <c r="U105" s="14"/>
      <c r="V105" s="16"/>
      <c r="AB105" s="13"/>
      <c r="AC105" s="14"/>
    </row>
    <row r="106" spans="1:29" x14ac:dyDescent="0.2">
      <c r="A106" s="14"/>
      <c r="B106" s="14"/>
      <c r="C106" s="14"/>
      <c r="D106" s="14"/>
      <c r="E106" s="14"/>
      <c r="F106" s="14"/>
      <c r="G106" s="14"/>
      <c r="H106" s="14"/>
      <c r="I106" s="15"/>
      <c r="J106" s="15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6"/>
      <c r="AB106" s="13"/>
      <c r="AC106" s="14"/>
    </row>
    <row r="107" spans="1:29" x14ac:dyDescent="0.2">
      <c r="A107" s="14"/>
      <c r="B107" s="14"/>
      <c r="C107" s="14"/>
      <c r="D107" s="14"/>
      <c r="E107" s="14"/>
      <c r="F107" s="14"/>
      <c r="G107" s="14"/>
      <c r="H107" s="14"/>
      <c r="I107" s="15"/>
      <c r="J107" s="15"/>
      <c r="K107" s="14"/>
      <c r="L107" s="14"/>
      <c r="M107" s="14"/>
      <c r="N107" s="14"/>
      <c r="O107" s="14"/>
      <c r="P107" s="14"/>
      <c r="Q107" s="15"/>
      <c r="R107" s="14"/>
      <c r="S107" s="14"/>
      <c r="T107" s="14"/>
      <c r="U107" s="14"/>
      <c r="V107" s="16"/>
      <c r="AB107" s="13"/>
      <c r="AC107" s="14"/>
    </row>
    <row r="108" spans="1:29" x14ac:dyDescent="0.2">
      <c r="A108" s="14"/>
      <c r="B108" s="14"/>
      <c r="C108" s="14"/>
      <c r="D108" s="14"/>
      <c r="E108" s="14"/>
      <c r="F108" s="14"/>
      <c r="G108" s="14"/>
      <c r="H108" s="14"/>
      <c r="I108" s="15"/>
      <c r="J108" s="15"/>
      <c r="K108" s="14"/>
      <c r="L108" s="14"/>
      <c r="M108" s="14"/>
      <c r="N108" s="14"/>
      <c r="O108" s="14"/>
      <c r="P108" s="14"/>
      <c r="Q108" s="15"/>
      <c r="R108" s="14"/>
      <c r="S108" s="14"/>
      <c r="T108" s="14"/>
      <c r="U108" s="14"/>
      <c r="V108" s="16"/>
      <c r="AB108" s="13"/>
      <c r="AC108" s="14"/>
    </row>
    <row r="109" spans="1:29" x14ac:dyDescent="0.2">
      <c r="A109" s="14"/>
      <c r="B109" s="14"/>
      <c r="C109" s="14"/>
      <c r="D109" s="14"/>
      <c r="E109" s="14"/>
      <c r="F109" s="14"/>
      <c r="G109" s="14"/>
      <c r="H109" s="14"/>
      <c r="I109" s="15"/>
      <c r="J109" s="15"/>
      <c r="K109" s="14"/>
      <c r="L109" s="14"/>
      <c r="M109" s="14"/>
      <c r="N109" s="14"/>
      <c r="O109" s="14"/>
      <c r="P109" s="14"/>
      <c r="Q109" s="15"/>
      <c r="R109" s="14"/>
      <c r="S109" s="14"/>
      <c r="T109" s="14"/>
      <c r="U109" s="14"/>
      <c r="V109" s="16"/>
      <c r="AB109" s="13"/>
      <c r="AC109" s="14"/>
    </row>
    <row r="110" spans="1:29" x14ac:dyDescent="0.2">
      <c r="A110" s="14"/>
      <c r="B110" s="14"/>
      <c r="C110" s="14"/>
      <c r="D110" s="14"/>
      <c r="E110" s="14"/>
      <c r="F110" s="14"/>
      <c r="G110" s="14"/>
      <c r="H110" s="14"/>
      <c r="I110" s="15"/>
      <c r="J110" s="15"/>
      <c r="K110" s="14"/>
      <c r="L110" s="14"/>
      <c r="M110" s="14"/>
      <c r="N110" s="14"/>
      <c r="O110" s="14"/>
      <c r="P110" s="14"/>
      <c r="Q110" s="15"/>
      <c r="R110" s="14"/>
      <c r="S110" s="14"/>
      <c r="T110" s="14"/>
      <c r="U110" s="14"/>
      <c r="V110" s="16"/>
      <c r="AB110" s="13"/>
      <c r="AC110" s="14"/>
    </row>
    <row r="111" spans="1:29" x14ac:dyDescent="0.2">
      <c r="A111" s="14"/>
      <c r="B111" s="14"/>
      <c r="C111" s="14"/>
      <c r="D111" s="14"/>
      <c r="E111" s="14"/>
      <c r="F111" s="14"/>
      <c r="G111" s="14"/>
      <c r="H111" s="14"/>
      <c r="I111" s="15"/>
      <c r="J111" s="15"/>
      <c r="K111" s="14"/>
      <c r="L111" s="14"/>
      <c r="M111" s="14"/>
      <c r="N111" s="14"/>
      <c r="O111" s="14"/>
      <c r="P111" s="14"/>
      <c r="Q111" s="15"/>
      <c r="R111" s="14"/>
      <c r="S111" s="14"/>
      <c r="T111" s="14"/>
      <c r="U111" s="14"/>
      <c r="V111" s="16"/>
      <c r="AB111" s="13"/>
      <c r="AC111" s="14"/>
    </row>
    <row r="112" spans="1:29" x14ac:dyDescent="0.2">
      <c r="A112" s="14"/>
      <c r="B112" s="14"/>
      <c r="C112" s="14"/>
      <c r="D112" s="14"/>
      <c r="E112" s="14"/>
      <c r="F112" s="14"/>
      <c r="G112" s="14"/>
      <c r="H112" s="14"/>
      <c r="I112" s="15"/>
      <c r="J112" s="15"/>
      <c r="K112" s="14"/>
      <c r="L112" s="14"/>
      <c r="M112" s="14"/>
      <c r="N112" s="14"/>
      <c r="O112" s="14"/>
      <c r="P112" s="14"/>
      <c r="Q112" s="15"/>
      <c r="R112" s="14"/>
      <c r="S112" s="14"/>
      <c r="T112" s="14"/>
      <c r="U112" s="14"/>
      <c r="V112" s="16"/>
      <c r="AB112" s="13"/>
      <c r="AC112" s="14"/>
    </row>
    <row r="113" spans="1:29" x14ac:dyDescent="0.2">
      <c r="A113" s="14"/>
      <c r="B113" s="14"/>
      <c r="C113" s="14"/>
      <c r="D113" s="14"/>
      <c r="E113" s="14"/>
      <c r="F113" s="14"/>
      <c r="G113" s="14"/>
      <c r="H113" s="14"/>
      <c r="I113" s="15"/>
      <c r="J113" s="15"/>
      <c r="K113" s="14"/>
      <c r="L113" s="14"/>
      <c r="M113" s="14"/>
      <c r="N113" s="14"/>
      <c r="O113" s="14"/>
      <c r="P113" s="14"/>
      <c r="Q113" s="15"/>
      <c r="R113" s="14"/>
      <c r="S113" s="14"/>
      <c r="T113" s="14"/>
      <c r="U113" s="14"/>
      <c r="V113" s="16"/>
      <c r="AB113" s="13"/>
      <c r="AC113" s="14"/>
    </row>
    <row r="114" spans="1:29" x14ac:dyDescent="0.2">
      <c r="A114" s="14"/>
      <c r="B114" s="14"/>
      <c r="C114" s="14"/>
      <c r="D114" s="14"/>
      <c r="E114" s="14"/>
      <c r="F114" s="14"/>
      <c r="G114" s="14"/>
      <c r="H114" s="14"/>
      <c r="I114" s="15"/>
      <c r="J114" s="15"/>
      <c r="K114" s="14"/>
      <c r="L114" s="14"/>
      <c r="M114" s="14"/>
      <c r="N114" s="14"/>
      <c r="O114" s="14"/>
      <c r="P114" s="14"/>
      <c r="Q114" s="15"/>
      <c r="R114" s="14"/>
      <c r="S114" s="14"/>
      <c r="T114" s="14"/>
      <c r="U114" s="14"/>
      <c r="V114" s="16"/>
      <c r="AB114" s="13"/>
      <c r="AC114" s="14"/>
    </row>
    <row r="115" spans="1:29" x14ac:dyDescent="0.2">
      <c r="A115" s="14"/>
      <c r="B115" s="14"/>
      <c r="C115" s="14"/>
      <c r="D115" s="14"/>
      <c r="E115" s="14"/>
      <c r="F115" s="14"/>
      <c r="G115" s="14"/>
      <c r="H115" s="14"/>
      <c r="I115" s="15"/>
      <c r="J115" s="15"/>
      <c r="K115" s="14"/>
      <c r="L115" s="14"/>
      <c r="M115" s="14"/>
      <c r="N115" s="14"/>
      <c r="O115" s="14"/>
      <c r="P115" s="14"/>
      <c r="Q115" s="15"/>
      <c r="R115" s="14"/>
      <c r="S115" s="14"/>
      <c r="T115" s="14"/>
      <c r="U115" s="14"/>
      <c r="V115" s="16"/>
      <c r="AB115" s="13"/>
      <c r="AC115" s="14"/>
    </row>
    <row r="116" spans="1:29" x14ac:dyDescent="0.2">
      <c r="A116" s="14"/>
      <c r="B116" s="14"/>
      <c r="C116" s="14"/>
      <c r="D116" s="14"/>
      <c r="E116" s="14"/>
      <c r="F116" s="14"/>
      <c r="G116" s="14"/>
      <c r="H116" s="14"/>
      <c r="I116" s="15"/>
      <c r="J116" s="15"/>
      <c r="K116" s="14"/>
      <c r="L116" s="14"/>
      <c r="M116" s="14"/>
      <c r="N116" s="14"/>
      <c r="O116" s="14"/>
      <c r="P116" s="14"/>
      <c r="Q116" s="15"/>
      <c r="R116" s="14"/>
      <c r="S116" s="14"/>
      <c r="T116" s="14"/>
      <c r="U116" s="14"/>
      <c r="V116" s="16"/>
      <c r="AB116" s="13"/>
      <c r="AC116" s="14"/>
    </row>
    <row r="117" spans="1:29" x14ac:dyDescent="0.2">
      <c r="A117" s="14"/>
      <c r="B117" s="14"/>
      <c r="C117" s="14"/>
      <c r="D117" s="14"/>
      <c r="E117" s="14"/>
      <c r="F117" s="14"/>
      <c r="G117" s="14"/>
      <c r="H117" s="14"/>
      <c r="I117" s="15"/>
      <c r="J117" s="15"/>
      <c r="K117" s="14"/>
      <c r="L117" s="14"/>
      <c r="M117" s="14"/>
      <c r="N117" s="14"/>
      <c r="O117" s="14"/>
      <c r="P117" s="14"/>
      <c r="Q117" s="15"/>
      <c r="R117" s="14"/>
      <c r="S117" s="14"/>
      <c r="T117" s="14"/>
      <c r="U117" s="14"/>
      <c r="V117" s="16"/>
      <c r="AB117" s="13"/>
      <c r="AC117" s="14"/>
    </row>
    <row r="118" spans="1:29" x14ac:dyDescent="0.2">
      <c r="A118" s="14"/>
      <c r="B118" s="14"/>
      <c r="C118" s="14"/>
      <c r="D118" s="14"/>
      <c r="E118" s="14"/>
      <c r="F118" s="14"/>
      <c r="G118" s="14"/>
      <c r="H118" s="14"/>
      <c r="I118" s="15"/>
      <c r="J118" s="15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6"/>
      <c r="AB118" s="13"/>
      <c r="AC118" s="14"/>
    </row>
    <row r="119" spans="1:29" x14ac:dyDescent="0.2">
      <c r="A119" s="14"/>
      <c r="B119" s="14"/>
      <c r="C119" s="14"/>
      <c r="D119" s="14"/>
      <c r="E119" s="14"/>
      <c r="F119" s="14"/>
      <c r="G119" s="14"/>
      <c r="H119" s="14"/>
      <c r="I119" s="15"/>
      <c r="J119" s="15"/>
      <c r="K119" s="14"/>
      <c r="L119" s="14"/>
      <c r="M119" s="14"/>
      <c r="N119" s="14"/>
      <c r="O119" s="14"/>
      <c r="P119" s="14"/>
      <c r="Q119" s="15"/>
      <c r="R119" s="14"/>
      <c r="S119" s="14"/>
      <c r="T119" s="14"/>
      <c r="U119" s="14"/>
      <c r="V119" s="16"/>
      <c r="AB119" s="13"/>
      <c r="AC119" s="14"/>
    </row>
    <row r="120" spans="1:29" x14ac:dyDescent="0.2">
      <c r="A120" s="14"/>
      <c r="B120" s="14"/>
      <c r="C120" s="14"/>
      <c r="D120" s="14"/>
      <c r="E120" s="14"/>
      <c r="F120" s="14"/>
      <c r="G120" s="14"/>
      <c r="H120" s="14"/>
      <c r="I120" s="15"/>
      <c r="J120" s="15"/>
      <c r="K120" s="14"/>
      <c r="L120" s="14"/>
      <c r="M120" s="14"/>
      <c r="N120" s="14"/>
      <c r="O120" s="14"/>
      <c r="P120" s="14"/>
      <c r="Q120" s="15"/>
      <c r="R120" s="14"/>
      <c r="S120" s="14"/>
      <c r="T120" s="14"/>
      <c r="U120" s="14"/>
      <c r="V120" s="16"/>
      <c r="AB120" s="13"/>
      <c r="AC120" s="14"/>
    </row>
    <row r="121" spans="1:29" x14ac:dyDescent="0.2">
      <c r="A121" s="14"/>
      <c r="B121" s="14"/>
      <c r="C121" s="14"/>
      <c r="D121" s="14"/>
      <c r="E121" s="14"/>
      <c r="F121" s="14"/>
      <c r="G121" s="14"/>
      <c r="H121" s="14"/>
      <c r="I121" s="15"/>
      <c r="J121" s="15"/>
      <c r="K121" s="14"/>
      <c r="L121" s="14"/>
      <c r="M121" s="14"/>
      <c r="N121" s="14"/>
      <c r="O121" s="14"/>
      <c r="P121" s="14"/>
      <c r="Q121" s="15"/>
      <c r="R121" s="14"/>
      <c r="S121" s="14"/>
      <c r="T121" s="14"/>
      <c r="U121" s="14"/>
      <c r="V121" s="16"/>
      <c r="AB121" s="13"/>
      <c r="AC121" s="14"/>
    </row>
    <row r="122" spans="1:29" x14ac:dyDescent="0.2">
      <c r="A122" s="14"/>
      <c r="B122" s="14"/>
      <c r="C122" s="14"/>
      <c r="D122" s="14"/>
      <c r="E122" s="14"/>
      <c r="F122" s="14"/>
      <c r="G122" s="14"/>
      <c r="H122" s="14"/>
      <c r="I122" s="15"/>
      <c r="J122" s="15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6"/>
      <c r="AB122" s="13"/>
      <c r="AC122" s="14"/>
    </row>
    <row r="123" spans="1:29" x14ac:dyDescent="0.2">
      <c r="A123" s="14"/>
      <c r="B123" s="14"/>
      <c r="C123" s="14"/>
      <c r="D123" s="14"/>
      <c r="E123" s="14"/>
      <c r="F123" s="14"/>
      <c r="G123" s="14"/>
      <c r="H123" s="14"/>
      <c r="I123" s="15"/>
      <c r="J123" s="15"/>
      <c r="K123" s="14"/>
      <c r="L123" s="14"/>
      <c r="M123" s="14"/>
      <c r="N123" s="14"/>
      <c r="O123" s="14"/>
      <c r="P123" s="14"/>
      <c r="Q123" s="15"/>
      <c r="R123" s="14"/>
      <c r="S123" s="14"/>
      <c r="T123" s="14"/>
      <c r="U123" s="14"/>
      <c r="V123" s="16"/>
      <c r="AB123" s="13"/>
      <c r="AC123" s="14"/>
    </row>
    <row r="124" spans="1:29" x14ac:dyDescent="0.2">
      <c r="A124" s="14"/>
      <c r="B124" s="14"/>
      <c r="C124" s="14"/>
      <c r="D124" s="14"/>
      <c r="E124" s="14"/>
      <c r="F124" s="14"/>
      <c r="G124" s="14"/>
      <c r="H124" s="14"/>
      <c r="I124" s="15"/>
      <c r="J124" s="15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6"/>
      <c r="AB124" s="13"/>
      <c r="AC124" s="14"/>
    </row>
    <row r="125" spans="1:29" x14ac:dyDescent="0.2">
      <c r="A125" s="14"/>
      <c r="B125" s="14"/>
      <c r="C125" s="14"/>
      <c r="D125" s="14"/>
      <c r="E125" s="14"/>
      <c r="F125" s="14"/>
      <c r="G125" s="14"/>
      <c r="H125" s="14"/>
      <c r="I125" s="15"/>
      <c r="J125" s="15"/>
      <c r="K125" s="14"/>
      <c r="L125" s="14"/>
      <c r="M125" s="14"/>
      <c r="N125" s="14"/>
      <c r="O125" s="14"/>
      <c r="P125" s="14"/>
      <c r="Q125" s="15"/>
      <c r="R125" s="14"/>
      <c r="S125" s="14"/>
      <c r="T125" s="14"/>
      <c r="U125" s="14"/>
      <c r="V125" s="16"/>
      <c r="AB125" s="13"/>
      <c r="AC125" s="14"/>
    </row>
    <row r="126" spans="1:29" x14ac:dyDescent="0.2">
      <c r="A126" s="14"/>
      <c r="B126" s="14"/>
      <c r="C126" s="14"/>
      <c r="D126" s="14"/>
      <c r="E126" s="14"/>
      <c r="F126" s="14"/>
      <c r="G126" s="14"/>
      <c r="H126" s="14"/>
      <c r="I126" s="15"/>
      <c r="J126" s="15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6"/>
      <c r="AB126" s="13"/>
      <c r="AC126" s="14"/>
    </row>
    <row r="127" spans="1:29" x14ac:dyDescent="0.2">
      <c r="A127" s="14"/>
      <c r="B127" s="14"/>
      <c r="C127" s="14"/>
      <c r="D127" s="14"/>
      <c r="E127" s="14"/>
      <c r="F127" s="14"/>
      <c r="G127" s="14"/>
      <c r="H127" s="14"/>
      <c r="I127" s="15"/>
      <c r="J127" s="15"/>
      <c r="K127" s="14"/>
      <c r="L127" s="14"/>
      <c r="M127" s="14"/>
      <c r="N127" s="14"/>
      <c r="O127" s="14"/>
      <c r="P127" s="14"/>
      <c r="Q127" s="15"/>
      <c r="R127" s="14"/>
      <c r="S127" s="14"/>
      <c r="T127" s="14"/>
      <c r="U127" s="14"/>
      <c r="V127" s="16"/>
      <c r="AB127" s="13"/>
      <c r="AC127" s="14"/>
    </row>
    <row r="128" spans="1:29" x14ac:dyDescent="0.2">
      <c r="A128" s="14"/>
      <c r="B128" s="14"/>
      <c r="C128" s="14"/>
      <c r="D128" s="14"/>
      <c r="E128" s="14"/>
      <c r="F128" s="14"/>
      <c r="G128" s="14"/>
      <c r="H128" s="14"/>
      <c r="I128" s="15"/>
      <c r="J128" s="15"/>
      <c r="K128" s="14"/>
      <c r="L128" s="14"/>
      <c r="M128" s="14"/>
      <c r="N128" s="14"/>
      <c r="O128" s="14"/>
      <c r="P128" s="14"/>
      <c r="Q128" s="15"/>
      <c r="R128" s="14"/>
      <c r="S128" s="14"/>
      <c r="T128" s="14"/>
      <c r="U128" s="14"/>
      <c r="V128" s="16"/>
      <c r="AB128" s="13"/>
      <c r="AC128" s="14"/>
    </row>
    <row r="129" spans="1:29" x14ac:dyDescent="0.2">
      <c r="A129" s="14"/>
      <c r="B129" s="14"/>
      <c r="C129" s="14"/>
      <c r="D129" s="14"/>
      <c r="E129" s="14"/>
      <c r="F129" s="14"/>
      <c r="G129" s="14"/>
      <c r="H129" s="14"/>
      <c r="I129" s="15"/>
      <c r="J129" s="15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6"/>
      <c r="AB129" s="13"/>
      <c r="AC129" s="14"/>
    </row>
    <row r="130" spans="1:29" x14ac:dyDescent="0.2">
      <c r="A130" s="14"/>
      <c r="B130" s="14"/>
      <c r="C130" s="14"/>
      <c r="D130" s="14"/>
      <c r="E130" s="14"/>
      <c r="F130" s="14"/>
      <c r="G130" s="14"/>
      <c r="H130" s="14"/>
      <c r="I130" s="15"/>
      <c r="J130" s="15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6"/>
      <c r="AB130" s="13"/>
      <c r="AC130" s="14"/>
    </row>
    <row r="131" spans="1:29" x14ac:dyDescent="0.2">
      <c r="A131" s="14"/>
      <c r="B131" s="14"/>
      <c r="C131" s="14"/>
      <c r="D131" s="14"/>
      <c r="E131" s="14"/>
      <c r="F131" s="14"/>
      <c r="G131" s="14"/>
      <c r="H131" s="14"/>
      <c r="I131" s="15"/>
      <c r="J131" s="15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6"/>
      <c r="AB131" s="13"/>
      <c r="AC131" s="14"/>
    </row>
    <row r="132" spans="1:29" x14ac:dyDescent="0.2">
      <c r="A132" s="14"/>
      <c r="B132" s="14"/>
      <c r="C132" s="14"/>
      <c r="D132" s="14"/>
      <c r="E132" s="14"/>
      <c r="F132" s="14"/>
      <c r="G132" s="14"/>
      <c r="H132" s="14"/>
      <c r="I132" s="15"/>
      <c r="J132" s="15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6"/>
      <c r="AB132" s="13"/>
      <c r="AC132" s="14"/>
    </row>
    <row r="133" spans="1:29" x14ac:dyDescent="0.2">
      <c r="A133" s="14"/>
      <c r="B133" s="14"/>
      <c r="C133" s="14"/>
      <c r="D133" s="14"/>
      <c r="E133" s="14"/>
      <c r="F133" s="14"/>
      <c r="G133" s="14"/>
      <c r="H133" s="14"/>
      <c r="I133" s="15"/>
      <c r="J133" s="15"/>
      <c r="K133" s="14"/>
      <c r="L133" s="14"/>
      <c r="M133" s="14"/>
      <c r="N133" s="14"/>
      <c r="O133" s="14"/>
      <c r="P133" s="14"/>
      <c r="Q133" s="15"/>
      <c r="R133" s="14"/>
      <c r="S133" s="14"/>
      <c r="T133" s="14"/>
      <c r="U133" s="14"/>
      <c r="V133" s="16"/>
      <c r="AB133" s="13"/>
      <c r="AC133" s="14"/>
    </row>
    <row r="134" spans="1:29" x14ac:dyDescent="0.2">
      <c r="A134" s="14"/>
      <c r="B134" s="14"/>
      <c r="C134" s="14"/>
      <c r="D134" s="14"/>
      <c r="E134" s="14"/>
      <c r="F134" s="14"/>
      <c r="G134" s="14"/>
      <c r="H134" s="14"/>
      <c r="I134" s="15"/>
      <c r="J134" s="15"/>
      <c r="K134" s="14"/>
      <c r="L134" s="14"/>
      <c r="M134" s="14"/>
      <c r="N134" s="14"/>
      <c r="O134" s="14"/>
      <c r="P134" s="14"/>
      <c r="Q134" s="15"/>
      <c r="R134" s="14"/>
      <c r="S134" s="14"/>
      <c r="T134" s="14"/>
      <c r="U134" s="14"/>
      <c r="V134" s="16"/>
      <c r="AB134" s="13"/>
      <c r="AC134" s="14"/>
    </row>
    <row r="135" spans="1:29" x14ac:dyDescent="0.2">
      <c r="A135" s="14"/>
      <c r="B135" s="14"/>
      <c r="C135" s="14"/>
      <c r="D135" s="14"/>
      <c r="E135" s="14"/>
      <c r="F135" s="14"/>
      <c r="G135" s="14"/>
      <c r="H135" s="14"/>
      <c r="I135" s="15"/>
      <c r="J135" s="15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6"/>
      <c r="AB135" s="13"/>
      <c r="AC135" s="14"/>
    </row>
    <row r="136" spans="1:29" x14ac:dyDescent="0.2">
      <c r="A136" s="14"/>
      <c r="B136" s="14"/>
      <c r="C136" s="14"/>
      <c r="D136" s="14"/>
      <c r="E136" s="14"/>
      <c r="F136" s="14"/>
      <c r="G136" s="14"/>
      <c r="H136" s="14"/>
      <c r="I136" s="15"/>
      <c r="J136" s="15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6"/>
      <c r="AB136" s="13"/>
      <c r="AC136" s="14"/>
    </row>
    <row r="137" spans="1:29" x14ac:dyDescent="0.2">
      <c r="A137" s="14"/>
      <c r="B137" s="14"/>
      <c r="C137" s="14"/>
      <c r="D137" s="14"/>
      <c r="E137" s="14"/>
      <c r="F137" s="14"/>
      <c r="G137" s="14"/>
      <c r="H137" s="14"/>
      <c r="I137" s="15"/>
      <c r="J137" s="15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6"/>
      <c r="AB137" s="13"/>
      <c r="AC137" s="14"/>
    </row>
    <row r="138" spans="1:29" x14ac:dyDescent="0.2">
      <c r="A138" s="14"/>
      <c r="B138" s="14"/>
      <c r="C138" s="14"/>
      <c r="D138" s="14"/>
      <c r="E138" s="14"/>
      <c r="F138" s="14"/>
      <c r="G138" s="14"/>
      <c r="H138" s="14"/>
      <c r="I138" s="15"/>
      <c r="J138" s="15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6"/>
      <c r="AB138" s="13"/>
      <c r="AC138" s="14"/>
    </row>
    <row r="139" spans="1:29" x14ac:dyDescent="0.2">
      <c r="A139" s="14"/>
      <c r="B139" s="14"/>
      <c r="C139" s="14"/>
      <c r="D139" s="14"/>
      <c r="E139" s="14"/>
      <c r="F139" s="14"/>
      <c r="G139" s="14"/>
      <c r="H139" s="14"/>
      <c r="I139" s="15"/>
      <c r="J139" s="15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6"/>
      <c r="AB139" s="13"/>
      <c r="AC139" s="14"/>
    </row>
    <row r="140" spans="1:29" x14ac:dyDescent="0.2">
      <c r="A140" s="14"/>
      <c r="B140" s="14"/>
      <c r="C140" s="14"/>
      <c r="D140" s="14"/>
      <c r="E140" s="14"/>
      <c r="F140" s="14"/>
      <c r="G140" s="14"/>
      <c r="H140" s="14"/>
      <c r="I140" s="15"/>
      <c r="J140" s="15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6"/>
      <c r="AB140" s="13"/>
      <c r="AC140" s="14"/>
    </row>
    <row r="141" spans="1:29" x14ac:dyDescent="0.2">
      <c r="A141" s="14"/>
      <c r="B141" s="14"/>
      <c r="C141" s="14"/>
      <c r="D141" s="14"/>
      <c r="E141" s="14"/>
      <c r="F141" s="14"/>
      <c r="G141" s="14"/>
      <c r="H141" s="14"/>
      <c r="I141" s="15"/>
      <c r="J141" s="15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6"/>
      <c r="AB141" s="13"/>
      <c r="AC141" s="14"/>
    </row>
    <row r="142" spans="1:29" x14ac:dyDescent="0.2">
      <c r="A142" s="14"/>
      <c r="B142" s="14"/>
      <c r="C142" s="14"/>
      <c r="D142" s="14"/>
      <c r="E142" s="14"/>
      <c r="F142" s="14"/>
      <c r="G142" s="14"/>
      <c r="H142" s="14"/>
      <c r="I142" s="15"/>
      <c r="J142" s="15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6"/>
      <c r="AB142" s="13"/>
      <c r="AC142" s="14"/>
    </row>
    <row r="143" spans="1:29" x14ac:dyDescent="0.2">
      <c r="A143" s="14"/>
      <c r="B143" s="14"/>
      <c r="C143" s="14"/>
      <c r="D143" s="14"/>
      <c r="E143" s="14"/>
      <c r="F143" s="14"/>
      <c r="G143" s="14"/>
      <c r="H143" s="14"/>
      <c r="I143" s="15"/>
      <c r="J143" s="15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6"/>
      <c r="AB143" s="13"/>
      <c r="AC143" s="14"/>
    </row>
    <row r="144" spans="1:29" x14ac:dyDescent="0.2">
      <c r="A144" s="14"/>
      <c r="B144" s="14"/>
      <c r="C144" s="14"/>
      <c r="D144" s="14"/>
      <c r="E144" s="14"/>
      <c r="F144" s="14"/>
      <c r="G144" s="14"/>
      <c r="H144" s="14"/>
      <c r="I144" s="15"/>
      <c r="J144" s="15"/>
      <c r="K144" s="14"/>
      <c r="L144" s="14"/>
      <c r="M144" s="14"/>
      <c r="N144" s="14"/>
      <c r="O144" s="14"/>
      <c r="P144" s="14"/>
      <c r="Q144" s="15"/>
      <c r="R144" s="14"/>
      <c r="S144" s="14"/>
      <c r="T144" s="14"/>
      <c r="U144" s="14"/>
      <c r="V144" s="16"/>
      <c r="AB144" s="13"/>
      <c r="AC144" s="14"/>
    </row>
    <row r="145" spans="1:29" x14ac:dyDescent="0.2">
      <c r="A145" s="14"/>
      <c r="B145" s="14"/>
      <c r="C145" s="14"/>
      <c r="D145" s="14"/>
      <c r="E145" s="14"/>
      <c r="F145" s="14"/>
      <c r="G145" s="14"/>
      <c r="H145" s="14"/>
      <c r="I145" s="15"/>
      <c r="J145" s="15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6"/>
      <c r="AC145" s="14"/>
    </row>
    <row r="146" spans="1:29" x14ac:dyDescent="0.2">
      <c r="A146" s="14"/>
      <c r="B146" s="14"/>
      <c r="C146" s="14"/>
      <c r="D146" s="14"/>
      <c r="E146" s="14"/>
      <c r="F146" s="14"/>
      <c r="G146" s="14"/>
      <c r="H146" s="14"/>
      <c r="I146" s="15"/>
      <c r="J146" s="15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6"/>
      <c r="AC146" s="14"/>
    </row>
    <row r="147" spans="1:29" x14ac:dyDescent="0.2">
      <c r="A147" s="14"/>
      <c r="B147" s="14"/>
      <c r="C147" s="14"/>
      <c r="D147" s="14"/>
      <c r="E147" s="14"/>
      <c r="F147" s="14"/>
      <c r="G147" s="14"/>
      <c r="H147" s="14"/>
      <c r="I147" s="15"/>
      <c r="J147" s="15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6"/>
      <c r="AC147" s="14"/>
    </row>
    <row r="148" spans="1:29" x14ac:dyDescent="0.2">
      <c r="A148" s="14"/>
      <c r="B148" s="14"/>
      <c r="C148" s="14"/>
      <c r="D148" s="14"/>
      <c r="E148" s="14"/>
      <c r="F148" s="14"/>
      <c r="G148" s="14"/>
      <c r="H148" s="14"/>
      <c r="I148" s="15"/>
      <c r="J148" s="15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6"/>
      <c r="AC148" s="14"/>
    </row>
    <row r="149" spans="1:29" x14ac:dyDescent="0.2">
      <c r="A149" s="14"/>
      <c r="B149" s="14"/>
      <c r="C149" s="14"/>
      <c r="D149" s="14"/>
      <c r="E149" s="14"/>
      <c r="F149" s="14"/>
      <c r="G149" s="14"/>
      <c r="H149" s="14"/>
      <c r="I149" s="15"/>
      <c r="J149" s="15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6"/>
      <c r="AC149" s="14"/>
    </row>
    <row r="150" spans="1:29" x14ac:dyDescent="0.2">
      <c r="AC150" s="7"/>
    </row>
    <row r="151" spans="1:29" x14ac:dyDescent="0.2">
      <c r="AC151" s="7"/>
    </row>
    <row r="152" spans="1:29" x14ac:dyDescent="0.2">
      <c r="AC152" s="7"/>
    </row>
    <row r="153" spans="1:29" x14ac:dyDescent="0.2">
      <c r="AC153" s="7"/>
    </row>
    <row r="154" spans="1:29" x14ac:dyDescent="0.2">
      <c r="AC154" s="7"/>
    </row>
    <row r="155" spans="1:29" x14ac:dyDescent="0.2">
      <c r="AC155" s="7"/>
    </row>
    <row r="156" spans="1:29" x14ac:dyDescent="0.2">
      <c r="AC156" s="7"/>
    </row>
    <row r="157" spans="1:29" x14ac:dyDescent="0.2">
      <c r="AC157" s="7"/>
    </row>
    <row r="158" spans="1:29" x14ac:dyDescent="0.2">
      <c r="AC158" s="7"/>
    </row>
    <row r="159" spans="1:29" x14ac:dyDescent="0.2">
      <c r="AC159" s="7"/>
    </row>
    <row r="160" spans="1:29" x14ac:dyDescent="0.2">
      <c r="AC160" s="7"/>
    </row>
    <row r="161" spans="29:29" x14ac:dyDescent="0.2">
      <c r="AC161" s="7"/>
    </row>
    <row r="162" spans="29:29" x14ac:dyDescent="0.2">
      <c r="AC162" s="7"/>
    </row>
    <row r="163" spans="29:29" x14ac:dyDescent="0.2">
      <c r="AC163" s="7"/>
    </row>
    <row r="164" spans="29:29" x14ac:dyDescent="0.2">
      <c r="AC164" s="7"/>
    </row>
    <row r="165" spans="29:29" x14ac:dyDescent="0.2">
      <c r="AC165" s="7"/>
    </row>
    <row r="166" spans="29:29" x14ac:dyDescent="0.2">
      <c r="AC166" s="7"/>
    </row>
    <row r="167" spans="29:29" x14ac:dyDescent="0.2">
      <c r="AC167" s="7"/>
    </row>
    <row r="168" spans="29:29" x14ac:dyDescent="0.2">
      <c r="AC168" s="7"/>
    </row>
    <row r="169" spans="29:29" x14ac:dyDescent="0.2">
      <c r="AC169" s="7"/>
    </row>
    <row r="170" spans="29:29" x14ac:dyDescent="0.2">
      <c r="AC170" s="7"/>
    </row>
    <row r="171" spans="29:29" x14ac:dyDescent="0.2">
      <c r="AC171" s="7"/>
    </row>
    <row r="172" spans="29:29" x14ac:dyDescent="0.2">
      <c r="AC172" s="7"/>
    </row>
    <row r="173" spans="29:29" x14ac:dyDescent="0.2">
      <c r="AC173" s="7"/>
    </row>
    <row r="174" spans="29:29" x14ac:dyDescent="0.2">
      <c r="AC174" s="7"/>
    </row>
    <row r="175" spans="29:29" x14ac:dyDescent="0.2">
      <c r="AC175" s="7"/>
    </row>
    <row r="176" spans="29:29" x14ac:dyDescent="0.2">
      <c r="AC176" s="7"/>
    </row>
    <row r="177" spans="29:29" x14ac:dyDescent="0.2">
      <c r="AC177" s="7"/>
    </row>
    <row r="178" spans="29:29" x14ac:dyDescent="0.2">
      <c r="AC178" s="7"/>
    </row>
    <row r="179" spans="29:29" x14ac:dyDescent="0.2">
      <c r="AC179" s="7"/>
    </row>
    <row r="180" spans="29:29" x14ac:dyDescent="0.2">
      <c r="AC180" s="7"/>
    </row>
    <row r="181" spans="29:29" x14ac:dyDescent="0.2">
      <c r="AC181" s="7"/>
    </row>
    <row r="182" spans="29:29" x14ac:dyDescent="0.2">
      <c r="AC182" s="7"/>
    </row>
    <row r="183" spans="29:29" x14ac:dyDescent="0.2">
      <c r="AC183" s="7"/>
    </row>
    <row r="184" spans="29:29" x14ac:dyDescent="0.2">
      <c r="AC184" s="7"/>
    </row>
    <row r="185" spans="29:29" x14ac:dyDescent="0.2">
      <c r="AC185" s="7"/>
    </row>
    <row r="186" spans="29:29" x14ac:dyDescent="0.2">
      <c r="AC186" s="7"/>
    </row>
    <row r="187" spans="29:29" x14ac:dyDescent="0.2">
      <c r="AC187" s="7"/>
    </row>
    <row r="188" spans="29:29" x14ac:dyDescent="0.2">
      <c r="AC188" s="7"/>
    </row>
    <row r="189" spans="29:29" x14ac:dyDescent="0.2">
      <c r="AC189" s="7"/>
    </row>
    <row r="190" spans="29:29" x14ac:dyDescent="0.2">
      <c r="AC190" s="7"/>
    </row>
    <row r="191" spans="29:29" x14ac:dyDescent="0.2">
      <c r="AC191" s="7"/>
    </row>
    <row r="192" spans="29:29" x14ac:dyDescent="0.2">
      <c r="AC192" s="7"/>
    </row>
    <row r="193" spans="29:29" x14ac:dyDescent="0.2">
      <c r="AC193" s="7"/>
    </row>
    <row r="194" spans="29:29" x14ac:dyDescent="0.2">
      <c r="AC194" s="7"/>
    </row>
    <row r="195" spans="29:29" x14ac:dyDescent="0.2">
      <c r="AC195" s="7"/>
    </row>
    <row r="196" spans="29:29" x14ac:dyDescent="0.2">
      <c r="AC196" s="7"/>
    </row>
    <row r="197" spans="29:29" x14ac:dyDescent="0.2">
      <c r="AC197" s="7"/>
    </row>
    <row r="198" spans="29:29" x14ac:dyDescent="0.2">
      <c r="AC198" s="7"/>
    </row>
    <row r="199" spans="29:29" x14ac:dyDescent="0.2">
      <c r="AC199" s="7"/>
    </row>
    <row r="200" spans="29:29" x14ac:dyDescent="0.2">
      <c r="AC200" s="7"/>
    </row>
    <row r="201" spans="29:29" x14ac:dyDescent="0.2">
      <c r="AC201" s="7"/>
    </row>
    <row r="202" spans="29:29" x14ac:dyDescent="0.2">
      <c r="AC202" s="7"/>
    </row>
    <row r="203" spans="29:29" x14ac:dyDescent="0.2">
      <c r="AC203" s="7"/>
    </row>
    <row r="204" spans="29:29" x14ac:dyDescent="0.2">
      <c r="AC204" s="7"/>
    </row>
    <row r="205" spans="29:29" x14ac:dyDescent="0.2">
      <c r="AC205" s="7"/>
    </row>
    <row r="206" spans="29:29" x14ac:dyDescent="0.2">
      <c r="AC206" s="7"/>
    </row>
    <row r="207" spans="29:29" x14ac:dyDescent="0.2">
      <c r="AC207" s="7"/>
    </row>
    <row r="208" spans="29:29" x14ac:dyDescent="0.2">
      <c r="AC208" s="7"/>
    </row>
    <row r="209" spans="29:29" x14ac:dyDescent="0.2">
      <c r="AC209" s="7"/>
    </row>
    <row r="210" spans="29:29" x14ac:dyDescent="0.2">
      <c r="AC210" s="7"/>
    </row>
    <row r="211" spans="29:29" x14ac:dyDescent="0.2">
      <c r="AC211" s="7"/>
    </row>
    <row r="212" spans="29:29" x14ac:dyDescent="0.2">
      <c r="AC212" s="7"/>
    </row>
    <row r="213" spans="29:29" x14ac:dyDescent="0.2">
      <c r="AC213" s="7"/>
    </row>
    <row r="214" spans="29:29" x14ac:dyDescent="0.2">
      <c r="AC214" s="7"/>
    </row>
    <row r="215" spans="29:29" x14ac:dyDescent="0.2">
      <c r="AC215" s="7"/>
    </row>
    <row r="216" spans="29:29" x14ac:dyDescent="0.2">
      <c r="AC216" s="7"/>
    </row>
    <row r="217" spans="29:29" x14ac:dyDescent="0.2">
      <c r="AC217" s="7"/>
    </row>
    <row r="218" spans="29:29" x14ac:dyDescent="0.2">
      <c r="AC218" s="7"/>
    </row>
    <row r="219" spans="29:29" x14ac:dyDescent="0.2">
      <c r="AC219" s="7"/>
    </row>
    <row r="220" spans="29:29" x14ac:dyDescent="0.2">
      <c r="AC220" s="7"/>
    </row>
    <row r="221" spans="29:29" x14ac:dyDescent="0.2">
      <c r="AC221" s="7"/>
    </row>
    <row r="222" spans="29:29" x14ac:dyDescent="0.2">
      <c r="AC222" s="7"/>
    </row>
    <row r="223" spans="29:29" x14ac:dyDescent="0.2">
      <c r="AC223" s="7"/>
    </row>
    <row r="224" spans="29:29" x14ac:dyDescent="0.2">
      <c r="AC224" s="7"/>
    </row>
    <row r="225" spans="29:29" x14ac:dyDescent="0.2">
      <c r="AC225" s="7"/>
    </row>
    <row r="226" spans="29:29" x14ac:dyDescent="0.2">
      <c r="AC226" s="7"/>
    </row>
    <row r="227" spans="29:29" x14ac:dyDescent="0.2">
      <c r="AC227" s="7"/>
    </row>
    <row r="228" spans="29:29" x14ac:dyDescent="0.2">
      <c r="AC228" s="7"/>
    </row>
    <row r="229" spans="29:29" x14ac:dyDescent="0.2">
      <c r="AC229" s="7"/>
    </row>
    <row r="230" spans="29:29" x14ac:dyDescent="0.2">
      <c r="AC230" s="7"/>
    </row>
    <row r="231" spans="29:29" x14ac:dyDescent="0.2">
      <c r="AC231" s="7"/>
    </row>
    <row r="232" spans="29:29" x14ac:dyDescent="0.2">
      <c r="AC232" s="7"/>
    </row>
    <row r="233" spans="29:29" x14ac:dyDescent="0.2">
      <c r="AC233" s="7"/>
    </row>
    <row r="234" spans="29:29" x14ac:dyDescent="0.2">
      <c r="AC234" s="7"/>
    </row>
    <row r="235" spans="29:29" x14ac:dyDescent="0.2">
      <c r="AC235" s="7"/>
    </row>
    <row r="236" spans="29:29" x14ac:dyDescent="0.2">
      <c r="AC236" s="7"/>
    </row>
    <row r="237" spans="29:29" x14ac:dyDescent="0.2">
      <c r="AC237" s="7"/>
    </row>
    <row r="238" spans="29:29" x14ac:dyDescent="0.2">
      <c r="AC238" s="7"/>
    </row>
    <row r="239" spans="29:29" x14ac:dyDescent="0.2">
      <c r="AC239" s="7"/>
    </row>
    <row r="240" spans="29:29" x14ac:dyDescent="0.2">
      <c r="AC240" s="7"/>
    </row>
    <row r="241" spans="29:29" x14ac:dyDescent="0.2">
      <c r="AC241" s="7"/>
    </row>
    <row r="242" spans="29:29" x14ac:dyDescent="0.2">
      <c r="AC242" s="7"/>
    </row>
    <row r="243" spans="29:29" x14ac:dyDescent="0.2">
      <c r="AC243" s="7"/>
    </row>
    <row r="244" spans="29:29" x14ac:dyDescent="0.2">
      <c r="AC244" s="7"/>
    </row>
    <row r="245" spans="29:29" x14ac:dyDescent="0.2">
      <c r="AC245" s="7"/>
    </row>
    <row r="246" spans="29:29" x14ac:dyDescent="0.2">
      <c r="AC246" s="7"/>
    </row>
    <row r="247" spans="29:29" x14ac:dyDescent="0.2">
      <c r="AC247" s="7"/>
    </row>
    <row r="248" spans="29:29" x14ac:dyDescent="0.2">
      <c r="AC248" s="7"/>
    </row>
    <row r="249" spans="29:29" x14ac:dyDescent="0.2">
      <c r="AC249" s="7"/>
    </row>
    <row r="250" spans="29:29" x14ac:dyDescent="0.2">
      <c r="AC250" s="7"/>
    </row>
    <row r="251" spans="29:29" x14ac:dyDescent="0.2">
      <c r="AC251" s="7"/>
    </row>
    <row r="252" spans="29:29" x14ac:dyDescent="0.2">
      <c r="AC252" s="7"/>
    </row>
    <row r="253" spans="29:29" x14ac:dyDescent="0.2">
      <c r="AC253" s="7"/>
    </row>
    <row r="254" spans="29:29" x14ac:dyDescent="0.2">
      <c r="AC254" s="7"/>
    </row>
    <row r="255" spans="29:29" x14ac:dyDescent="0.2">
      <c r="AC255" s="7"/>
    </row>
    <row r="256" spans="29:29" x14ac:dyDescent="0.2">
      <c r="AC256" s="7"/>
    </row>
    <row r="257" spans="29:29" x14ac:dyDescent="0.2">
      <c r="AC257" s="7"/>
    </row>
    <row r="258" spans="29:29" x14ac:dyDescent="0.2">
      <c r="AC258" s="7"/>
    </row>
    <row r="259" spans="29:29" x14ac:dyDescent="0.2">
      <c r="AC259" s="7"/>
    </row>
    <row r="260" spans="29:29" x14ac:dyDescent="0.2">
      <c r="AC260" s="7"/>
    </row>
    <row r="261" spans="29:29" x14ac:dyDescent="0.2">
      <c r="AC261" s="7"/>
    </row>
    <row r="262" spans="29:29" x14ac:dyDescent="0.2">
      <c r="AC262" s="7"/>
    </row>
    <row r="263" spans="29:29" x14ac:dyDescent="0.2">
      <c r="AC263" s="7"/>
    </row>
    <row r="264" spans="29:29" x14ac:dyDescent="0.2">
      <c r="AC264" s="7"/>
    </row>
    <row r="265" spans="29:29" x14ac:dyDescent="0.2">
      <c r="AC265" s="7"/>
    </row>
    <row r="266" spans="29:29" x14ac:dyDescent="0.2">
      <c r="AC266" s="7"/>
    </row>
    <row r="267" spans="29:29" x14ac:dyDescent="0.2">
      <c r="AC267" s="7"/>
    </row>
    <row r="268" spans="29:29" x14ac:dyDescent="0.2">
      <c r="AC268" s="7"/>
    </row>
    <row r="269" spans="29:29" x14ac:dyDescent="0.2">
      <c r="AC269" s="7"/>
    </row>
    <row r="270" spans="29:29" x14ac:dyDescent="0.2">
      <c r="AC270" s="7"/>
    </row>
    <row r="271" spans="29:29" x14ac:dyDescent="0.2">
      <c r="AC271" s="7"/>
    </row>
    <row r="272" spans="29:29" x14ac:dyDescent="0.2">
      <c r="AC272" s="7"/>
    </row>
    <row r="273" spans="29:29" x14ac:dyDescent="0.2">
      <c r="AC273" s="7"/>
    </row>
    <row r="274" spans="29:29" x14ac:dyDescent="0.2">
      <c r="AC274" s="7"/>
    </row>
    <row r="275" spans="29:29" x14ac:dyDescent="0.2">
      <c r="AC275" s="7"/>
    </row>
    <row r="276" spans="29:29" x14ac:dyDescent="0.2">
      <c r="AC276" s="7"/>
    </row>
    <row r="277" spans="29:29" x14ac:dyDescent="0.2">
      <c r="AC277" s="7"/>
    </row>
    <row r="278" spans="29:29" x14ac:dyDescent="0.2">
      <c r="AC278" s="7"/>
    </row>
    <row r="279" spans="29:29" x14ac:dyDescent="0.2">
      <c r="AC279" s="7"/>
    </row>
    <row r="280" spans="29:29" x14ac:dyDescent="0.2">
      <c r="AC280" s="7"/>
    </row>
    <row r="281" spans="29:29" x14ac:dyDescent="0.2">
      <c r="AC281" s="7"/>
    </row>
    <row r="282" spans="29:29" x14ac:dyDescent="0.2">
      <c r="AC282" s="7"/>
    </row>
    <row r="283" spans="29:29" x14ac:dyDescent="0.2">
      <c r="AC283" s="7"/>
    </row>
    <row r="284" spans="29:29" x14ac:dyDescent="0.2">
      <c r="AC284" s="7"/>
    </row>
    <row r="285" spans="29:29" x14ac:dyDescent="0.2">
      <c r="AC285" s="7"/>
    </row>
    <row r="286" spans="29:29" x14ac:dyDescent="0.2">
      <c r="AC286" s="7"/>
    </row>
    <row r="287" spans="29:29" x14ac:dyDescent="0.2">
      <c r="AC287" s="7"/>
    </row>
    <row r="288" spans="29:29" x14ac:dyDescent="0.2">
      <c r="AC288" s="7"/>
    </row>
    <row r="289" spans="29:29" x14ac:dyDescent="0.2">
      <c r="AC289" s="7"/>
    </row>
    <row r="290" spans="29:29" x14ac:dyDescent="0.2">
      <c r="AC290" s="7"/>
    </row>
    <row r="291" spans="29:29" x14ac:dyDescent="0.2">
      <c r="AC291" s="7"/>
    </row>
    <row r="292" spans="29:29" x14ac:dyDescent="0.2">
      <c r="AC292" s="7"/>
    </row>
    <row r="293" spans="29:29" x14ac:dyDescent="0.2">
      <c r="AC293" s="7"/>
    </row>
    <row r="294" spans="29:29" x14ac:dyDescent="0.2">
      <c r="AC294" s="7"/>
    </row>
    <row r="295" spans="29:29" x14ac:dyDescent="0.2">
      <c r="AC295" s="7"/>
    </row>
    <row r="296" spans="29:29" x14ac:dyDescent="0.2">
      <c r="AC296" s="7"/>
    </row>
    <row r="297" spans="29:29" x14ac:dyDescent="0.2">
      <c r="AC297" s="7"/>
    </row>
    <row r="298" spans="29:29" x14ac:dyDescent="0.2">
      <c r="AC298" s="7"/>
    </row>
    <row r="299" spans="29:29" x14ac:dyDescent="0.2">
      <c r="AC299" s="7"/>
    </row>
    <row r="300" spans="29:29" x14ac:dyDescent="0.2">
      <c r="AC300" s="7"/>
    </row>
    <row r="301" spans="29:29" x14ac:dyDescent="0.2">
      <c r="AC301" s="7"/>
    </row>
    <row r="302" spans="29:29" x14ac:dyDescent="0.2">
      <c r="AC302" s="7"/>
    </row>
    <row r="303" spans="29:29" x14ac:dyDescent="0.2">
      <c r="AC303" s="7"/>
    </row>
    <row r="304" spans="29:29" x14ac:dyDescent="0.2">
      <c r="AC304" s="7"/>
    </row>
    <row r="305" spans="29:29" x14ac:dyDescent="0.2">
      <c r="AC305" s="7"/>
    </row>
    <row r="306" spans="29:29" x14ac:dyDescent="0.2">
      <c r="AC306" s="7"/>
    </row>
    <row r="307" spans="29:29" x14ac:dyDescent="0.2">
      <c r="AC307" s="7"/>
    </row>
    <row r="308" spans="29:29" x14ac:dyDescent="0.2">
      <c r="AC308" s="7"/>
    </row>
    <row r="309" spans="29:29" x14ac:dyDescent="0.2">
      <c r="AC309" s="7"/>
    </row>
    <row r="310" spans="29:29" x14ac:dyDescent="0.2">
      <c r="AC310" s="7"/>
    </row>
    <row r="311" spans="29:29" x14ac:dyDescent="0.2">
      <c r="AC311" s="7"/>
    </row>
    <row r="312" spans="29:29" x14ac:dyDescent="0.2">
      <c r="AC312" s="7"/>
    </row>
    <row r="313" spans="29:29" x14ac:dyDescent="0.2">
      <c r="AC313" s="7"/>
    </row>
    <row r="314" spans="29:29" x14ac:dyDescent="0.2">
      <c r="AC314" s="7"/>
    </row>
    <row r="315" spans="29:29" x14ac:dyDescent="0.2">
      <c r="AC315" s="7"/>
    </row>
    <row r="316" spans="29:29" x14ac:dyDescent="0.2">
      <c r="AC316" s="7"/>
    </row>
    <row r="317" spans="29:29" x14ac:dyDescent="0.2">
      <c r="AC317" s="7"/>
    </row>
    <row r="318" spans="29:29" x14ac:dyDescent="0.2">
      <c r="AC318" s="7"/>
    </row>
    <row r="319" spans="29:29" x14ac:dyDescent="0.2">
      <c r="AC319" s="7"/>
    </row>
    <row r="320" spans="29:29" x14ac:dyDescent="0.2">
      <c r="AC320" s="7"/>
    </row>
    <row r="321" spans="29:29" x14ac:dyDescent="0.2">
      <c r="AC321" s="7"/>
    </row>
    <row r="322" spans="29:29" x14ac:dyDescent="0.2">
      <c r="AC322" s="7"/>
    </row>
    <row r="323" spans="29:29" x14ac:dyDescent="0.2">
      <c r="AC323" s="7"/>
    </row>
    <row r="324" spans="29:29" x14ac:dyDescent="0.2">
      <c r="AC324" s="7"/>
    </row>
    <row r="325" spans="29:29" x14ac:dyDescent="0.2">
      <c r="AC325" s="7"/>
    </row>
    <row r="326" spans="29:29" x14ac:dyDescent="0.2">
      <c r="AC326" s="7"/>
    </row>
    <row r="327" spans="29:29" x14ac:dyDescent="0.2">
      <c r="AC327" s="7"/>
    </row>
    <row r="328" spans="29:29" x14ac:dyDescent="0.2">
      <c r="AC328" s="7"/>
    </row>
    <row r="329" spans="29:29" x14ac:dyDescent="0.2">
      <c r="AC329" s="7"/>
    </row>
    <row r="330" spans="29:29" x14ac:dyDescent="0.2">
      <c r="AC330" s="7"/>
    </row>
    <row r="331" spans="29:29" x14ac:dyDescent="0.2">
      <c r="AC331" s="7"/>
    </row>
    <row r="332" spans="29:29" x14ac:dyDescent="0.2">
      <c r="AC332" s="7"/>
    </row>
    <row r="333" spans="29:29" x14ac:dyDescent="0.2">
      <c r="AC333" s="7"/>
    </row>
    <row r="334" spans="29:29" x14ac:dyDescent="0.2">
      <c r="AC334" s="7"/>
    </row>
    <row r="335" spans="29:29" x14ac:dyDescent="0.2">
      <c r="AC335" s="7"/>
    </row>
    <row r="336" spans="29:29" x14ac:dyDescent="0.2">
      <c r="AC336" s="7"/>
    </row>
    <row r="337" spans="29:29" x14ac:dyDescent="0.2">
      <c r="AC337" s="7"/>
    </row>
    <row r="338" spans="29:29" x14ac:dyDescent="0.2">
      <c r="AC338" s="7"/>
    </row>
    <row r="339" spans="29:29" x14ac:dyDescent="0.2">
      <c r="AC339" s="7"/>
    </row>
    <row r="340" spans="29:29" x14ac:dyDescent="0.2">
      <c r="AC340" s="7"/>
    </row>
    <row r="341" spans="29:29" x14ac:dyDescent="0.2">
      <c r="AC341" s="7"/>
    </row>
    <row r="342" spans="29:29" x14ac:dyDescent="0.2">
      <c r="AC342" s="7"/>
    </row>
    <row r="343" spans="29:29" x14ac:dyDescent="0.2">
      <c r="AC343" s="7"/>
    </row>
    <row r="344" spans="29:29" x14ac:dyDescent="0.2">
      <c r="AC344" s="7"/>
    </row>
    <row r="345" spans="29:29" x14ac:dyDescent="0.2">
      <c r="AC345" s="7"/>
    </row>
    <row r="346" spans="29:29" x14ac:dyDescent="0.2">
      <c r="AC346" s="7"/>
    </row>
    <row r="347" spans="29:29" x14ac:dyDescent="0.2">
      <c r="AC347" s="7"/>
    </row>
    <row r="348" spans="29:29" x14ac:dyDescent="0.2">
      <c r="AC348" s="7"/>
    </row>
    <row r="349" spans="29:29" x14ac:dyDescent="0.2">
      <c r="AC349" s="7"/>
    </row>
    <row r="350" spans="29:29" x14ac:dyDescent="0.2">
      <c r="AC350" s="7"/>
    </row>
    <row r="351" spans="29:29" x14ac:dyDescent="0.2">
      <c r="AC351" s="7"/>
    </row>
    <row r="352" spans="29:29" x14ac:dyDescent="0.2">
      <c r="AC352" s="7"/>
    </row>
    <row r="353" spans="29:29" x14ac:dyDescent="0.2">
      <c r="AC353" s="7"/>
    </row>
    <row r="354" spans="29:29" x14ac:dyDescent="0.2">
      <c r="AC354" s="7"/>
    </row>
    <row r="355" spans="29:29" x14ac:dyDescent="0.2">
      <c r="AC355" s="7"/>
    </row>
    <row r="356" spans="29:29" x14ac:dyDescent="0.2">
      <c r="AC356" s="7"/>
    </row>
    <row r="357" spans="29:29" x14ac:dyDescent="0.2">
      <c r="AC357" s="7"/>
    </row>
    <row r="358" spans="29:29" x14ac:dyDescent="0.2">
      <c r="AC358" s="7"/>
    </row>
    <row r="359" spans="29:29" x14ac:dyDescent="0.2">
      <c r="AC359" s="7"/>
    </row>
    <row r="360" spans="29:29" x14ac:dyDescent="0.2">
      <c r="AC360" s="7"/>
    </row>
    <row r="361" spans="29:29" x14ac:dyDescent="0.2">
      <c r="AC361" s="7"/>
    </row>
    <row r="362" spans="29:29" x14ac:dyDescent="0.2">
      <c r="AC362" s="7"/>
    </row>
    <row r="363" spans="29:29" x14ac:dyDescent="0.2">
      <c r="AC363" s="7"/>
    </row>
    <row r="364" spans="29:29" x14ac:dyDescent="0.2">
      <c r="AC364" s="7"/>
    </row>
    <row r="365" spans="29:29" x14ac:dyDescent="0.2">
      <c r="AC365" s="7"/>
    </row>
    <row r="366" spans="29:29" x14ac:dyDescent="0.2">
      <c r="AC366" s="7"/>
    </row>
    <row r="367" spans="29:29" x14ac:dyDescent="0.2">
      <c r="AC367" s="7"/>
    </row>
    <row r="368" spans="29:29" x14ac:dyDescent="0.2">
      <c r="AC368" s="7"/>
    </row>
    <row r="369" spans="29:29" x14ac:dyDescent="0.2">
      <c r="AC369" s="7"/>
    </row>
    <row r="370" spans="29:29" x14ac:dyDescent="0.2">
      <c r="AC370" s="7"/>
    </row>
    <row r="371" spans="29:29" x14ac:dyDescent="0.2">
      <c r="AC371" s="7"/>
    </row>
    <row r="372" spans="29:29" x14ac:dyDescent="0.2">
      <c r="AC372" s="7"/>
    </row>
    <row r="373" spans="29:29" x14ac:dyDescent="0.2">
      <c r="AC373" s="7"/>
    </row>
    <row r="374" spans="29:29" x14ac:dyDescent="0.2">
      <c r="AC374" s="7"/>
    </row>
    <row r="375" spans="29:29" x14ac:dyDescent="0.2">
      <c r="AC375" s="7"/>
    </row>
    <row r="376" spans="29:29" x14ac:dyDescent="0.2">
      <c r="AC376" s="7"/>
    </row>
    <row r="377" spans="29:29" x14ac:dyDescent="0.2">
      <c r="AC377" s="7"/>
    </row>
    <row r="378" spans="29:29" x14ac:dyDescent="0.2">
      <c r="AC378" s="7"/>
    </row>
    <row r="379" spans="29:29" x14ac:dyDescent="0.2">
      <c r="AC379" s="7"/>
    </row>
    <row r="380" spans="29:29" x14ac:dyDescent="0.2">
      <c r="AC380" s="7"/>
    </row>
    <row r="381" spans="29:29" x14ac:dyDescent="0.2">
      <c r="AC381" s="7"/>
    </row>
    <row r="382" spans="29:29" x14ac:dyDescent="0.2">
      <c r="AC382" s="7"/>
    </row>
    <row r="383" spans="29:29" x14ac:dyDescent="0.2">
      <c r="AC383" s="7"/>
    </row>
    <row r="384" spans="29:29" x14ac:dyDescent="0.2">
      <c r="AC384" s="7"/>
    </row>
    <row r="385" spans="29:29" x14ac:dyDescent="0.2">
      <c r="AC385" s="7"/>
    </row>
    <row r="386" spans="29:29" x14ac:dyDescent="0.2">
      <c r="AC386" s="7"/>
    </row>
    <row r="387" spans="29:29" x14ac:dyDescent="0.2">
      <c r="AC387" s="7"/>
    </row>
    <row r="388" spans="29:29" x14ac:dyDescent="0.2">
      <c r="AC388" s="7"/>
    </row>
    <row r="389" spans="29:29" x14ac:dyDescent="0.2">
      <c r="AC389" s="7"/>
    </row>
    <row r="390" spans="29:29" x14ac:dyDescent="0.2">
      <c r="AC390" s="7"/>
    </row>
    <row r="391" spans="29:29" x14ac:dyDescent="0.2">
      <c r="AC391" s="7"/>
    </row>
    <row r="392" spans="29:29" x14ac:dyDescent="0.2">
      <c r="AC392" s="7"/>
    </row>
    <row r="393" spans="29:29" x14ac:dyDescent="0.2">
      <c r="AC393" s="7"/>
    </row>
    <row r="394" spans="29:29" x14ac:dyDescent="0.2">
      <c r="AC394" s="7"/>
    </row>
    <row r="395" spans="29:29" x14ac:dyDescent="0.2">
      <c r="AC395" s="7"/>
    </row>
    <row r="396" spans="29:29" x14ac:dyDescent="0.2">
      <c r="AC396" s="7"/>
    </row>
    <row r="397" spans="29:29" x14ac:dyDescent="0.2">
      <c r="AC397" s="7"/>
    </row>
    <row r="398" spans="29:29" x14ac:dyDescent="0.2">
      <c r="AC398" s="7"/>
    </row>
    <row r="399" spans="29:29" x14ac:dyDescent="0.2">
      <c r="AC399" s="7"/>
    </row>
    <row r="400" spans="29:29" x14ac:dyDescent="0.2">
      <c r="AC400" s="7"/>
    </row>
    <row r="401" spans="29:29" x14ac:dyDescent="0.2">
      <c r="AC401" s="7"/>
    </row>
    <row r="402" spans="29:29" x14ac:dyDescent="0.2">
      <c r="AC402" s="7"/>
    </row>
    <row r="403" spans="29:29" x14ac:dyDescent="0.2">
      <c r="AC403" s="7"/>
    </row>
    <row r="404" spans="29:29" x14ac:dyDescent="0.2">
      <c r="AC404" s="7"/>
    </row>
    <row r="405" spans="29:29" x14ac:dyDescent="0.2">
      <c r="AC405" s="7"/>
    </row>
    <row r="406" spans="29:29" x14ac:dyDescent="0.2">
      <c r="AC406" s="7"/>
    </row>
    <row r="407" spans="29:29" x14ac:dyDescent="0.2">
      <c r="AC407" s="7"/>
    </row>
    <row r="408" spans="29:29" x14ac:dyDescent="0.2">
      <c r="AC408" s="7"/>
    </row>
    <row r="409" spans="29:29" x14ac:dyDescent="0.2">
      <c r="AC409" s="7"/>
    </row>
    <row r="410" spans="29:29" x14ac:dyDescent="0.2">
      <c r="AC410" s="7"/>
    </row>
    <row r="411" spans="29:29" x14ac:dyDescent="0.2">
      <c r="AC411" s="7"/>
    </row>
    <row r="412" spans="29:29" x14ac:dyDescent="0.2">
      <c r="AC412" s="7"/>
    </row>
    <row r="413" spans="29:29" x14ac:dyDescent="0.2">
      <c r="AC413" s="7"/>
    </row>
    <row r="414" spans="29:29" x14ac:dyDescent="0.2">
      <c r="AC414" s="7"/>
    </row>
    <row r="415" spans="29:29" x14ac:dyDescent="0.2">
      <c r="AC415" s="7"/>
    </row>
    <row r="416" spans="29:29" x14ac:dyDescent="0.2">
      <c r="AC416" s="7"/>
    </row>
    <row r="417" spans="29:29" x14ac:dyDescent="0.2">
      <c r="AC417" s="7"/>
    </row>
    <row r="418" spans="29:29" x14ac:dyDescent="0.2">
      <c r="AC418" s="7"/>
    </row>
    <row r="419" spans="29:29" x14ac:dyDescent="0.2">
      <c r="AC419" s="7"/>
    </row>
    <row r="420" spans="29:29" x14ac:dyDescent="0.2">
      <c r="AC420" s="7"/>
    </row>
    <row r="421" spans="29:29" x14ac:dyDescent="0.2">
      <c r="AC421" s="7"/>
    </row>
    <row r="422" spans="29:29" x14ac:dyDescent="0.2">
      <c r="AC422" s="7"/>
    </row>
    <row r="423" spans="29:29" x14ac:dyDescent="0.2">
      <c r="AC423" s="7"/>
    </row>
    <row r="424" spans="29:29" x14ac:dyDescent="0.2">
      <c r="AC424" s="7"/>
    </row>
    <row r="425" spans="29:29" x14ac:dyDescent="0.2">
      <c r="AC425" s="7"/>
    </row>
    <row r="426" spans="29:29" x14ac:dyDescent="0.2">
      <c r="AC426" s="7"/>
    </row>
    <row r="427" spans="29:29" x14ac:dyDescent="0.2">
      <c r="AC427" s="7"/>
    </row>
    <row r="428" spans="29:29" x14ac:dyDescent="0.2">
      <c r="AC428" s="7"/>
    </row>
    <row r="429" spans="29:29" x14ac:dyDescent="0.2">
      <c r="AC429" s="7"/>
    </row>
    <row r="430" spans="29:29" x14ac:dyDescent="0.2">
      <c r="AC430" s="7"/>
    </row>
    <row r="431" spans="29:29" x14ac:dyDescent="0.2">
      <c r="AC431" s="7"/>
    </row>
    <row r="432" spans="29:29" x14ac:dyDescent="0.2">
      <c r="AC432" s="7"/>
    </row>
    <row r="433" spans="29:29" x14ac:dyDescent="0.2">
      <c r="AC433" s="7"/>
    </row>
    <row r="434" spans="29:29" x14ac:dyDescent="0.2">
      <c r="AC434" s="7"/>
    </row>
    <row r="435" spans="29:29" x14ac:dyDescent="0.2">
      <c r="AC435" s="7"/>
    </row>
    <row r="436" spans="29:29" x14ac:dyDescent="0.2">
      <c r="AC436" s="7"/>
    </row>
    <row r="437" spans="29:29" x14ac:dyDescent="0.2">
      <c r="AC437" s="7"/>
    </row>
    <row r="438" spans="29:29" x14ac:dyDescent="0.2">
      <c r="AC438" s="7"/>
    </row>
    <row r="439" spans="29:29" x14ac:dyDescent="0.2">
      <c r="AC439" s="7"/>
    </row>
    <row r="440" spans="29:29" x14ac:dyDescent="0.2">
      <c r="AC440" s="7"/>
    </row>
    <row r="441" spans="29:29" x14ac:dyDescent="0.2">
      <c r="AC441" s="7"/>
    </row>
    <row r="442" spans="29:29" x14ac:dyDescent="0.2">
      <c r="AC442" s="7"/>
    </row>
    <row r="443" spans="29:29" x14ac:dyDescent="0.2">
      <c r="AC443" s="7"/>
    </row>
    <row r="444" spans="29:29" x14ac:dyDescent="0.2">
      <c r="AC444" s="7"/>
    </row>
    <row r="445" spans="29:29" x14ac:dyDescent="0.2">
      <c r="AC445" s="7"/>
    </row>
    <row r="446" spans="29:29" x14ac:dyDescent="0.2">
      <c r="AC446" s="7"/>
    </row>
    <row r="447" spans="29:29" x14ac:dyDescent="0.2">
      <c r="AC447" s="7"/>
    </row>
    <row r="448" spans="29:29" x14ac:dyDescent="0.2">
      <c r="AC448" s="7"/>
    </row>
    <row r="449" spans="29:29" x14ac:dyDescent="0.2">
      <c r="AC449" s="7"/>
    </row>
    <row r="450" spans="29:29" x14ac:dyDescent="0.2">
      <c r="AC450" s="7"/>
    </row>
    <row r="451" spans="29:29" x14ac:dyDescent="0.2">
      <c r="AC451" s="7"/>
    </row>
    <row r="452" spans="29:29" x14ac:dyDescent="0.2">
      <c r="AC452" s="7"/>
    </row>
    <row r="453" spans="29:29" x14ac:dyDescent="0.2">
      <c r="AC453" s="7"/>
    </row>
    <row r="454" spans="29:29" x14ac:dyDescent="0.2">
      <c r="AC454" s="7"/>
    </row>
    <row r="455" spans="29:29" x14ac:dyDescent="0.2">
      <c r="AC455" s="7"/>
    </row>
    <row r="456" spans="29:29" x14ac:dyDescent="0.2">
      <c r="AC456" s="7"/>
    </row>
    <row r="457" spans="29:29" x14ac:dyDescent="0.2">
      <c r="AC457" s="7"/>
    </row>
    <row r="458" spans="29:29" x14ac:dyDescent="0.2">
      <c r="AC458" s="7"/>
    </row>
    <row r="459" spans="29:29" x14ac:dyDescent="0.2">
      <c r="AC459" s="7"/>
    </row>
    <row r="460" spans="29:29" x14ac:dyDescent="0.2">
      <c r="AC460" s="7"/>
    </row>
    <row r="461" spans="29:29" x14ac:dyDescent="0.2">
      <c r="AC461" s="7"/>
    </row>
    <row r="462" spans="29:29" x14ac:dyDescent="0.2">
      <c r="AC462" s="7"/>
    </row>
    <row r="463" spans="29:29" x14ac:dyDescent="0.2">
      <c r="AC463" s="7"/>
    </row>
    <row r="464" spans="29:29" x14ac:dyDescent="0.2">
      <c r="AC464" s="7"/>
    </row>
    <row r="465" spans="29:29" x14ac:dyDescent="0.2">
      <c r="AC465" s="7"/>
    </row>
    <row r="466" spans="29:29" x14ac:dyDescent="0.2">
      <c r="AC466" s="7"/>
    </row>
    <row r="467" spans="29:29" x14ac:dyDescent="0.2">
      <c r="AC467" s="7"/>
    </row>
    <row r="468" spans="29:29" x14ac:dyDescent="0.2">
      <c r="AC468" s="7"/>
    </row>
    <row r="469" spans="29:29" x14ac:dyDescent="0.2">
      <c r="AC469" s="7"/>
    </row>
    <row r="470" spans="29:29" x14ac:dyDescent="0.2">
      <c r="AC470" s="7"/>
    </row>
    <row r="471" spans="29:29" x14ac:dyDescent="0.2">
      <c r="AC471" s="7"/>
    </row>
    <row r="472" spans="29:29" x14ac:dyDescent="0.2">
      <c r="AC472" s="7"/>
    </row>
    <row r="473" spans="29:29" x14ac:dyDescent="0.2">
      <c r="AC473" s="7"/>
    </row>
    <row r="474" spans="29:29" x14ac:dyDescent="0.2">
      <c r="AC474" s="7"/>
    </row>
    <row r="475" spans="29:29" x14ac:dyDescent="0.2">
      <c r="AC475" s="7"/>
    </row>
    <row r="476" spans="29:29" x14ac:dyDescent="0.2">
      <c r="AC476" s="7"/>
    </row>
    <row r="477" spans="29:29" x14ac:dyDescent="0.2">
      <c r="AC477" s="7"/>
    </row>
    <row r="478" spans="29:29" x14ac:dyDescent="0.2">
      <c r="AC478" s="7"/>
    </row>
    <row r="479" spans="29:29" x14ac:dyDescent="0.2">
      <c r="AC479" s="7"/>
    </row>
    <row r="480" spans="29:29" x14ac:dyDescent="0.2">
      <c r="AC480" s="7"/>
    </row>
    <row r="481" spans="29:29" x14ac:dyDescent="0.2">
      <c r="AC481" s="7"/>
    </row>
    <row r="482" spans="29:29" x14ac:dyDescent="0.2">
      <c r="AC482" s="7"/>
    </row>
    <row r="483" spans="29:29" x14ac:dyDescent="0.2">
      <c r="AC483" s="7"/>
    </row>
    <row r="484" spans="29:29" x14ac:dyDescent="0.2">
      <c r="AC484" s="7"/>
    </row>
    <row r="485" spans="29:29" x14ac:dyDescent="0.2">
      <c r="AC485" s="7"/>
    </row>
    <row r="486" spans="29:29" x14ac:dyDescent="0.2">
      <c r="AC486" s="7"/>
    </row>
    <row r="487" spans="29:29" x14ac:dyDescent="0.2">
      <c r="AC487" s="7"/>
    </row>
    <row r="488" spans="29:29" x14ac:dyDescent="0.2">
      <c r="AC488" s="7"/>
    </row>
    <row r="489" spans="29:29" x14ac:dyDescent="0.2">
      <c r="AC489" s="7"/>
    </row>
    <row r="490" spans="29:29" x14ac:dyDescent="0.2">
      <c r="AC490" s="7"/>
    </row>
    <row r="491" spans="29:29" x14ac:dyDescent="0.2">
      <c r="AC491" s="7"/>
    </row>
    <row r="492" spans="29:29" x14ac:dyDescent="0.2">
      <c r="AC492" s="7"/>
    </row>
    <row r="493" spans="29:29" x14ac:dyDescent="0.2">
      <c r="AC493" s="7"/>
    </row>
    <row r="494" spans="29:29" x14ac:dyDescent="0.2">
      <c r="AC494" s="7"/>
    </row>
    <row r="495" spans="29:29" x14ac:dyDescent="0.2">
      <c r="AC495" s="7"/>
    </row>
    <row r="496" spans="29:29" x14ac:dyDescent="0.2">
      <c r="AC496" s="7"/>
    </row>
    <row r="497" spans="29:29" x14ac:dyDescent="0.2">
      <c r="AC497" s="7"/>
    </row>
    <row r="498" spans="29:29" x14ac:dyDescent="0.2">
      <c r="AC498" s="7"/>
    </row>
    <row r="499" spans="29:29" x14ac:dyDescent="0.2">
      <c r="AC499" s="7"/>
    </row>
    <row r="500" spans="29:29" x14ac:dyDescent="0.2">
      <c r="AC500" s="7"/>
    </row>
  </sheetData>
  <autoFilter ref="A1:AG1" xr:uid="{00000000-0009-0000-0000-00000A000000}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&amp;LProblem Status Report Template (RAG) V4.19&amp;C_x000D_&amp;1#&amp;"Arial"&amp;9&amp;K000000 Confidential&amp;RLast Updated: 07/06/2019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Lookups!$A$2:$A$3</xm:f>
          </x14:formula1>
          <xm:sqref>AC2:AC1001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>
    <pageSetUpPr autoPageBreaks="0"/>
  </sheetPr>
  <dimension ref="A1:V822"/>
  <sheetViews>
    <sheetView zoomScale="85" zoomScaleNormal="85" workbookViewId="0">
      <pane xSplit="2" ySplit="1" topLeftCell="C112" activePane="bottomRight" state="frozen"/>
      <selection activeCell="A2" sqref="A2"/>
      <selection pane="topRight" activeCell="A2" sqref="A2"/>
      <selection pane="bottomLeft" activeCell="A2" sqref="A2"/>
      <selection pane="bottomRight" activeCell="A2" sqref="A2:U501"/>
    </sheetView>
  </sheetViews>
  <sheetFormatPr defaultColWidth="9.140625" defaultRowHeight="15" x14ac:dyDescent="0.25"/>
  <cols>
    <col min="1" max="1" width="17.7109375" style="9" bestFit="1" customWidth="1"/>
    <col min="2" max="3" width="60.7109375" style="9" customWidth="1"/>
    <col min="4" max="4" width="30.85546875" style="9" bestFit="1" customWidth="1"/>
    <col min="5" max="5" width="22.42578125" style="9" bestFit="1" customWidth="1"/>
    <col min="6" max="6" width="15.85546875" style="9" bestFit="1" customWidth="1"/>
    <col min="7" max="7" width="11.85546875" style="9" customWidth="1"/>
    <col min="8" max="8" width="39.85546875" style="9" bestFit="1" customWidth="1"/>
    <col min="9" max="9" width="33.85546875" style="9" bestFit="1" customWidth="1"/>
    <col min="10" max="10" width="19.28515625" style="9" bestFit="1" customWidth="1"/>
    <col min="11" max="12" width="50.7109375" style="9" customWidth="1"/>
    <col min="13" max="13" width="26.85546875" style="9" bestFit="1" customWidth="1"/>
    <col min="14" max="14" width="20.7109375" style="7" customWidth="1"/>
    <col min="15" max="16" width="60.7109375" style="7" customWidth="1"/>
    <col min="17" max="17" width="30.7109375" style="7" customWidth="1"/>
    <col min="18" max="18" width="27.28515625" style="9" customWidth="1"/>
    <col min="19" max="19" width="51.85546875" style="22" customWidth="1"/>
    <col min="20" max="20" width="9.7109375" style="22" bestFit="1" customWidth="1"/>
    <col min="21" max="22" width="9.140625" style="23"/>
    <col min="23" max="16384" width="9.140625" style="24"/>
  </cols>
  <sheetData>
    <row r="1" spans="1:22" s="19" customFormat="1" x14ac:dyDescent="0.25">
      <c r="A1" s="1" t="s">
        <v>30</v>
      </c>
      <c r="B1" s="1" t="s">
        <v>31</v>
      </c>
      <c r="C1" s="1" t="s">
        <v>39</v>
      </c>
      <c r="D1" s="1" t="s">
        <v>2</v>
      </c>
      <c r="E1" s="1" t="s">
        <v>32</v>
      </c>
      <c r="F1" s="1" t="s">
        <v>7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17</v>
      </c>
      <c r="L1" s="1" t="s">
        <v>19</v>
      </c>
      <c r="M1" s="1" t="s">
        <v>37</v>
      </c>
      <c r="N1" s="2" t="s">
        <v>38</v>
      </c>
      <c r="O1" s="2" t="s">
        <v>86</v>
      </c>
      <c r="P1" s="2" t="s">
        <v>80</v>
      </c>
      <c r="Q1" s="2" t="s">
        <v>25</v>
      </c>
      <c r="R1" s="2" t="s">
        <v>26</v>
      </c>
      <c r="S1" s="1" t="s">
        <v>76</v>
      </c>
      <c r="T1" s="17" t="s">
        <v>21</v>
      </c>
      <c r="U1" s="17" t="s">
        <v>22</v>
      </c>
      <c r="V1" s="18"/>
    </row>
    <row r="2" spans="1:22" x14ac:dyDescent="0.25">
      <c r="A2" s="20"/>
      <c r="B2" s="20"/>
      <c r="C2" s="20"/>
      <c r="D2" s="20"/>
      <c r="E2" s="20"/>
      <c r="F2" s="21"/>
      <c r="G2" s="20"/>
      <c r="H2" s="20"/>
      <c r="I2" s="20"/>
      <c r="J2" s="20"/>
      <c r="K2" s="20"/>
      <c r="L2" s="41"/>
      <c r="M2" s="21"/>
      <c r="R2" s="7"/>
      <c r="S2" s="7"/>
      <c r="U2" s="22"/>
    </row>
    <row r="3" spans="1:22" x14ac:dyDescent="0.25">
      <c r="A3" s="20"/>
      <c r="B3" s="20"/>
      <c r="C3" s="20"/>
      <c r="D3" s="20"/>
      <c r="E3" s="20"/>
      <c r="F3" s="21"/>
      <c r="G3" s="20"/>
      <c r="H3" s="20"/>
      <c r="I3" s="20"/>
      <c r="J3" s="20"/>
      <c r="K3" s="20"/>
      <c r="L3" s="20"/>
      <c r="M3" s="21"/>
      <c r="R3" s="7"/>
      <c r="S3" s="7"/>
      <c r="U3" s="22"/>
    </row>
    <row r="4" spans="1:22" x14ac:dyDescent="0.25">
      <c r="A4" s="20"/>
      <c r="B4" s="20"/>
      <c r="C4" s="20"/>
      <c r="D4" s="20"/>
      <c r="E4" s="20"/>
      <c r="F4" s="21"/>
      <c r="G4" s="20"/>
      <c r="H4" s="20"/>
      <c r="I4" s="20"/>
      <c r="J4" s="20"/>
      <c r="K4" s="20"/>
      <c r="L4" s="20"/>
      <c r="M4" s="21"/>
      <c r="R4" s="7"/>
      <c r="S4" s="7"/>
      <c r="U4" s="22"/>
    </row>
    <row r="5" spans="1:22" x14ac:dyDescent="0.25">
      <c r="A5" s="20"/>
      <c r="B5" s="20"/>
      <c r="C5" s="20"/>
      <c r="D5" s="20"/>
      <c r="E5" s="20"/>
      <c r="F5" s="21"/>
      <c r="G5" s="20"/>
      <c r="H5" s="20"/>
      <c r="I5" s="20"/>
      <c r="J5" s="20"/>
      <c r="K5" s="20"/>
      <c r="L5" s="20"/>
      <c r="M5" s="21"/>
      <c r="R5" s="7"/>
      <c r="S5" s="7"/>
      <c r="U5" s="22"/>
    </row>
    <row r="6" spans="1:22" x14ac:dyDescent="0.25">
      <c r="A6" s="20"/>
      <c r="B6" s="20"/>
      <c r="C6" s="20"/>
      <c r="D6" s="20"/>
      <c r="E6" s="20"/>
      <c r="F6" s="21"/>
      <c r="G6" s="20"/>
      <c r="H6" s="20"/>
      <c r="I6" s="20"/>
      <c r="J6" s="20"/>
      <c r="K6" s="20"/>
      <c r="L6" s="20"/>
      <c r="M6" s="21"/>
      <c r="R6" s="7"/>
      <c r="S6" s="7"/>
      <c r="U6" s="22"/>
    </row>
    <row r="7" spans="1:22" x14ac:dyDescent="0.25">
      <c r="A7" s="20"/>
      <c r="B7" s="20"/>
      <c r="C7" s="20"/>
      <c r="D7" s="20"/>
      <c r="E7" s="20"/>
      <c r="F7" s="21"/>
      <c r="G7" s="20"/>
      <c r="H7" s="20"/>
      <c r="I7" s="20"/>
      <c r="J7" s="20"/>
      <c r="K7" s="20"/>
      <c r="L7" s="20"/>
      <c r="M7" s="21"/>
      <c r="R7" s="7"/>
      <c r="S7" s="7"/>
      <c r="U7" s="22"/>
    </row>
    <row r="8" spans="1:22" x14ac:dyDescent="0.25">
      <c r="A8" s="20"/>
      <c r="B8" s="20"/>
      <c r="C8" s="20"/>
      <c r="D8" s="20"/>
      <c r="E8" s="20"/>
      <c r="F8" s="21"/>
      <c r="G8" s="20"/>
      <c r="H8" s="20"/>
      <c r="I8" s="20"/>
      <c r="J8" s="20"/>
      <c r="K8" s="20"/>
      <c r="L8" s="20"/>
      <c r="M8" s="21"/>
      <c r="R8" s="7"/>
      <c r="S8" s="7"/>
      <c r="U8" s="22"/>
    </row>
    <row r="9" spans="1:22" x14ac:dyDescent="0.25">
      <c r="A9" s="20"/>
      <c r="B9" s="20"/>
      <c r="C9" s="20"/>
      <c r="D9" s="20"/>
      <c r="E9" s="20"/>
      <c r="F9" s="21"/>
      <c r="G9" s="20"/>
      <c r="H9" s="20"/>
      <c r="I9" s="20"/>
      <c r="J9" s="20"/>
      <c r="K9" s="20"/>
      <c r="L9" s="20"/>
      <c r="M9" s="21"/>
      <c r="R9" s="7"/>
      <c r="S9" s="7"/>
      <c r="U9" s="22"/>
    </row>
    <row r="10" spans="1:22" x14ac:dyDescent="0.25">
      <c r="A10" s="20"/>
      <c r="B10" s="20"/>
      <c r="C10" s="20"/>
      <c r="D10" s="20"/>
      <c r="E10" s="20"/>
      <c r="F10" s="21"/>
      <c r="G10" s="20"/>
      <c r="H10" s="20"/>
      <c r="I10" s="20"/>
      <c r="J10" s="20"/>
      <c r="K10" s="20"/>
      <c r="L10" s="20"/>
      <c r="M10" s="21"/>
      <c r="R10" s="7"/>
      <c r="S10" s="7"/>
      <c r="U10" s="22"/>
    </row>
    <row r="11" spans="1:22" x14ac:dyDescent="0.25">
      <c r="A11" s="20"/>
      <c r="B11" s="20"/>
      <c r="C11" s="20"/>
      <c r="D11" s="20"/>
      <c r="E11" s="20"/>
      <c r="F11" s="21"/>
      <c r="G11" s="20"/>
      <c r="H11" s="20"/>
      <c r="I11" s="20"/>
      <c r="J11" s="20"/>
      <c r="K11" s="20"/>
      <c r="L11" s="20"/>
      <c r="M11" s="21"/>
      <c r="R11" s="7"/>
      <c r="S11" s="7"/>
      <c r="U11" s="22"/>
    </row>
    <row r="12" spans="1:22" x14ac:dyDescent="0.25">
      <c r="A12" s="20"/>
      <c r="B12" s="20"/>
      <c r="C12" s="20"/>
      <c r="D12" s="20"/>
      <c r="E12" s="20"/>
      <c r="F12" s="21"/>
      <c r="G12" s="20"/>
      <c r="H12" s="20"/>
      <c r="I12" s="20"/>
      <c r="J12" s="20"/>
      <c r="K12" s="20"/>
      <c r="L12" s="20"/>
      <c r="M12" s="21"/>
      <c r="R12" s="7"/>
      <c r="S12" s="7"/>
      <c r="U12" s="22"/>
    </row>
    <row r="13" spans="1:22" x14ac:dyDescent="0.25">
      <c r="A13" s="20"/>
      <c r="B13" s="20"/>
      <c r="C13" s="20"/>
      <c r="D13" s="20"/>
      <c r="E13" s="20"/>
      <c r="F13" s="21"/>
      <c r="G13" s="20"/>
      <c r="H13" s="20"/>
      <c r="I13" s="20"/>
      <c r="J13" s="20"/>
      <c r="K13" s="20"/>
      <c r="L13" s="20"/>
      <c r="M13" s="21"/>
      <c r="R13" s="7"/>
      <c r="S13" s="7"/>
      <c r="U13" s="22"/>
    </row>
    <row r="14" spans="1:22" x14ac:dyDescent="0.25">
      <c r="A14" s="20"/>
      <c r="B14" s="20"/>
      <c r="C14" s="20"/>
      <c r="D14" s="20"/>
      <c r="E14" s="20"/>
      <c r="F14" s="21"/>
      <c r="G14" s="20"/>
      <c r="H14" s="20"/>
      <c r="I14" s="20"/>
      <c r="J14" s="20"/>
      <c r="K14" s="20"/>
      <c r="L14" s="20"/>
      <c r="M14" s="21"/>
      <c r="R14" s="7"/>
      <c r="S14" s="7"/>
      <c r="U14" s="22"/>
    </row>
    <row r="15" spans="1:22" x14ac:dyDescent="0.25">
      <c r="A15" s="20"/>
      <c r="B15" s="20"/>
      <c r="C15" s="20"/>
      <c r="D15" s="20"/>
      <c r="E15" s="20"/>
      <c r="F15" s="21"/>
      <c r="G15" s="20"/>
      <c r="H15" s="20"/>
      <c r="I15" s="20"/>
      <c r="J15" s="20"/>
      <c r="K15" s="20"/>
      <c r="L15" s="20"/>
      <c r="M15" s="21"/>
      <c r="R15" s="7"/>
      <c r="S15" s="7"/>
      <c r="U15" s="22"/>
    </row>
    <row r="16" spans="1:22" x14ac:dyDescent="0.25">
      <c r="A16" s="20"/>
      <c r="B16" s="20"/>
      <c r="C16" s="20"/>
      <c r="D16" s="20"/>
      <c r="E16" s="20"/>
      <c r="F16" s="21"/>
      <c r="G16" s="20"/>
      <c r="H16" s="20"/>
      <c r="I16" s="20"/>
      <c r="J16" s="20"/>
      <c r="K16" s="20"/>
      <c r="L16" s="20"/>
      <c r="M16" s="21"/>
      <c r="R16" s="7"/>
      <c r="S16" s="7"/>
      <c r="U16" s="22"/>
    </row>
    <row r="17" spans="1:21" x14ac:dyDescent="0.25">
      <c r="A17" s="20"/>
      <c r="B17" s="20"/>
      <c r="C17" s="20"/>
      <c r="D17" s="20"/>
      <c r="E17" s="20"/>
      <c r="F17" s="21"/>
      <c r="G17" s="20"/>
      <c r="H17" s="20"/>
      <c r="I17" s="20"/>
      <c r="J17" s="20"/>
      <c r="K17" s="20"/>
      <c r="L17" s="20"/>
      <c r="M17" s="21"/>
      <c r="R17" s="7"/>
      <c r="S17" s="7"/>
      <c r="U17" s="22"/>
    </row>
    <row r="18" spans="1:21" x14ac:dyDescent="0.25">
      <c r="A18" s="20"/>
      <c r="B18" s="20"/>
      <c r="C18" s="20"/>
      <c r="D18" s="20"/>
      <c r="E18" s="20"/>
      <c r="F18" s="21"/>
      <c r="G18" s="20"/>
      <c r="H18" s="20"/>
      <c r="I18" s="20"/>
      <c r="J18" s="20"/>
      <c r="K18" s="20"/>
      <c r="L18" s="20"/>
      <c r="M18" s="21"/>
      <c r="R18" s="7"/>
      <c r="S18" s="7"/>
      <c r="U18" s="22"/>
    </row>
    <row r="19" spans="1:21" x14ac:dyDescent="0.25">
      <c r="A19" s="20"/>
      <c r="B19" s="20"/>
      <c r="C19" s="20"/>
      <c r="D19" s="20"/>
      <c r="E19" s="20"/>
      <c r="F19" s="21"/>
      <c r="G19" s="20"/>
      <c r="H19" s="20"/>
      <c r="I19" s="20"/>
      <c r="J19" s="20"/>
      <c r="K19" s="20"/>
      <c r="L19" s="20"/>
      <c r="M19" s="21"/>
      <c r="R19" s="7"/>
      <c r="S19" s="7"/>
      <c r="U19" s="22"/>
    </row>
    <row r="20" spans="1:21" x14ac:dyDescent="0.25">
      <c r="A20" s="20"/>
      <c r="B20" s="20"/>
      <c r="C20" s="20"/>
      <c r="D20" s="20"/>
      <c r="E20" s="20"/>
      <c r="F20" s="21"/>
      <c r="G20" s="20"/>
      <c r="H20" s="20"/>
      <c r="I20" s="20"/>
      <c r="J20" s="20"/>
      <c r="K20" s="20"/>
      <c r="L20" s="20"/>
      <c r="M20" s="21"/>
      <c r="R20" s="7"/>
      <c r="S20" s="7"/>
      <c r="U20" s="22"/>
    </row>
    <row r="21" spans="1:21" x14ac:dyDescent="0.25">
      <c r="A21" s="20"/>
      <c r="B21" s="20"/>
      <c r="C21" s="20"/>
      <c r="D21" s="20"/>
      <c r="E21" s="20"/>
      <c r="F21" s="21"/>
      <c r="G21" s="20"/>
      <c r="H21" s="20"/>
      <c r="I21" s="20"/>
      <c r="J21" s="20"/>
      <c r="K21" s="20"/>
      <c r="L21" s="20"/>
      <c r="M21" s="21"/>
      <c r="R21" s="7"/>
      <c r="S21" s="7"/>
      <c r="U21" s="22"/>
    </row>
    <row r="22" spans="1:21" x14ac:dyDescent="0.25">
      <c r="A22" s="20"/>
      <c r="B22" s="20"/>
      <c r="C22" s="20"/>
      <c r="D22" s="20"/>
      <c r="E22" s="20"/>
      <c r="F22" s="21"/>
      <c r="G22" s="20"/>
      <c r="H22" s="20"/>
      <c r="I22" s="20"/>
      <c r="J22" s="20"/>
      <c r="K22" s="20"/>
      <c r="L22" s="20"/>
      <c r="M22" s="21"/>
      <c r="R22" s="7"/>
      <c r="S22" s="7"/>
      <c r="U22" s="22"/>
    </row>
    <row r="23" spans="1:21" x14ac:dyDescent="0.25">
      <c r="A23" s="20"/>
      <c r="B23" s="20"/>
      <c r="C23" s="20"/>
      <c r="D23" s="20"/>
      <c r="E23" s="20"/>
      <c r="F23" s="21"/>
      <c r="G23" s="20"/>
      <c r="H23" s="20"/>
      <c r="I23" s="20"/>
      <c r="J23" s="20"/>
      <c r="K23" s="20"/>
      <c r="L23" s="20"/>
      <c r="M23" s="21"/>
      <c r="R23" s="7"/>
      <c r="S23" s="7"/>
      <c r="U23" s="22"/>
    </row>
    <row r="24" spans="1:21" x14ac:dyDescent="0.25">
      <c r="A24" s="20"/>
      <c r="B24" s="20"/>
      <c r="C24" s="20"/>
      <c r="D24" s="20"/>
      <c r="E24" s="20"/>
      <c r="F24" s="21"/>
      <c r="G24" s="20"/>
      <c r="H24" s="20"/>
      <c r="I24" s="20"/>
      <c r="J24" s="20"/>
      <c r="K24" s="20"/>
      <c r="L24" s="20"/>
      <c r="M24" s="21"/>
      <c r="R24" s="7"/>
      <c r="S24" s="7"/>
      <c r="U24" s="22"/>
    </row>
    <row r="25" spans="1:21" x14ac:dyDescent="0.25">
      <c r="A25" s="20"/>
      <c r="B25" s="20"/>
      <c r="C25" s="20"/>
      <c r="D25" s="20"/>
      <c r="E25" s="20"/>
      <c r="F25" s="21"/>
      <c r="G25" s="20"/>
      <c r="H25" s="20"/>
      <c r="I25" s="20"/>
      <c r="J25" s="20"/>
      <c r="K25" s="20"/>
      <c r="L25" s="20"/>
      <c r="M25" s="21"/>
      <c r="R25" s="7"/>
      <c r="S25" s="7"/>
      <c r="U25" s="22"/>
    </row>
    <row r="26" spans="1:21" x14ac:dyDescent="0.25">
      <c r="A26" s="20"/>
      <c r="B26" s="20"/>
      <c r="C26" s="20"/>
      <c r="D26" s="20"/>
      <c r="E26" s="20"/>
      <c r="F26" s="21"/>
      <c r="G26" s="20"/>
      <c r="H26" s="20"/>
      <c r="I26" s="20"/>
      <c r="J26" s="20"/>
      <c r="K26" s="20"/>
      <c r="L26" s="20"/>
      <c r="M26" s="21"/>
      <c r="R26" s="7"/>
      <c r="S26" s="7"/>
      <c r="U26" s="22"/>
    </row>
    <row r="27" spans="1:21" x14ac:dyDescent="0.25">
      <c r="A27" s="20"/>
      <c r="B27" s="20"/>
      <c r="C27" s="20"/>
      <c r="D27" s="20"/>
      <c r="E27" s="20"/>
      <c r="F27" s="21"/>
      <c r="G27" s="20"/>
      <c r="H27" s="20"/>
      <c r="I27" s="20"/>
      <c r="J27" s="20"/>
      <c r="K27" s="20"/>
      <c r="L27" s="20"/>
      <c r="M27" s="21"/>
      <c r="R27" s="7"/>
      <c r="S27" s="7"/>
      <c r="U27" s="22"/>
    </row>
    <row r="28" spans="1:21" x14ac:dyDescent="0.25">
      <c r="A28" s="20"/>
      <c r="B28" s="20"/>
      <c r="C28" s="20"/>
      <c r="D28" s="20"/>
      <c r="E28" s="20"/>
      <c r="F28" s="21"/>
      <c r="G28" s="20"/>
      <c r="H28" s="20"/>
      <c r="I28" s="20"/>
      <c r="J28" s="20"/>
      <c r="K28" s="20"/>
      <c r="L28" s="20"/>
      <c r="M28" s="20"/>
      <c r="R28" s="7"/>
      <c r="S28" s="7"/>
      <c r="U28" s="22"/>
    </row>
    <row r="29" spans="1:21" x14ac:dyDescent="0.25">
      <c r="A29" s="11"/>
      <c r="B29" s="11"/>
      <c r="C29" s="11"/>
      <c r="D29" s="11"/>
      <c r="E29" s="11"/>
      <c r="F29" s="12"/>
      <c r="G29" s="11"/>
      <c r="H29" s="11"/>
      <c r="I29" s="11"/>
      <c r="J29" s="11"/>
      <c r="K29" s="11"/>
      <c r="L29" s="11"/>
      <c r="M29" s="12"/>
      <c r="R29" s="7"/>
      <c r="S29" s="7"/>
      <c r="U29" s="22"/>
    </row>
    <row r="30" spans="1:21" x14ac:dyDescent="0.25">
      <c r="A30" s="11"/>
      <c r="B30" s="11"/>
      <c r="C30" s="11"/>
      <c r="D30" s="11"/>
      <c r="E30" s="11"/>
      <c r="F30" s="12"/>
      <c r="G30" s="11"/>
      <c r="H30" s="11"/>
      <c r="I30" s="11"/>
      <c r="J30" s="11"/>
      <c r="K30" s="11"/>
      <c r="L30" s="11"/>
      <c r="M30" s="11"/>
      <c r="R30" s="7"/>
      <c r="S30" s="7"/>
      <c r="U30" s="22"/>
    </row>
    <row r="31" spans="1:21" x14ac:dyDescent="0.25">
      <c r="A31" s="11"/>
      <c r="B31" s="11"/>
      <c r="C31" s="11"/>
      <c r="D31" s="11"/>
      <c r="E31" s="11"/>
      <c r="F31" s="12"/>
      <c r="G31" s="11"/>
      <c r="H31" s="11"/>
      <c r="I31" s="11"/>
      <c r="J31" s="11"/>
      <c r="K31" s="11"/>
      <c r="L31" s="11"/>
      <c r="M31" s="12"/>
      <c r="R31" s="7"/>
      <c r="S31" s="7"/>
      <c r="U31" s="22"/>
    </row>
    <row r="32" spans="1:21" x14ac:dyDescent="0.25">
      <c r="A32" s="11"/>
      <c r="B32" s="11"/>
      <c r="C32" s="11"/>
      <c r="D32" s="11"/>
      <c r="E32" s="11"/>
      <c r="F32" s="12"/>
      <c r="G32" s="11"/>
      <c r="H32" s="11"/>
      <c r="I32" s="11"/>
      <c r="J32" s="11"/>
      <c r="K32" s="11"/>
      <c r="L32" s="11"/>
      <c r="M32" s="12"/>
      <c r="R32" s="7"/>
      <c r="S32" s="7"/>
      <c r="U32" s="22"/>
    </row>
    <row r="33" spans="1:21" x14ac:dyDescent="0.25">
      <c r="A33" s="11"/>
      <c r="B33" s="11"/>
      <c r="C33" s="11"/>
      <c r="D33" s="11"/>
      <c r="E33" s="11"/>
      <c r="F33" s="12"/>
      <c r="G33" s="11"/>
      <c r="H33" s="11"/>
      <c r="I33" s="11"/>
      <c r="J33" s="11"/>
      <c r="K33" s="11"/>
      <c r="L33" s="11"/>
      <c r="M33" s="11"/>
      <c r="R33" s="7"/>
      <c r="S33" s="7"/>
      <c r="U33" s="22"/>
    </row>
    <row r="34" spans="1:21" x14ac:dyDescent="0.25">
      <c r="A34" s="11"/>
      <c r="B34" s="11"/>
      <c r="C34" s="11"/>
      <c r="D34" s="11"/>
      <c r="E34" s="11"/>
      <c r="F34" s="12"/>
      <c r="G34" s="11"/>
      <c r="H34" s="11"/>
      <c r="I34" s="11"/>
      <c r="J34" s="11"/>
      <c r="K34" s="11"/>
      <c r="L34" s="11"/>
      <c r="M34" s="12"/>
      <c r="R34" s="7"/>
      <c r="S34" s="7"/>
      <c r="U34" s="22"/>
    </row>
    <row r="35" spans="1:21" x14ac:dyDescent="0.25">
      <c r="A35" s="11"/>
      <c r="B35" s="11"/>
      <c r="C35" s="11"/>
      <c r="D35" s="11"/>
      <c r="E35" s="11"/>
      <c r="F35" s="12"/>
      <c r="G35" s="11"/>
      <c r="H35" s="11"/>
      <c r="I35" s="11"/>
      <c r="J35" s="11"/>
      <c r="K35" s="11"/>
      <c r="L35" s="11"/>
      <c r="M35" s="11"/>
      <c r="R35" s="7"/>
      <c r="S35" s="7"/>
      <c r="U35" s="22"/>
    </row>
    <row r="36" spans="1:21" x14ac:dyDescent="0.25">
      <c r="F36" s="25"/>
      <c r="M36" s="25"/>
      <c r="R36" s="7"/>
      <c r="S36" s="7"/>
      <c r="U36" s="22"/>
    </row>
    <row r="37" spans="1:21" x14ac:dyDescent="0.25">
      <c r="F37" s="25"/>
      <c r="M37" s="25"/>
      <c r="R37" s="7"/>
      <c r="S37" s="7"/>
      <c r="U37" s="22"/>
    </row>
    <row r="38" spans="1:21" x14ac:dyDescent="0.25">
      <c r="F38" s="25"/>
      <c r="M38" s="25"/>
      <c r="R38" s="7"/>
      <c r="S38" s="7"/>
      <c r="U38" s="22"/>
    </row>
    <row r="39" spans="1:21" x14ac:dyDescent="0.25">
      <c r="F39" s="25"/>
      <c r="R39" s="7"/>
      <c r="S39" s="7"/>
      <c r="U39" s="22"/>
    </row>
    <row r="40" spans="1:21" x14ac:dyDescent="0.25">
      <c r="F40" s="25"/>
      <c r="M40" s="25"/>
      <c r="R40" s="7"/>
      <c r="S40" s="7"/>
      <c r="U40" s="22"/>
    </row>
    <row r="41" spans="1:21" x14ac:dyDescent="0.25">
      <c r="F41" s="25"/>
      <c r="M41" s="25"/>
      <c r="R41" s="7"/>
      <c r="S41" s="7"/>
      <c r="U41" s="22"/>
    </row>
    <row r="42" spans="1:21" x14ac:dyDescent="0.25">
      <c r="F42" s="25"/>
      <c r="M42" s="25"/>
      <c r="R42" s="7"/>
      <c r="S42" s="7"/>
      <c r="U42" s="22"/>
    </row>
    <row r="43" spans="1:21" x14ac:dyDescent="0.25">
      <c r="F43" s="25"/>
      <c r="M43" s="25"/>
      <c r="R43" s="7"/>
      <c r="S43" s="7"/>
      <c r="U43" s="22"/>
    </row>
    <row r="44" spans="1:21" x14ac:dyDescent="0.25">
      <c r="F44" s="25"/>
      <c r="M44" s="25"/>
      <c r="R44" s="7"/>
      <c r="S44" s="7"/>
      <c r="U44" s="22"/>
    </row>
    <row r="45" spans="1:21" x14ac:dyDescent="0.25">
      <c r="F45" s="25"/>
      <c r="M45" s="25"/>
      <c r="R45" s="7"/>
      <c r="S45" s="7"/>
      <c r="U45" s="22"/>
    </row>
    <row r="46" spans="1:21" x14ac:dyDescent="0.25">
      <c r="F46" s="25"/>
      <c r="M46" s="25"/>
      <c r="R46" s="7"/>
      <c r="S46" s="7"/>
      <c r="U46" s="22"/>
    </row>
    <row r="47" spans="1:21" x14ac:dyDescent="0.25">
      <c r="F47" s="25"/>
      <c r="M47" s="25"/>
      <c r="R47" s="7"/>
      <c r="S47" s="7"/>
      <c r="U47" s="22"/>
    </row>
    <row r="48" spans="1:21" x14ac:dyDescent="0.25">
      <c r="F48" s="25"/>
      <c r="M48" s="25"/>
      <c r="R48" s="7"/>
      <c r="S48" s="7"/>
      <c r="U48" s="22"/>
    </row>
    <row r="49" spans="6:21" x14ac:dyDescent="0.25">
      <c r="F49" s="25"/>
      <c r="M49" s="25"/>
      <c r="R49" s="7"/>
      <c r="S49" s="7"/>
      <c r="U49" s="22"/>
    </row>
    <row r="50" spans="6:21" x14ac:dyDescent="0.25">
      <c r="F50" s="25"/>
      <c r="M50" s="25"/>
      <c r="R50" s="7"/>
      <c r="S50" s="7"/>
      <c r="U50" s="22"/>
    </row>
    <row r="51" spans="6:21" x14ac:dyDescent="0.25">
      <c r="F51" s="25"/>
      <c r="M51" s="25"/>
      <c r="R51" s="7"/>
      <c r="S51" s="7"/>
      <c r="U51" s="22"/>
    </row>
    <row r="52" spans="6:21" x14ac:dyDescent="0.25">
      <c r="F52" s="25"/>
      <c r="R52" s="7"/>
      <c r="S52" s="7"/>
      <c r="U52" s="22"/>
    </row>
    <row r="53" spans="6:21" x14ac:dyDescent="0.25">
      <c r="F53" s="25"/>
      <c r="M53" s="25"/>
      <c r="R53" s="7"/>
      <c r="S53" s="7"/>
      <c r="U53" s="22"/>
    </row>
    <row r="54" spans="6:21" x14ac:dyDescent="0.25">
      <c r="F54" s="25"/>
      <c r="M54" s="25"/>
      <c r="R54" s="7"/>
      <c r="S54" s="7"/>
      <c r="U54" s="22"/>
    </row>
    <row r="55" spans="6:21" x14ac:dyDescent="0.25">
      <c r="F55" s="25"/>
      <c r="M55" s="25"/>
      <c r="R55" s="7"/>
      <c r="S55" s="7"/>
      <c r="U55" s="22"/>
    </row>
    <row r="56" spans="6:21" x14ac:dyDescent="0.25">
      <c r="F56" s="25"/>
      <c r="M56" s="25"/>
      <c r="R56" s="7"/>
      <c r="S56" s="7"/>
      <c r="U56" s="22"/>
    </row>
    <row r="57" spans="6:21" x14ac:dyDescent="0.25">
      <c r="F57" s="25"/>
      <c r="M57" s="25"/>
      <c r="R57" s="7"/>
      <c r="S57" s="7"/>
      <c r="U57" s="22"/>
    </row>
    <row r="58" spans="6:21" x14ac:dyDescent="0.25">
      <c r="F58" s="25"/>
      <c r="M58" s="25"/>
      <c r="R58" s="7"/>
      <c r="S58" s="7"/>
      <c r="U58" s="22"/>
    </row>
    <row r="59" spans="6:21" x14ac:dyDescent="0.25">
      <c r="F59" s="25"/>
      <c r="R59" s="7"/>
      <c r="S59" s="7"/>
      <c r="U59" s="22"/>
    </row>
    <row r="60" spans="6:21" x14ac:dyDescent="0.25">
      <c r="F60" s="25"/>
      <c r="M60" s="25"/>
      <c r="R60" s="7"/>
      <c r="S60" s="7"/>
      <c r="U60" s="22"/>
    </row>
    <row r="61" spans="6:21" x14ac:dyDescent="0.25">
      <c r="F61" s="25"/>
      <c r="M61" s="25"/>
      <c r="R61" s="7"/>
      <c r="S61" s="7"/>
      <c r="U61" s="22"/>
    </row>
    <row r="62" spans="6:21" x14ac:dyDescent="0.25">
      <c r="F62" s="25"/>
      <c r="M62" s="25"/>
      <c r="R62" s="7"/>
      <c r="S62" s="7"/>
      <c r="U62" s="22"/>
    </row>
    <row r="63" spans="6:21" x14ac:dyDescent="0.25">
      <c r="F63" s="25"/>
      <c r="M63" s="25"/>
      <c r="R63" s="7"/>
      <c r="S63" s="7"/>
      <c r="U63" s="22"/>
    </row>
    <row r="64" spans="6:21" x14ac:dyDescent="0.25">
      <c r="F64" s="25"/>
      <c r="M64" s="25"/>
      <c r="R64" s="7"/>
      <c r="S64" s="7"/>
      <c r="U64" s="22"/>
    </row>
    <row r="65" spans="6:21" x14ac:dyDescent="0.25">
      <c r="F65" s="25"/>
      <c r="M65" s="25"/>
      <c r="R65" s="7"/>
      <c r="S65" s="7"/>
      <c r="U65" s="22"/>
    </row>
    <row r="66" spans="6:21" x14ac:dyDescent="0.25">
      <c r="F66" s="25"/>
      <c r="M66" s="25"/>
      <c r="R66" s="7"/>
      <c r="S66" s="7"/>
      <c r="U66" s="22"/>
    </row>
    <row r="67" spans="6:21" x14ac:dyDescent="0.25">
      <c r="F67" s="25"/>
      <c r="M67" s="25"/>
      <c r="R67" s="7"/>
      <c r="S67" s="7"/>
      <c r="U67" s="22"/>
    </row>
    <row r="68" spans="6:21" x14ac:dyDescent="0.25">
      <c r="F68" s="25"/>
      <c r="M68" s="25"/>
      <c r="R68" s="7"/>
      <c r="S68" s="7"/>
      <c r="U68" s="22"/>
    </row>
    <row r="69" spans="6:21" x14ac:dyDescent="0.25">
      <c r="F69" s="25"/>
      <c r="M69" s="25"/>
      <c r="R69" s="7"/>
      <c r="S69" s="7"/>
      <c r="U69" s="22"/>
    </row>
    <row r="70" spans="6:21" x14ac:dyDescent="0.25">
      <c r="F70" s="25"/>
      <c r="M70" s="25"/>
      <c r="R70" s="7"/>
      <c r="S70" s="7"/>
      <c r="U70" s="22"/>
    </row>
    <row r="71" spans="6:21" x14ac:dyDescent="0.25">
      <c r="F71" s="25"/>
      <c r="M71" s="25"/>
      <c r="R71" s="7"/>
      <c r="S71" s="7"/>
      <c r="U71" s="22"/>
    </row>
    <row r="72" spans="6:21" x14ac:dyDescent="0.25">
      <c r="F72" s="25"/>
      <c r="M72" s="25"/>
      <c r="R72" s="7"/>
      <c r="S72" s="7"/>
      <c r="U72" s="22"/>
    </row>
    <row r="73" spans="6:21" x14ac:dyDescent="0.25">
      <c r="F73" s="25"/>
      <c r="R73" s="7"/>
      <c r="S73" s="7"/>
      <c r="U73" s="22"/>
    </row>
    <row r="74" spans="6:21" x14ac:dyDescent="0.25">
      <c r="F74" s="25"/>
      <c r="M74" s="25"/>
      <c r="R74" s="7"/>
      <c r="S74" s="7"/>
      <c r="U74" s="22"/>
    </row>
    <row r="75" spans="6:21" x14ac:dyDescent="0.25">
      <c r="F75" s="25"/>
      <c r="R75" s="7"/>
      <c r="S75" s="7"/>
      <c r="U75" s="22"/>
    </row>
    <row r="76" spans="6:21" x14ac:dyDescent="0.25">
      <c r="F76" s="25"/>
      <c r="R76" s="7"/>
      <c r="S76" s="7"/>
      <c r="U76" s="22"/>
    </row>
    <row r="77" spans="6:21" x14ac:dyDescent="0.25">
      <c r="F77" s="25"/>
      <c r="M77" s="25"/>
      <c r="R77" s="7"/>
      <c r="S77" s="7"/>
      <c r="U77" s="22"/>
    </row>
    <row r="78" spans="6:21" x14ac:dyDescent="0.25">
      <c r="F78" s="25"/>
      <c r="M78" s="25"/>
      <c r="R78" s="7"/>
      <c r="S78" s="7"/>
      <c r="U78" s="22"/>
    </row>
    <row r="79" spans="6:21" x14ac:dyDescent="0.25">
      <c r="F79" s="25"/>
      <c r="M79" s="25"/>
      <c r="R79" s="7"/>
      <c r="S79" s="7"/>
      <c r="U79" s="22"/>
    </row>
    <row r="80" spans="6:21" x14ac:dyDescent="0.25">
      <c r="F80" s="25"/>
      <c r="M80" s="25"/>
      <c r="R80" s="7"/>
      <c r="S80" s="7"/>
      <c r="U80" s="22"/>
    </row>
    <row r="81" spans="6:21" x14ac:dyDescent="0.25">
      <c r="F81" s="25"/>
      <c r="M81" s="25"/>
      <c r="R81" s="7"/>
      <c r="S81" s="7"/>
      <c r="U81" s="22"/>
    </row>
    <row r="82" spans="6:21" x14ac:dyDescent="0.25">
      <c r="F82" s="25"/>
      <c r="M82" s="25"/>
      <c r="R82" s="7"/>
      <c r="S82" s="7"/>
      <c r="U82" s="22"/>
    </row>
    <row r="83" spans="6:21" x14ac:dyDescent="0.25">
      <c r="F83" s="25"/>
      <c r="M83" s="25"/>
      <c r="R83" s="7"/>
      <c r="S83" s="7"/>
      <c r="U83" s="22"/>
    </row>
    <row r="84" spans="6:21" x14ac:dyDescent="0.25">
      <c r="F84" s="25"/>
      <c r="M84" s="25"/>
      <c r="R84" s="7"/>
      <c r="S84" s="7"/>
      <c r="U84" s="22"/>
    </row>
    <row r="85" spans="6:21" x14ac:dyDescent="0.25">
      <c r="F85" s="25"/>
      <c r="R85" s="7"/>
      <c r="S85" s="7"/>
      <c r="U85" s="22"/>
    </row>
    <row r="86" spans="6:21" x14ac:dyDescent="0.25">
      <c r="F86" s="25"/>
      <c r="R86" s="7"/>
      <c r="S86" s="7"/>
      <c r="U86" s="22"/>
    </row>
    <row r="87" spans="6:21" x14ac:dyDescent="0.25">
      <c r="F87" s="25"/>
      <c r="R87" s="7"/>
      <c r="S87" s="7"/>
      <c r="U87" s="22"/>
    </row>
    <row r="88" spans="6:21" x14ac:dyDescent="0.25">
      <c r="F88" s="25"/>
      <c r="M88" s="25"/>
      <c r="R88" s="7"/>
      <c r="S88" s="7"/>
      <c r="U88" s="22"/>
    </row>
    <row r="89" spans="6:21" x14ac:dyDescent="0.25">
      <c r="F89" s="25"/>
      <c r="M89" s="25"/>
      <c r="R89" s="7"/>
      <c r="S89" s="7"/>
      <c r="U89" s="22"/>
    </row>
    <row r="90" spans="6:21" x14ac:dyDescent="0.25">
      <c r="F90" s="25"/>
      <c r="M90" s="25"/>
      <c r="R90" s="7"/>
      <c r="S90" s="7"/>
      <c r="U90" s="22"/>
    </row>
    <row r="91" spans="6:21" x14ac:dyDescent="0.25">
      <c r="F91" s="25"/>
      <c r="M91" s="25"/>
      <c r="R91" s="7"/>
      <c r="S91" s="7"/>
      <c r="U91" s="22"/>
    </row>
    <row r="92" spans="6:21" x14ac:dyDescent="0.25">
      <c r="F92" s="25"/>
      <c r="M92" s="25"/>
      <c r="R92" s="7"/>
      <c r="S92" s="7"/>
      <c r="U92" s="22"/>
    </row>
    <row r="93" spans="6:21" x14ac:dyDescent="0.25">
      <c r="F93" s="25"/>
      <c r="M93" s="25"/>
      <c r="R93" s="7"/>
      <c r="S93" s="7"/>
      <c r="U93" s="22"/>
    </row>
    <row r="94" spans="6:21" x14ac:dyDescent="0.25">
      <c r="F94" s="25"/>
      <c r="M94" s="25"/>
      <c r="R94" s="7"/>
      <c r="S94" s="7"/>
      <c r="U94" s="22"/>
    </row>
    <row r="95" spans="6:21" x14ac:dyDescent="0.25">
      <c r="F95" s="25"/>
      <c r="R95" s="7"/>
      <c r="S95" s="7"/>
      <c r="U95" s="22"/>
    </row>
    <row r="96" spans="6:21" x14ac:dyDescent="0.25">
      <c r="F96" s="25"/>
      <c r="R96" s="7"/>
      <c r="S96" s="7"/>
      <c r="U96" s="22"/>
    </row>
    <row r="97" spans="6:21" x14ac:dyDescent="0.25">
      <c r="F97" s="25"/>
      <c r="M97" s="25"/>
      <c r="R97" s="7"/>
      <c r="S97" s="7"/>
      <c r="U97" s="22"/>
    </row>
    <row r="98" spans="6:21" x14ac:dyDescent="0.25">
      <c r="F98" s="25"/>
      <c r="M98" s="25"/>
      <c r="R98" s="7"/>
      <c r="S98" s="7"/>
      <c r="U98" s="22"/>
    </row>
    <row r="99" spans="6:21" x14ac:dyDescent="0.25">
      <c r="F99" s="25"/>
      <c r="M99" s="25"/>
      <c r="R99" s="7"/>
      <c r="S99" s="7"/>
      <c r="U99" s="22"/>
    </row>
    <row r="100" spans="6:21" x14ac:dyDescent="0.25">
      <c r="F100" s="25"/>
      <c r="M100" s="25"/>
      <c r="R100" s="7"/>
      <c r="S100" s="7"/>
      <c r="U100" s="22"/>
    </row>
    <row r="101" spans="6:21" x14ac:dyDescent="0.25">
      <c r="F101" s="25"/>
      <c r="M101" s="25"/>
      <c r="R101" s="7"/>
      <c r="S101" s="7"/>
      <c r="U101" s="22"/>
    </row>
    <row r="102" spans="6:21" x14ac:dyDescent="0.25">
      <c r="F102" s="25"/>
      <c r="M102" s="25"/>
      <c r="R102" s="7"/>
      <c r="S102" s="7"/>
      <c r="U102" s="22"/>
    </row>
    <row r="103" spans="6:21" x14ac:dyDescent="0.25">
      <c r="F103" s="25"/>
      <c r="M103" s="25"/>
      <c r="R103" s="7"/>
      <c r="S103" s="7"/>
      <c r="U103" s="22"/>
    </row>
    <row r="104" spans="6:21" x14ac:dyDescent="0.25">
      <c r="F104" s="25"/>
      <c r="M104" s="25"/>
      <c r="R104" s="7"/>
      <c r="S104" s="7"/>
      <c r="U104" s="22"/>
    </row>
    <row r="105" spans="6:21" x14ac:dyDescent="0.25">
      <c r="F105" s="25"/>
      <c r="R105" s="7"/>
      <c r="S105" s="7"/>
      <c r="U105" s="22"/>
    </row>
    <row r="106" spans="6:21" x14ac:dyDescent="0.25">
      <c r="F106" s="25"/>
      <c r="R106" s="7"/>
      <c r="S106" s="7"/>
      <c r="U106" s="22"/>
    </row>
    <row r="107" spans="6:21" x14ac:dyDescent="0.25">
      <c r="F107" s="25"/>
      <c r="R107" s="7"/>
      <c r="S107" s="7"/>
      <c r="U107" s="22"/>
    </row>
    <row r="108" spans="6:21" x14ac:dyDescent="0.25">
      <c r="F108" s="25"/>
      <c r="R108" s="7"/>
      <c r="S108" s="7"/>
      <c r="U108" s="22"/>
    </row>
    <row r="109" spans="6:21" x14ac:dyDescent="0.25">
      <c r="F109" s="25"/>
      <c r="R109" s="7"/>
      <c r="S109" s="7"/>
      <c r="U109" s="22"/>
    </row>
    <row r="110" spans="6:21" x14ac:dyDescent="0.25">
      <c r="F110" s="25"/>
      <c r="R110" s="7"/>
      <c r="S110" s="7"/>
      <c r="U110" s="22"/>
    </row>
    <row r="111" spans="6:21" x14ac:dyDescent="0.25">
      <c r="F111" s="25"/>
      <c r="R111" s="7"/>
      <c r="S111" s="7"/>
      <c r="U111" s="22"/>
    </row>
    <row r="112" spans="6:21" x14ac:dyDescent="0.25">
      <c r="F112" s="25"/>
      <c r="R112" s="7"/>
      <c r="S112" s="7"/>
      <c r="U112" s="22"/>
    </row>
    <row r="113" spans="6:21" x14ac:dyDescent="0.25">
      <c r="F113" s="25"/>
      <c r="R113" s="7"/>
      <c r="S113" s="7"/>
      <c r="U113" s="22"/>
    </row>
    <row r="114" spans="6:21" x14ac:dyDescent="0.25">
      <c r="F114" s="25"/>
      <c r="R114" s="7"/>
      <c r="S114" s="7"/>
      <c r="U114" s="22"/>
    </row>
    <row r="115" spans="6:21" x14ac:dyDescent="0.25">
      <c r="F115" s="25"/>
      <c r="R115" s="7"/>
      <c r="S115" s="7"/>
      <c r="U115" s="22"/>
    </row>
    <row r="116" spans="6:21" x14ac:dyDescent="0.25">
      <c r="F116" s="25"/>
      <c r="R116" s="7"/>
      <c r="S116" s="7"/>
      <c r="U116" s="22"/>
    </row>
    <row r="117" spans="6:21" x14ac:dyDescent="0.25">
      <c r="F117" s="25"/>
      <c r="M117" s="25"/>
      <c r="R117" s="7"/>
      <c r="S117" s="7"/>
      <c r="U117" s="22"/>
    </row>
    <row r="118" spans="6:21" x14ac:dyDescent="0.25">
      <c r="F118" s="25"/>
      <c r="R118" s="7"/>
      <c r="S118" s="7"/>
      <c r="U118" s="22"/>
    </row>
    <row r="119" spans="6:21" x14ac:dyDescent="0.25">
      <c r="F119" s="25"/>
      <c r="R119" s="7"/>
      <c r="S119" s="7"/>
      <c r="U119" s="22"/>
    </row>
    <row r="120" spans="6:21" x14ac:dyDescent="0.25">
      <c r="F120" s="25"/>
      <c r="R120" s="7"/>
      <c r="S120" s="7"/>
      <c r="U120" s="22"/>
    </row>
    <row r="121" spans="6:21" x14ac:dyDescent="0.25">
      <c r="F121" s="25"/>
      <c r="R121" s="7"/>
      <c r="S121" s="7"/>
      <c r="U121" s="22"/>
    </row>
    <row r="122" spans="6:21" x14ac:dyDescent="0.25">
      <c r="F122" s="25"/>
      <c r="R122" s="7"/>
      <c r="S122" s="7"/>
      <c r="U122" s="22"/>
    </row>
    <row r="123" spans="6:21" x14ac:dyDescent="0.25">
      <c r="F123" s="25"/>
      <c r="R123" s="7"/>
      <c r="S123" s="7"/>
      <c r="U123" s="22"/>
    </row>
    <row r="124" spans="6:21" x14ac:dyDescent="0.25">
      <c r="F124" s="25"/>
      <c r="R124" s="7"/>
      <c r="S124" s="7"/>
      <c r="U124" s="22"/>
    </row>
    <row r="125" spans="6:21" x14ac:dyDescent="0.25">
      <c r="F125" s="25"/>
      <c r="R125" s="7"/>
      <c r="S125" s="7"/>
      <c r="U125" s="22"/>
    </row>
    <row r="126" spans="6:21" x14ac:dyDescent="0.25">
      <c r="F126" s="25"/>
      <c r="M126" s="25"/>
      <c r="R126" s="7"/>
      <c r="S126" s="7"/>
      <c r="U126" s="22"/>
    </row>
    <row r="127" spans="6:21" x14ac:dyDescent="0.25">
      <c r="F127" s="25"/>
      <c r="M127" s="25"/>
      <c r="R127" s="7"/>
      <c r="S127" s="7"/>
      <c r="U127" s="22"/>
    </row>
    <row r="128" spans="6:21" x14ac:dyDescent="0.25">
      <c r="F128" s="25"/>
      <c r="R128" s="7"/>
      <c r="S128" s="7"/>
      <c r="U128" s="22"/>
    </row>
    <row r="129" spans="6:21" x14ac:dyDescent="0.25">
      <c r="F129" s="25"/>
      <c r="R129" s="7"/>
      <c r="S129" s="7"/>
      <c r="U129" s="22"/>
    </row>
    <row r="130" spans="6:21" x14ac:dyDescent="0.25">
      <c r="F130" s="25"/>
      <c r="R130" s="7"/>
      <c r="S130" s="7"/>
      <c r="U130" s="22"/>
    </row>
    <row r="131" spans="6:21" x14ac:dyDescent="0.25">
      <c r="F131" s="25"/>
      <c r="R131" s="7"/>
      <c r="S131" s="7"/>
      <c r="U131" s="22"/>
    </row>
    <row r="132" spans="6:21" x14ac:dyDescent="0.25">
      <c r="F132" s="25"/>
      <c r="R132" s="7"/>
      <c r="S132" s="7"/>
      <c r="U132" s="22"/>
    </row>
    <row r="133" spans="6:21" x14ac:dyDescent="0.25">
      <c r="F133" s="25"/>
      <c r="R133" s="7"/>
      <c r="S133" s="7"/>
      <c r="U133" s="22"/>
    </row>
    <row r="134" spans="6:21" x14ac:dyDescent="0.25">
      <c r="F134" s="25"/>
      <c r="R134" s="7"/>
      <c r="S134" s="7"/>
      <c r="U134" s="22"/>
    </row>
    <row r="135" spans="6:21" x14ac:dyDescent="0.25">
      <c r="F135" s="25"/>
      <c r="R135" s="7"/>
      <c r="S135" s="7"/>
      <c r="U135" s="22"/>
    </row>
    <row r="136" spans="6:21" x14ac:dyDescent="0.25">
      <c r="F136" s="25"/>
      <c r="R136" s="7"/>
      <c r="S136" s="7"/>
      <c r="U136" s="22"/>
    </row>
    <row r="137" spans="6:21" x14ac:dyDescent="0.25">
      <c r="F137" s="25"/>
      <c r="R137" s="7"/>
      <c r="S137" s="7"/>
      <c r="U137" s="22"/>
    </row>
    <row r="138" spans="6:21" x14ac:dyDescent="0.25">
      <c r="F138" s="25"/>
      <c r="R138" s="7"/>
      <c r="S138" s="7"/>
      <c r="U138" s="22"/>
    </row>
    <row r="139" spans="6:21" x14ac:dyDescent="0.25">
      <c r="F139" s="25"/>
      <c r="R139" s="7"/>
      <c r="S139" s="7"/>
      <c r="U139" s="22"/>
    </row>
    <row r="140" spans="6:21" x14ac:dyDescent="0.25">
      <c r="F140" s="25"/>
      <c r="R140" s="7"/>
      <c r="S140" s="7"/>
      <c r="U140" s="22"/>
    </row>
    <row r="141" spans="6:21" x14ac:dyDescent="0.25">
      <c r="F141" s="25"/>
      <c r="R141" s="7"/>
      <c r="S141" s="7"/>
      <c r="U141" s="22"/>
    </row>
    <row r="142" spans="6:21" x14ac:dyDescent="0.25">
      <c r="F142" s="25"/>
      <c r="R142" s="7"/>
      <c r="S142" s="7"/>
      <c r="U142" s="22"/>
    </row>
    <row r="143" spans="6:21" x14ac:dyDescent="0.25">
      <c r="F143" s="25"/>
      <c r="R143" s="7"/>
      <c r="S143" s="7"/>
      <c r="U143" s="22"/>
    </row>
    <row r="144" spans="6:21" x14ac:dyDescent="0.25">
      <c r="F144" s="25"/>
      <c r="R144" s="7"/>
      <c r="S144" s="7"/>
      <c r="U144" s="22"/>
    </row>
    <row r="145" spans="6:21" x14ac:dyDescent="0.25">
      <c r="F145" s="25"/>
      <c r="R145" s="7"/>
      <c r="S145" s="7"/>
      <c r="U145" s="22"/>
    </row>
    <row r="146" spans="6:21" x14ac:dyDescent="0.25">
      <c r="F146" s="25"/>
      <c r="R146" s="7"/>
      <c r="S146" s="7"/>
      <c r="U146" s="22"/>
    </row>
    <row r="147" spans="6:21" x14ac:dyDescent="0.25">
      <c r="F147" s="25"/>
      <c r="R147" s="7"/>
      <c r="S147" s="7"/>
      <c r="U147" s="22"/>
    </row>
    <row r="148" spans="6:21" x14ac:dyDescent="0.25">
      <c r="F148" s="25"/>
      <c r="R148" s="7"/>
      <c r="S148" s="7"/>
      <c r="U148" s="22"/>
    </row>
    <row r="149" spans="6:21" x14ac:dyDescent="0.25">
      <c r="F149" s="25"/>
      <c r="M149" s="25"/>
      <c r="R149" s="7"/>
      <c r="S149" s="7"/>
      <c r="U149" s="22"/>
    </row>
    <row r="150" spans="6:21" x14ac:dyDescent="0.25">
      <c r="F150" s="25"/>
      <c r="M150" s="25"/>
      <c r="R150" s="7"/>
      <c r="S150" s="7"/>
      <c r="U150" s="22"/>
    </row>
    <row r="151" spans="6:21" x14ac:dyDescent="0.25">
      <c r="F151" s="25"/>
      <c r="R151" s="7"/>
      <c r="S151" s="7"/>
      <c r="U151" s="22"/>
    </row>
    <row r="152" spans="6:21" x14ac:dyDescent="0.25">
      <c r="F152" s="25"/>
      <c r="R152" s="7"/>
      <c r="S152" s="7"/>
      <c r="U152" s="22"/>
    </row>
    <row r="153" spans="6:21" x14ac:dyDescent="0.25">
      <c r="F153" s="25"/>
      <c r="M153" s="25"/>
      <c r="R153" s="7"/>
      <c r="S153" s="7"/>
      <c r="U153" s="22"/>
    </row>
    <row r="154" spans="6:21" x14ac:dyDescent="0.25">
      <c r="F154" s="25"/>
      <c r="M154" s="25"/>
      <c r="R154" s="7"/>
      <c r="S154" s="7"/>
      <c r="U154" s="22"/>
    </row>
    <row r="155" spans="6:21" x14ac:dyDescent="0.25">
      <c r="F155" s="25"/>
      <c r="M155" s="25"/>
      <c r="R155" s="7"/>
      <c r="S155" s="7"/>
      <c r="U155" s="22"/>
    </row>
    <row r="156" spans="6:21" x14ac:dyDescent="0.25">
      <c r="F156" s="25"/>
      <c r="R156" s="7"/>
      <c r="S156" s="7"/>
      <c r="U156" s="22"/>
    </row>
    <row r="157" spans="6:21" x14ac:dyDescent="0.25">
      <c r="F157" s="25"/>
      <c r="M157" s="25"/>
      <c r="R157" s="7"/>
      <c r="S157" s="7"/>
      <c r="U157" s="22"/>
    </row>
    <row r="158" spans="6:21" x14ac:dyDescent="0.25">
      <c r="F158" s="25"/>
      <c r="M158" s="25"/>
      <c r="R158" s="7"/>
      <c r="S158" s="7"/>
      <c r="U158" s="22"/>
    </row>
    <row r="159" spans="6:21" x14ac:dyDescent="0.25">
      <c r="F159" s="25"/>
      <c r="M159" s="25"/>
      <c r="R159" s="7"/>
      <c r="S159" s="7"/>
      <c r="U159" s="22"/>
    </row>
    <row r="160" spans="6:21" x14ac:dyDescent="0.25">
      <c r="F160" s="25"/>
      <c r="M160" s="25"/>
      <c r="R160" s="7"/>
      <c r="S160" s="7"/>
      <c r="U160" s="22"/>
    </row>
    <row r="161" spans="6:21" x14ac:dyDescent="0.25">
      <c r="F161" s="25"/>
      <c r="R161" s="7"/>
      <c r="S161" s="7"/>
      <c r="U161" s="22"/>
    </row>
    <row r="162" spans="6:21" x14ac:dyDescent="0.25">
      <c r="F162" s="25"/>
      <c r="R162" s="7"/>
      <c r="S162" s="7"/>
      <c r="U162" s="22"/>
    </row>
    <row r="163" spans="6:21" x14ac:dyDescent="0.25">
      <c r="F163" s="25"/>
      <c r="M163" s="25"/>
      <c r="R163" s="7"/>
      <c r="S163" s="7"/>
      <c r="U163" s="22"/>
    </row>
    <row r="164" spans="6:21" x14ac:dyDescent="0.25">
      <c r="F164" s="25"/>
      <c r="M164" s="25"/>
      <c r="R164" s="7"/>
      <c r="S164" s="7"/>
      <c r="U164" s="22"/>
    </row>
    <row r="165" spans="6:21" x14ac:dyDescent="0.25">
      <c r="F165" s="25"/>
      <c r="M165" s="25"/>
      <c r="R165" s="7"/>
      <c r="S165" s="7"/>
      <c r="U165" s="22"/>
    </row>
    <row r="166" spans="6:21" x14ac:dyDescent="0.25">
      <c r="F166" s="25"/>
      <c r="M166" s="25"/>
      <c r="R166" s="7"/>
      <c r="S166" s="7"/>
      <c r="U166" s="22"/>
    </row>
    <row r="167" spans="6:21" x14ac:dyDescent="0.25">
      <c r="F167" s="25"/>
      <c r="M167" s="25"/>
      <c r="R167" s="7"/>
      <c r="S167" s="7"/>
      <c r="U167" s="22"/>
    </row>
    <row r="168" spans="6:21" x14ac:dyDescent="0.25">
      <c r="F168" s="25"/>
      <c r="M168" s="25"/>
      <c r="R168" s="7"/>
      <c r="S168" s="7"/>
      <c r="U168" s="22"/>
    </row>
    <row r="169" spans="6:21" x14ac:dyDescent="0.25">
      <c r="F169" s="25"/>
      <c r="M169" s="25"/>
      <c r="R169" s="7"/>
      <c r="S169" s="7"/>
      <c r="U169" s="22"/>
    </row>
    <row r="170" spans="6:21" x14ac:dyDescent="0.25">
      <c r="F170" s="25"/>
      <c r="R170" s="7"/>
      <c r="S170" s="7"/>
      <c r="U170" s="22"/>
    </row>
    <row r="171" spans="6:21" x14ac:dyDescent="0.25">
      <c r="F171" s="25"/>
      <c r="R171" s="7"/>
      <c r="S171" s="7"/>
      <c r="U171" s="22"/>
    </row>
    <row r="172" spans="6:21" x14ac:dyDescent="0.25">
      <c r="F172" s="25"/>
      <c r="R172" s="7"/>
      <c r="S172" s="7"/>
      <c r="U172" s="22"/>
    </row>
    <row r="173" spans="6:21" x14ac:dyDescent="0.25">
      <c r="F173" s="25"/>
      <c r="R173" s="7"/>
      <c r="S173" s="7"/>
      <c r="U173" s="22"/>
    </row>
    <row r="174" spans="6:21" x14ac:dyDescent="0.25">
      <c r="F174" s="25"/>
      <c r="R174" s="7"/>
      <c r="S174" s="7"/>
      <c r="U174" s="22"/>
    </row>
    <row r="175" spans="6:21" x14ac:dyDescent="0.25">
      <c r="F175" s="25"/>
      <c r="R175" s="7"/>
      <c r="S175" s="7"/>
      <c r="U175" s="22"/>
    </row>
    <row r="176" spans="6:21" x14ac:dyDescent="0.25">
      <c r="F176" s="25"/>
      <c r="R176" s="7"/>
      <c r="S176" s="7"/>
      <c r="U176" s="22"/>
    </row>
    <row r="177" spans="6:21" x14ac:dyDescent="0.25">
      <c r="F177" s="25"/>
      <c r="R177" s="7"/>
      <c r="S177" s="7"/>
      <c r="U177" s="22"/>
    </row>
    <row r="178" spans="6:21" x14ac:dyDescent="0.25">
      <c r="F178" s="25"/>
      <c r="M178" s="25"/>
      <c r="R178" s="7"/>
      <c r="S178" s="7"/>
      <c r="U178" s="22"/>
    </row>
    <row r="179" spans="6:21" x14ac:dyDescent="0.25">
      <c r="F179" s="25"/>
      <c r="M179" s="25"/>
      <c r="R179" s="7"/>
      <c r="S179" s="7"/>
      <c r="U179" s="22"/>
    </row>
    <row r="180" spans="6:21" x14ac:dyDescent="0.25">
      <c r="F180" s="25"/>
      <c r="R180" s="7"/>
      <c r="S180" s="7"/>
      <c r="U180" s="22"/>
    </row>
    <row r="181" spans="6:21" x14ac:dyDescent="0.25">
      <c r="F181" s="25"/>
      <c r="R181" s="7"/>
      <c r="S181" s="7"/>
      <c r="U181" s="22"/>
    </row>
    <row r="182" spans="6:21" x14ac:dyDescent="0.25">
      <c r="F182" s="25"/>
      <c r="M182" s="25"/>
      <c r="R182" s="7"/>
      <c r="S182" s="7"/>
      <c r="U182" s="22"/>
    </row>
    <row r="183" spans="6:21" x14ac:dyDescent="0.25">
      <c r="F183" s="25"/>
      <c r="R183" s="7"/>
      <c r="S183" s="7"/>
      <c r="U183" s="22"/>
    </row>
    <row r="184" spans="6:21" x14ac:dyDescent="0.25">
      <c r="F184" s="25"/>
      <c r="R184" s="7"/>
      <c r="S184" s="7"/>
      <c r="U184" s="22"/>
    </row>
    <row r="185" spans="6:21" x14ac:dyDescent="0.25">
      <c r="F185" s="25"/>
      <c r="R185" s="7"/>
      <c r="S185" s="7"/>
      <c r="U185" s="22"/>
    </row>
    <row r="186" spans="6:21" x14ac:dyDescent="0.25">
      <c r="F186" s="25"/>
      <c r="R186" s="7"/>
      <c r="S186" s="7"/>
      <c r="U186" s="22"/>
    </row>
    <row r="187" spans="6:21" x14ac:dyDescent="0.25">
      <c r="F187" s="25"/>
      <c r="M187" s="25"/>
      <c r="R187" s="7"/>
      <c r="S187" s="7"/>
      <c r="U187" s="22"/>
    </row>
    <row r="188" spans="6:21" x14ac:dyDescent="0.25">
      <c r="F188" s="25"/>
      <c r="M188" s="25"/>
      <c r="R188" s="7"/>
      <c r="S188" s="7"/>
      <c r="U188" s="22"/>
    </row>
    <row r="189" spans="6:21" x14ac:dyDescent="0.25">
      <c r="F189" s="25"/>
      <c r="M189" s="25"/>
      <c r="R189" s="7"/>
      <c r="S189" s="7"/>
      <c r="U189" s="22"/>
    </row>
    <row r="190" spans="6:21" x14ac:dyDescent="0.25">
      <c r="F190" s="25"/>
      <c r="M190" s="25"/>
      <c r="R190" s="7"/>
      <c r="S190" s="7"/>
      <c r="U190" s="22"/>
    </row>
    <row r="191" spans="6:21" x14ac:dyDescent="0.25">
      <c r="F191" s="25"/>
      <c r="R191" s="7"/>
      <c r="S191" s="7"/>
      <c r="U191" s="22"/>
    </row>
    <row r="192" spans="6:21" x14ac:dyDescent="0.25">
      <c r="F192" s="25"/>
      <c r="M192" s="25"/>
      <c r="R192" s="7"/>
      <c r="S192" s="7"/>
      <c r="U192" s="22"/>
    </row>
    <row r="193" spans="6:21" x14ac:dyDescent="0.25">
      <c r="F193" s="25"/>
      <c r="M193" s="25"/>
      <c r="R193" s="7"/>
      <c r="S193" s="7"/>
      <c r="U193" s="22"/>
    </row>
    <row r="194" spans="6:21" x14ac:dyDescent="0.25">
      <c r="F194" s="25"/>
      <c r="R194" s="7"/>
      <c r="S194" s="7"/>
      <c r="U194" s="22"/>
    </row>
    <row r="195" spans="6:21" x14ac:dyDescent="0.25">
      <c r="F195" s="25"/>
      <c r="R195" s="7"/>
      <c r="S195" s="7"/>
      <c r="U195" s="22"/>
    </row>
    <row r="196" spans="6:21" x14ac:dyDescent="0.25">
      <c r="F196" s="25"/>
      <c r="M196" s="25"/>
      <c r="R196" s="7"/>
      <c r="S196" s="7"/>
      <c r="U196" s="22"/>
    </row>
    <row r="197" spans="6:21" x14ac:dyDescent="0.25">
      <c r="F197" s="25"/>
      <c r="R197" s="7"/>
      <c r="S197" s="7"/>
      <c r="U197" s="22"/>
    </row>
    <row r="198" spans="6:21" x14ac:dyDescent="0.25">
      <c r="F198" s="25"/>
      <c r="R198" s="7"/>
      <c r="S198" s="7"/>
      <c r="U198" s="22"/>
    </row>
    <row r="199" spans="6:21" x14ac:dyDescent="0.25">
      <c r="F199" s="25"/>
      <c r="R199" s="7"/>
      <c r="S199" s="7"/>
      <c r="U199" s="22"/>
    </row>
    <row r="200" spans="6:21" x14ac:dyDescent="0.25">
      <c r="F200" s="25"/>
      <c r="M200" s="25"/>
      <c r="R200" s="7"/>
      <c r="S200" s="7"/>
      <c r="U200" s="22"/>
    </row>
    <row r="201" spans="6:21" x14ac:dyDescent="0.25">
      <c r="F201" s="25"/>
      <c r="R201" s="7"/>
      <c r="S201" s="7"/>
      <c r="U201" s="22"/>
    </row>
    <row r="202" spans="6:21" x14ac:dyDescent="0.25">
      <c r="F202" s="25"/>
      <c r="M202" s="25"/>
      <c r="R202" s="7"/>
      <c r="S202" s="7"/>
      <c r="U202" s="22"/>
    </row>
    <row r="203" spans="6:21" x14ac:dyDescent="0.25">
      <c r="F203" s="25"/>
      <c r="M203" s="25"/>
      <c r="R203" s="7"/>
      <c r="S203" s="7"/>
      <c r="U203" s="22"/>
    </row>
    <row r="204" spans="6:21" x14ac:dyDescent="0.25">
      <c r="F204" s="25"/>
      <c r="M204" s="25"/>
      <c r="R204" s="7"/>
      <c r="S204" s="7"/>
      <c r="U204" s="22"/>
    </row>
    <row r="205" spans="6:21" x14ac:dyDescent="0.25">
      <c r="F205" s="25"/>
      <c r="R205" s="7"/>
      <c r="S205" s="7"/>
      <c r="U205" s="22"/>
    </row>
    <row r="206" spans="6:21" x14ac:dyDescent="0.25">
      <c r="F206" s="25"/>
      <c r="M206" s="25"/>
      <c r="R206" s="7"/>
      <c r="S206" s="7"/>
      <c r="U206" s="22"/>
    </row>
    <row r="207" spans="6:21" x14ac:dyDescent="0.25">
      <c r="F207" s="25"/>
      <c r="M207" s="25"/>
      <c r="R207" s="7"/>
      <c r="S207" s="7"/>
      <c r="U207" s="22"/>
    </row>
    <row r="208" spans="6:21" x14ac:dyDescent="0.25">
      <c r="F208" s="25"/>
      <c r="M208" s="25"/>
      <c r="R208" s="7"/>
      <c r="S208" s="7"/>
      <c r="U208" s="22"/>
    </row>
    <row r="209" spans="6:21" x14ac:dyDescent="0.25">
      <c r="F209" s="25"/>
      <c r="M209" s="25"/>
      <c r="R209" s="7"/>
      <c r="S209" s="7"/>
      <c r="U209" s="22"/>
    </row>
    <row r="210" spans="6:21" x14ac:dyDescent="0.25">
      <c r="F210" s="25"/>
      <c r="M210" s="25"/>
      <c r="R210" s="7"/>
      <c r="S210" s="7"/>
      <c r="U210" s="22"/>
    </row>
    <row r="211" spans="6:21" x14ac:dyDescent="0.25">
      <c r="F211" s="25"/>
      <c r="M211" s="25"/>
      <c r="R211" s="7"/>
      <c r="S211" s="7"/>
      <c r="U211" s="22"/>
    </row>
    <row r="212" spans="6:21" x14ac:dyDescent="0.25">
      <c r="F212" s="25"/>
      <c r="M212" s="25"/>
      <c r="R212" s="7"/>
      <c r="S212" s="7"/>
      <c r="U212" s="22"/>
    </row>
    <row r="213" spans="6:21" x14ac:dyDescent="0.25">
      <c r="F213" s="25"/>
      <c r="M213" s="25"/>
      <c r="R213" s="7"/>
      <c r="S213" s="7"/>
      <c r="U213" s="22"/>
    </row>
    <row r="214" spans="6:21" x14ac:dyDescent="0.25">
      <c r="F214" s="25"/>
      <c r="M214" s="25"/>
      <c r="R214" s="7"/>
      <c r="S214" s="7"/>
      <c r="U214" s="22"/>
    </row>
    <row r="215" spans="6:21" x14ac:dyDescent="0.25">
      <c r="F215" s="25"/>
      <c r="R215" s="7"/>
      <c r="S215" s="7"/>
      <c r="U215" s="22"/>
    </row>
    <row r="216" spans="6:21" x14ac:dyDescent="0.25">
      <c r="F216" s="25"/>
      <c r="M216" s="25"/>
      <c r="R216" s="7"/>
      <c r="S216" s="7"/>
      <c r="U216" s="22"/>
    </row>
    <row r="217" spans="6:21" x14ac:dyDescent="0.25">
      <c r="F217" s="25"/>
      <c r="M217" s="25"/>
      <c r="R217" s="7"/>
      <c r="S217" s="7"/>
      <c r="U217" s="22"/>
    </row>
    <row r="218" spans="6:21" x14ac:dyDescent="0.25">
      <c r="F218" s="25"/>
      <c r="R218" s="7"/>
      <c r="S218" s="7"/>
      <c r="U218" s="22"/>
    </row>
    <row r="219" spans="6:21" x14ac:dyDescent="0.25">
      <c r="F219" s="25"/>
      <c r="M219" s="25"/>
      <c r="R219" s="7"/>
      <c r="S219" s="7"/>
      <c r="U219" s="22"/>
    </row>
    <row r="220" spans="6:21" x14ac:dyDescent="0.25">
      <c r="F220" s="25"/>
      <c r="M220" s="25"/>
      <c r="R220" s="7"/>
      <c r="S220" s="7"/>
      <c r="U220" s="22"/>
    </row>
    <row r="221" spans="6:21" x14ac:dyDescent="0.25">
      <c r="F221" s="25"/>
      <c r="R221" s="7"/>
      <c r="S221" s="7"/>
      <c r="U221" s="22"/>
    </row>
    <row r="222" spans="6:21" x14ac:dyDescent="0.25">
      <c r="F222" s="25"/>
      <c r="M222" s="25"/>
      <c r="R222" s="7"/>
      <c r="S222" s="7"/>
      <c r="U222" s="22"/>
    </row>
    <row r="223" spans="6:21" x14ac:dyDescent="0.25">
      <c r="F223" s="25"/>
      <c r="R223" s="7"/>
      <c r="S223" s="7"/>
      <c r="U223" s="22"/>
    </row>
    <row r="224" spans="6:21" x14ac:dyDescent="0.25">
      <c r="F224" s="25"/>
      <c r="M224" s="25"/>
      <c r="R224" s="7"/>
      <c r="S224" s="7"/>
      <c r="U224" s="22"/>
    </row>
    <row r="225" spans="6:21" x14ac:dyDescent="0.25">
      <c r="F225" s="25"/>
      <c r="M225" s="25"/>
      <c r="R225" s="7"/>
      <c r="S225" s="7"/>
      <c r="U225" s="22"/>
    </row>
    <row r="226" spans="6:21" x14ac:dyDescent="0.25">
      <c r="F226" s="25"/>
      <c r="M226" s="25"/>
      <c r="R226" s="7"/>
      <c r="S226" s="7"/>
      <c r="U226" s="22"/>
    </row>
    <row r="227" spans="6:21" x14ac:dyDescent="0.25">
      <c r="F227" s="25"/>
      <c r="M227" s="25"/>
      <c r="R227" s="7"/>
      <c r="S227" s="7"/>
      <c r="U227" s="22"/>
    </row>
    <row r="228" spans="6:21" x14ac:dyDescent="0.25">
      <c r="F228" s="25"/>
      <c r="R228" s="7"/>
      <c r="S228" s="7"/>
      <c r="U228" s="22"/>
    </row>
    <row r="229" spans="6:21" x14ac:dyDescent="0.25">
      <c r="F229" s="25"/>
      <c r="R229" s="7"/>
      <c r="S229" s="7"/>
      <c r="U229" s="22"/>
    </row>
    <row r="230" spans="6:21" x14ac:dyDescent="0.25">
      <c r="F230" s="25"/>
      <c r="R230" s="7"/>
      <c r="S230" s="7"/>
      <c r="U230" s="22"/>
    </row>
    <row r="231" spans="6:21" x14ac:dyDescent="0.25">
      <c r="F231" s="25"/>
      <c r="M231" s="25"/>
      <c r="R231" s="7"/>
      <c r="S231" s="7"/>
      <c r="U231" s="22"/>
    </row>
    <row r="232" spans="6:21" x14ac:dyDescent="0.25">
      <c r="F232" s="25"/>
      <c r="M232" s="25"/>
      <c r="R232" s="7"/>
      <c r="S232" s="7"/>
      <c r="U232" s="22"/>
    </row>
    <row r="233" spans="6:21" x14ac:dyDescent="0.25">
      <c r="F233" s="25"/>
      <c r="M233" s="25"/>
      <c r="R233" s="7"/>
      <c r="S233" s="7"/>
      <c r="U233" s="22"/>
    </row>
    <row r="234" spans="6:21" x14ac:dyDescent="0.25">
      <c r="F234" s="25"/>
      <c r="R234" s="7"/>
      <c r="S234" s="7"/>
      <c r="U234" s="22"/>
    </row>
    <row r="235" spans="6:21" x14ac:dyDescent="0.25">
      <c r="F235" s="25"/>
      <c r="M235" s="25"/>
      <c r="R235" s="7"/>
      <c r="S235" s="7"/>
      <c r="U235" s="22"/>
    </row>
    <row r="236" spans="6:21" x14ac:dyDescent="0.25">
      <c r="F236" s="25"/>
      <c r="M236" s="25"/>
      <c r="R236" s="7"/>
      <c r="S236" s="7"/>
      <c r="U236" s="22"/>
    </row>
    <row r="237" spans="6:21" x14ac:dyDescent="0.25">
      <c r="F237" s="25"/>
      <c r="R237" s="7"/>
      <c r="S237" s="7"/>
      <c r="U237" s="22"/>
    </row>
    <row r="238" spans="6:21" x14ac:dyDescent="0.25">
      <c r="F238" s="25"/>
      <c r="M238" s="25"/>
      <c r="R238" s="7"/>
      <c r="S238" s="7"/>
      <c r="U238" s="22"/>
    </row>
    <row r="239" spans="6:21" x14ac:dyDescent="0.25">
      <c r="F239" s="25"/>
      <c r="M239" s="25"/>
      <c r="R239" s="7"/>
      <c r="S239" s="7"/>
      <c r="U239" s="22"/>
    </row>
    <row r="240" spans="6:21" x14ac:dyDescent="0.25">
      <c r="F240" s="25"/>
      <c r="R240" s="7"/>
      <c r="S240" s="7"/>
      <c r="U240" s="22"/>
    </row>
    <row r="241" spans="6:21" x14ac:dyDescent="0.25">
      <c r="F241" s="25"/>
      <c r="R241" s="7"/>
      <c r="S241" s="7"/>
      <c r="U241" s="22"/>
    </row>
    <row r="242" spans="6:21" x14ac:dyDescent="0.25">
      <c r="F242" s="25"/>
      <c r="R242" s="7"/>
      <c r="S242" s="7"/>
      <c r="U242" s="22"/>
    </row>
    <row r="243" spans="6:21" x14ac:dyDescent="0.25">
      <c r="F243" s="25"/>
      <c r="M243" s="25"/>
      <c r="R243" s="7"/>
      <c r="S243" s="7"/>
      <c r="U243" s="22"/>
    </row>
    <row r="244" spans="6:21" x14ac:dyDescent="0.25">
      <c r="F244" s="25"/>
      <c r="R244" s="7"/>
      <c r="S244" s="7"/>
      <c r="U244" s="22"/>
    </row>
    <row r="245" spans="6:21" x14ac:dyDescent="0.25">
      <c r="F245" s="25"/>
      <c r="R245" s="7"/>
      <c r="S245" s="7"/>
      <c r="U245" s="22"/>
    </row>
    <row r="246" spans="6:21" x14ac:dyDescent="0.25">
      <c r="F246" s="25"/>
      <c r="M246" s="25"/>
      <c r="R246" s="7"/>
      <c r="S246" s="7"/>
      <c r="U246" s="22"/>
    </row>
    <row r="247" spans="6:21" x14ac:dyDescent="0.25">
      <c r="F247" s="25"/>
      <c r="M247" s="25"/>
      <c r="R247" s="7"/>
      <c r="S247" s="7"/>
      <c r="U247" s="22"/>
    </row>
    <row r="248" spans="6:21" x14ac:dyDescent="0.25">
      <c r="F248" s="25"/>
      <c r="M248" s="25"/>
      <c r="R248" s="7"/>
      <c r="S248" s="7"/>
      <c r="U248" s="22"/>
    </row>
    <row r="249" spans="6:21" x14ac:dyDescent="0.25">
      <c r="F249" s="25"/>
      <c r="R249" s="7"/>
      <c r="S249" s="7"/>
      <c r="U249" s="22"/>
    </row>
    <row r="250" spans="6:21" x14ac:dyDescent="0.25">
      <c r="F250" s="25"/>
      <c r="M250" s="25"/>
      <c r="R250" s="7"/>
      <c r="S250" s="7"/>
      <c r="U250" s="22"/>
    </row>
    <row r="251" spans="6:21" x14ac:dyDescent="0.25">
      <c r="F251" s="25"/>
      <c r="M251" s="25"/>
      <c r="R251" s="7"/>
      <c r="S251" s="7"/>
      <c r="U251" s="22"/>
    </row>
    <row r="252" spans="6:21" x14ac:dyDescent="0.25">
      <c r="F252" s="25"/>
      <c r="M252" s="25"/>
      <c r="R252" s="7"/>
      <c r="S252" s="7"/>
      <c r="U252" s="22"/>
    </row>
    <row r="253" spans="6:21" x14ac:dyDescent="0.25">
      <c r="F253" s="25"/>
      <c r="M253" s="25"/>
      <c r="R253" s="7"/>
      <c r="S253" s="7"/>
      <c r="U253" s="22"/>
    </row>
    <row r="254" spans="6:21" x14ac:dyDescent="0.25">
      <c r="F254" s="25"/>
      <c r="R254" s="7"/>
      <c r="S254" s="7"/>
      <c r="U254" s="22"/>
    </row>
    <row r="255" spans="6:21" x14ac:dyDescent="0.25">
      <c r="F255" s="25"/>
      <c r="M255" s="25"/>
      <c r="R255" s="7"/>
      <c r="S255" s="7"/>
      <c r="U255" s="22"/>
    </row>
    <row r="256" spans="6:21" x14ac:dyDescent="0.25">
      <c r="F256" s="25"/>
      <c r="M256" s="25"/>
      <c r="R256" s="7"/>
      <c r="S256" s="7"/>
      <c r="U256" s="22"/>
    </row>
    <row r="257" spans="6:21" x14ac:dyDescent="0.25">
      <c r="F257" s="25"/>
      <c r="R257" s="7"/>
      <c r="S257" s="7"/>
      <c r="U257" s="22"/>
    </row>
    <row r="258" spans="6:21" x14ac:dyDescent="0.25">
      <c r="F258" s="25"/>
      <c r="M258" s="25"/>
      <c r="R258" s="7"/>
      <c r="S258" s="7"/>
      <c r="U258" s="22"/>
    </row>
    <row r="259" spans="6:21" x14ac:dyDescent="0.25">
      <c r="F259" s="25"/>
      <c r="M259" s="25"/>
      <c r="R259" s="7"/>
      <c r="S259" s="7"/>
      <c r="U259" s="22"/>
    </row>
    <row r="260" spans="6:21" x14ac:dyDescent="0.25">
      <c r="F260" s="25"/>
      <c r="M260" s="25"/>
      <c r="R260" s="7"/>
      <c r="S260" s="7"/>
      <c r="U260" s="22"/>
    </row>
    <row r="261" spans="6:21" x14ac:dyDescent="0.25">
      <c r="F261" s="25"/>
      <c r="R261" s="7"/>
      <c r="S261" s="7"/>
      <c r="U261" s="22"/>
    </row>
    <row r="262" spans="6:21" x14ac:dyDescent="0.25">
      <c r="F262" s="25"/>
      <c r="R262" s="7"/>
      <c r="S262" s="7"/>
      <c r="U262" s="22"/>
    </row>
    <row r="263" spans="6:21" x14ac:dyDescent="0.25">
      <c r="F263" s="25"/>
      <c r="M263" s="25"/>
      <c r="R263" s="7"/>
      <c r="S263" s="7"/>
      <c r="U263" s="22"/>
    </row>
    <row r="264" spans="6:21" x14ac:dyDescent="0.25">
      <c r="F264" s="25"/>
      <c r="M264" s="25"/>
      <c r="R264" s="7"/>
      <c r="S264" s="7"/>
      <c r="U264" s="22"/>
    </row>
    <row r="265" spans="6:21" x14ac:dyDescent="0.25">
      <c r="F265" s="25"/>
      <c r="M265" s="25"/>
      <c r="R265" s="7"/>
      <c r="S265" s="7"/>
      <c r="U265" s="22"/>
    </row>
    <row r="266" spans="6:21" x14ac:dyDescent="0.25">
      <c r="F266" s="25"/>
      <c r="M266" s="25"/>
      <c r="R266" s="7"/>
      <c r="S266" s="7"/>
      <c r="U266" s="22"/>
    </row>
    <row r="267" spans="6:21" x14ac:dyDescent="0.25">
      <c r="F267" s="25"/>
      <c r="M267" s="25"/>
      <c r="R267" s="7"/>
      <c r="S267" s="7"/>
      <c r="U267" s="22"/>
    </row>
    <row r="268" spans="6:21" x14ac:dyDescent="0.25">
      <c r="F268" s="25"/>
      <c r="M268" s="25"/>
      <c r="R268" s="7"/>
      <c r="S268" s="7"/>
      <c r="U268" s="22"/>
    </row>
    <row r="269" spans="6:21" x14ac:dyDescent="0.25">
      <c r="F269" s="25"/>
      <c r="R269" s="7"/>
      <c r="S269" s="7"/>
      <c r="U269" s="22"/>
    </row>
    <row r="270" spans="6:21" x14ac:dyDescent="0.25">
      <c r="F270" s="25"/>
      <c r="R270" s="7"/>
      <c r="S270" s="7"/>
      <c r="U270" s="22"/>
    </row>
    <row r="271" spans="6:21" x14ac:dyDescent="0.25">
      <c r="F271" s="25"/>
      <c r="R271" s="7"/>
      <c r="S271" s="7"/>
      <c r="U271" s="22"/>
    </row>
    <row r="272" spans="6:21" x14ac:dyDescent="0.25">
      <c r="F272" s="25"/>
      <c r="R272" s="7"/>
      <c r="S272" s="7"/>
      <c r="U272" s="22"/>
    </row>
    <row r="273" spans="6:21" x14ac:dyDescent="0.25">
      <c r="F273" s="25"/>
      <c r="R273" s="7"/>
      <c r="S273" s="7"/>
      <c r="U273" s="22"/>
    </row>
    <row r="274" spans="6:21" x14ac:dyDescent="0.25">
      <c r="F274" s="25"/>
      <c r="R274" s="7"/>
      <c r="S274" s="7"/>
      <c r="U274" s="22"/>
    </row>
    <row r="275" spans="6:21" x14ac:dyDescent="0.25">
      <c r="F275" s="25"/>
      <c r="M275" s="25"/>
      <c r="R275" s="7"/>
      <c r="S275" s="7"/>
      <c r="U275" s="22"/>
    </row>
    <row r="276" spans="6:21" x14ac:dyDescent="0.25">
      <c r="F276" s="25"/>
      <c r="M276" s="25"/>
      <c r="R276" s="7"/>
      <c r="S276" s="7"/>
      <c r="U276" s="22"/>
    </row>
    <row r="277" spans="6:21" x14ac:dyDescent="0.25">
      <c r="F277" s="25"/>
      <c r="R277" s="7"/>
      <c r="S277" s="7"/>
      <c r="U277" s="22"/>
    </row>
    <row r="278" spans="6:21" x14ac:dyDescent="0.25">
      <c r="F278" s="25"/>
      <c r="M278" s="25"/>
      <c r="R278" s="7"/>
      <c r="S278" s="7"/>
      <c r="U278" s="22"/>
    </row>
    <row r="279" spans="6:21" x14ac:dyDescent="0.25">
      <c r="F279" s="25"/>
      <c r="R279" s="7"/>
      <c r="S279" s="7"/>
      <c r="U279" s="22"/>
    </row>
    <row r="280" spans="6:21" x14ac:dyDescent="0.25">
      <c r="F280" s="25"/>
      <c r="M280" s="25"/>
      <c r="R280" s="7"/>
      <c r="S280" s="7"/>
      <c r="U280" s="22"/>
    </row>
    <row r="281" spans="6:21" x14ac:dyDescent="0.25">
      <c r="F281" s="25"/>
      <c r="M281" s="25"/>
      <c r="R281" s="7"/>
      <c r="S281" s="7"/>
      <c r="U281" s="22"/>
    </row>
    <row r="282" spans="6:21" x14ac:dyDescent="0.25">
      <c r="F282" s="25"/>
      <c r="R282" s="7"/>
      <c r="S282" s="7"/>
      <c r="U282" s="22"/>
    </row>
    <row r="283" spans="6:21" x14ac:dyDescent="0.25">
      <c r="F283" s="25"/>
      <c r="M283" s="25"/>
      <c r="R283" s="7"/>
      <c r="S283" s="7"/>
      <c r="U283" s="22"/>
    </row>
    <row r="284" spans="6:21" x14ac:dyDescent="0.25">
      <c r="F284" s="25"/>
      <c r="R284" s="7"/>
      <c r="S284" s="7"/>
      <c r="U284" s="22"/>
    </row>
    <row r="285" spans="6:21" x14ac:dyDescent="0.25">
      <c r="F285" s="25"/>
      <c r="R285" s="7"/>
      <c r="S285" s="7"/>
      <c r="U285" s="22"/>
    </row>
    <row r="286" spans="6:21" x14ac:dyDescent="0.25">
      <c r="F286" s="25"/>
      <c r="M286" s="25"/>
      <c r="R286" s="7"/>
      <c r="S286" s="7"/>
      <c r="U286" s="22"/>
    </row>
    <row r="287" spans="6:21" x14ac:dyDescent="0.25">
      <c r="F287" s="25"/>
      <c r="M287" s="25"/>
      <c r="R287" s="7"/>
      <c r="S287" s="7"/>
      <c r="U287" s="22"/>
    </row>
    <row r="288" spans="6:21" x14ac:dyDescent="0.25">
      <c r="F288" s="25"/>
      <c r="M288" s="25"/>
      <c r="R288" s="7"/>
      <c r="S288" s="7"/>
      <c r="U288" s="22"/>
    </row>
    <row r="289" spans="6:21" x14ac:dyDescent="0.25">
      <c r="F289" s="25"/>
      <c r="R289" s="7"/>
      <c r="S289" s="7"/>
      <c r="U289" s="22"/>
    </row>
    <row r="290" spans="6:21" x14ac:dyDescent="0.25">
      <c r="F290" s="25"/>
      <c r="R290" s="7"/>
      <c r="S290" s="7"/>
      <c r="U290" s="22"/>
    </row>
    <row r="291" spans="6:21" x14ac:dyDescent="0.25">
      <c r="F291" s="25"/>
      <c r="M291" s="25"/>
      <c r="R291" s="7"/>
      <c r="S291" s="7"/>
      <c r="U291" s="22"/>
    </row>
    <row r="292" spans="6:21" x14ac:dyDescent="0.25">
      <c r="F292" s="25"/>
      <c r="M292" s="25"/>
      <c r="R292" s="7"/>
      <c r="S292" s="7"/>
      <c r="U292" s="22"/>
    </row>
    <row r="293" spans="6:21" x14ac:dyDescent="0.25">
      <c r="F293" s="25"/>
      <c r="M293" s="25"/>
      <c r="R293" s="7"/>
      <c r="S293" s="7"/>
      <c r="U293" s="22"/>
    </row>
    <row r="294" spans="6:21" x14ac:dyDescent="0.25">
      <c r="F294" s="25"/>
      <c r="M294" s="25"/>
      <c r="R294" s="7"/>
      <c r="S294" s="7"/>
      <c r="U294" s="22"/>
    </row>
    <row r="295" spans="6:21" x14ac:dyDescent="0.25">
      <c r="F295" s="25"/>
      <c r="R295" s="7"/>
      <c r="S295" s="7"/>
      <c r="U295" s="22"/>
    </row>
    <row r="296" spans="6:21" x14ac:dyDescent="0.25">
      <c r="F296" s="25"/>
      <c r="M296" s="25"/>
      <c r="R296" s="7"/>
      <c r="S296" s="7"/>
      <c r="U296" s="22"/>
    </row>
    <row r="297" spans="6:21" x14ac:dyDescent="0.25">
      <c r="F297" s="25"/>
      <c r="M297" s="25"/>
      <c r="R297" s="7"/>
      <c r="S297" s="7"/>
      <c r="U297" s="22"/>
    </row>
    <row r="298" spans="6:21" x14ac:dyDescent="0.25">
      <c r="F298" s="25"/>
      <c r="R298" s="7"/>
      <c r="S298" s="7"/>
      <c r="U298" s="22"/>
    </row>
    <row r="299" spans="6:21" x14ac:dyDescent="0.25">
      <c r="F299" s="25"/>
      <c r="M299" s="25"/>
      <c r="R299" s="7"/>
      <c r="S299" s="7"/>
      <c r="U299" s="22"/>
    </row>
    <row r="300" spans="6:21" x14ac:dyDescent="0.25">
      <c r="F300" s="25"/>
      <c r="R300" s="7"/>
      <c r="S300" s="7"/>
      <c r="U300" s="22"/>
    </row>
    <row r="301" spans="6:21" x14ac:dyDescent="0.25">
      <c r="F301" s="25"/>
      <c r="R301" s="7"/>
      <c r="S301" s="7"/>
      <c r="U301" s="22"/>
    </row>
    <row r="302" spans="6:21" x14ac:dyDescent="0.25">
      <c r="F302" s="25"/>
      <c r="R302" s="7"/>
      <c r="S302" s="7"/>
      <c r="U302" s="22"/>
    </row>
    <row r="303" spans="6:21" x14ac:dyDescent="0.25">
      <c r="F303" s="25"/>
      <c r="M303" s="25"/>
      <c r="R303" s="7"/>
      <c r="S303" s="7"/>
      <c r="U303" s="22"/>
    </row>
    <row r="304" spans="6:21" x14ac:dyDescent="0.25">
      <c r="F304" s="25"/>
      <c r="M304" s="25"/>
      <c r="R304" s="7"/>
      <c r="S304" s="7"/>
      <c r="U304" s="22"/>
    </row>
    <row r="305" spans="6:21" x14ac:dyDescent="0.25">
      <c r="F305" s="25"/>
      <c r="M305" s="25"/>
      <c r="R305" s="7"/>
      <c r="S305" s="7"/>
      <c r="U305" s="22"/>
    </row>
    <row r="306" spans="6:21" x14ac:dyDescent="0.25">
      <c r="F306" s="25"/>
      <c r="M306" s="25"/>
      <c r="R306" s="7"/>
      <c r="S306" s="7"/>
      <c r="U306" s="22"/>
    </row>
    <row r="307" spans="6:21" x14ac:dyDescent="0.25">
      <c r="F307" s="25"/>
      <c r="M307" s="25"/>
      <c r="R307" s="7"/>
      <c r="S307" s="7"/>
      <c r="U307" s="22"/>
    </row>
    <row r="308" spans="6:21" x14ac:dyDescent="0.25">
      <c r="F308" s="25"/>
      <c r="R308" s="7"/>
      <c r="S308" s="7"/>
      <c r="U308" s="22"/>
    </row>
    <row r="309" spans="6:21" x14ac:dyDescent="0.25">
      <c r="F309" s="25"/>
      <c r="M309" s="25"/>
      <c r="R309" s="7"/>
      <c r="S309" s="7"/>
      <c r="U309" s="22"/>
    </row>
    <row r="310" spans="6:21" x14ac:dyDescent="0.25">
      <c r="F310" s="25"/>
      <c r="M310" s="25"/>
      <c r="R310" s="7"/>
      <c r="S310" s="7"/>
      <c r="U310" s="22"/>
    </row>
    <row r="311" spans="6:21" x14ac:dyDescent="0.25">
      <c r="F311" s="25"/>
      <c r="M311" s="25"/>
      <c r="R311" s="7"/>
      <c r="S311" s="7"/>
      <c r="U311" s="22"/>
    </row>
    <row r="312" spans="6:21" x14ac:dyDescent="0.25">
      <c r="F312" s="25"/>
      <c r="M312" s="25"/>
      <c r="R312" s="7"/>
      <c r="S312" s="7"/>
      <c r="U312" s="22"/>
    </row>
    <row r="313" spans="6:21" x14ac:dyDescent="0.25">
      <c r="F313" s="25"/>
      <c r="M313" s="25"/>
      <c r="R313" s="7"/>
      <c r="S313" s="7"/>
      <c r="U313" s="22"/>
    </row>
    <row r="314" spans="6:21" x14ac:dyDescent="0.25">
      <c r="F314" s="25"/>
      <c r="M314" s="25"/>
      <c r="R314" s="7"/>
      <c r="S314" s="7"/>
      <c r="U314" s="22"/>
    </row>
    <row r="315" spans="6:21" x14ac:dyDescent="0.25">
      <c r="F315" s="25"/>
      <c r="M315" s="25"/>
      <c r="R315" s="7"/>
      <c r="S315" s="7"/>
      <c r="U315" s="22"/>
    </row>
    <row r="316" spans="6:21" x14ac:dyDescent="0.25">
      <c r="F316" s="25"/>
      <c r="R316" s="7"/>
      <c r="S316" s="7"/>
      <c r="U316" s="22"/>
    </row>
    <row r="317" spans="6:21" x14ac:dyDescent="0.25">
      <c r="F317" s="25"/>
      <c r="M317" s="25"/>
      <c r="R317" s="7"/>
      <c r="S317" s="7"/>
      <c r="U317" s="22"/>
    </row>
    <row r="318" spans="6:21" x14ac:dyDescent="0.25">
      <c r="F318" s="25"/>
      <c r="R318" s="7"/>
      <c r="S318" s="7"/>
      <c r="U318" s="22"/>
    </row>
    <row r="319" spans="6:21" x14ac:dyDescent="0.25">
      <c r="F319" s="25"/>
      <c r="R319" s="7"/>
      <c r="S319" s="7"/>
      <c r="U319" s="22"/>
    </row>
    <row r="320" spans="6:21" x14ac:dyDescent="0.25">
      <c r="F320" s="25"/>
      <c r="M320" s="25"/>
      <c r="R320" s="7"/>
      <c r="S320" s="7"/>
      <c r="U320" s="22"/>
    </row>
    <row r="321" spans="6:21" x14ac:dyDescent="0.25">
      <c r="F321" s="25"/>
      <c r="M321" s="25"/>
      <c r="R321" s="7"/>
      <c r="S321" s="7"/>
      <c r="U321" s="22"/>
    </row>
    <row r="322" spans="6:21" x14ac:dyDescent="0.25">
      <c r="F322" s="25"/>
      <c r="R322" s="7"/>
      <c r="S322" s="7"/>
      <c r="U322" s="22"/>
    </row>
    <row r="323" spans="6:21" x14ac:dyDescent="0.25">
      <c r="F323" s="25"/>
      <c r="M323" s="25"/>
      <c r="R323" s="7"/>
      <c r="S323" s="7"/>
      <c r="U323" s="22"/>
    </row>
    <row r="324" spans="6:21" x14ac:dyDescent="0.25">
      <c r="F324" s="25"/>
      <c r="M324" s="25"/>
      <c r="R324" s="7"/>
      <c r="S324" s="7"/>
      <c r="U324" s="22"/>
    </row>
    <row r="325" spans="6:21" x14ac:dyDescent="0.25">
      <c r="F325" s="25"/>
      <c r="M325" s="25"/>
      <c r="R325" s="7"/>
      <c r="S325" s="7"/>
      <c r="U325" s="22"/>
    </row>
    <row r="326" spans="6:21" x14ac:dyDescent="0.25">
      <c r="F326" s="25"/>
      <c r="M326" s="25"/>
      <c r="R326" s="7"/>
      <c r="S326" s="7"/>
      <c r="U326" s="22"/>
    </row>
    <row r="327" spans="6:21" x14ac:dyDescent="0.25">
      <c r="F327" s="25"/>
      <c r="M327" s="25"/>
      <c r="R327" s="7"/>
      <c r="S327" s="7"/>
      <c r="U327" s="22"/>
    </row>
    <row r="328" spans="6:21" x14ac:dyDescent="0.25">
      <c r="F328" s="25"/>
      <c r="M328" s="25"/>
      <c r="R328" s="7"/>
      <c r="S328" s="7"/>
      <c r="U328" s="22"/>
    </row>
    <row r="329" spans="6:21" x14ac:dyDescent="0.25">
      <c r="F329" s="25"/>
      <c r="R329" s="7"/>
      <c r="S329" s="7"/>
      <c r="U329" s="22"/>
    </row>
    <row r="330" spans="6:21" x14ac:dyDescent="0.25">
      <c r="F330" s="25"/>
      <c r="M330" s="25"/>
      <c r="R330" s="7"/>
      <c r="S330" s="7"/>
      <c r="U330" s="22"/>
    </row>
    <row r="331" spans="6:21" x14ac:dyDescent="0.25">
      <c r="F331" s="25"/>
      <c r="M331" s="25"/>
      <c r="R331" s="7"/>
      <c r="S331" s="7"/>
      <c r="U331" s="22"/>
    </row>
    <row r="332" spans="6:21" x14ac:dyDescent="0.25">
      <c r="F332" s="25"/>
      <c r="M332" s="25"/>
      <c r="R332" s="7"/>
      <c r="S332" s="7"/>
      <c r="U332" s="22"/>
    </row>
    <row r="333" spans="6:21" x14ac:dyDescent="0.25">
      <c r="F333" s="25"/>
      <c r="R333" s="7"/>
      <c r="S333" s="7"/>
      <c r="U333" s="22"/>
    </row>
    <row r="334" spans="6:21" x14ac:dyDescent="0.25">
      <c r="F334" s="25"/>
      <c r="M334" s="25"/>
      <c r="R334" s="7"/>
      <c r="S334" s="7"/>
      <c r="U334" s="22"/>
    </row>
    <row r="335" spans="6:21" x14ac:dyDescent="0.25">
      <c r="F335" s="25"/>
      <c r="M335" s="25"/>
      <c r="R335" s="7"/>
      <c r="S335" s="7"/>
      <c r="U335" s="22"/>
    </row>
    <row r="336" spans="6:21" x14ac:dyDescent="0.25">
      <c r="F336" s="25"/>
      <c r="R336" s="7"/>
      <c r="S336" s="7"/>
      <c r="U336" s="22"/>
    </row>
    <row r="337" spans="6:21" x14ac:dyDescent="0.25">
      <c r="F337" s="25"/>
      <c r="R337" s="7"/>
      <c r="S337" s="7"/>
      <c r="U337" s="22"/>
    </row>
    <row r="338" spans="6:21" x14ac:dyDescent="0.25">
      <c r="F338" s="25"/>
      <c r="M338" s="25"/>
      <c r="R338" s="7"/>
      <c r="S338" s="7"/>
      <c r="U338" s="22"/>
    </row>
    <row r="339" spans="6:21" x14ac:dyDescent="0.25">
      <c r="F339" s="25"/>
      <c r="R339" s="7"/>
      <c r="S339" s="7"/>
      <c r="U339" s="22"/>
    </row>
    <row r="340" spans="6:21" x14ac:dyDescent="0.25">
      <c r="F340" s="25"/>
      <c r="R340" s="7"/>
      <c r="S340" s="7"/>
      <c r="U340" s="22"/>
    </row>
    <row r="341" spans="6:21" x14ac:dyDescent="0.25">
      <c r="F341" s="25"/>
      <c r="M341" s="25"/>
      <c r="R341" s="7"/>
      <c r="S341" s="7"/>
      <c r="U341" s="22"/>
    </row>
    <row r="342" spans="6:21" x14ac:dyDescent="0.25">
      <c r="F342" s="25"/>
      <c r="M342" s="25"/>
      <c r="R342" s="7"/>
      <c r="S342" s="7"/>
      <c r="U342" s="22"/>
    </row>
    <row r="343" spans="6:21" x14ac:dyDescent="0.25">
      <c r="F343" s="25"/>
      <c r="M343" s="25"/>
      <c r="R343" s="7"/>
      <c r="S343" s="7"/>
      <c r="U343" s="22"/>
    </row>
    <row r="344" spans="6:21" x14ac:dyDescent="0.25">
      <c r="F344" s="25"/>
      <c r="M344" s="25"/>
      <c r="R344" s="7"/>
      <c r="S344" s="7"/>
      <c r="U344" s="22"/>
    </row>
    <row r="345" spans="6:21" x14ac:dyDescent="0.25">
      <c r="F345" s="25"/>
      <c r="M345" s="25"/>
      <c r="R345" s="7"/>
      <c r="S345" s="7"/>
      <c r="U345" s="22"/>
    </row>
    <row r="346" spans="6:21" x14ac:dyDescent="0.25">
      <c r="F346" s="25"/>
      <c r="R346" s="7"/>
      <c r="S346" s="7"/>
      <c r="U346" s="22"/>
    </row>
    <row r="347" spans="6:21" x14ac:dyDescent="0.25">
      <c r="F347" s="25"/>
      <c r="M347" s="25"/>
      <c r="R347" s="7"/>
      <c r="S347" s="7"/>
      <c r="U347" s="22"/>
    </row>
    <row r="348" spans="6:21" x14ac:dyDescent="0.25">
      <c r="F348" s="25"/>
      <c r="M348" s="25"/>
      <c r="R348" s="7"/>
      <c r="S348" s="7"/>
      <c r="U348" s="22"/>
    </row>
    <row r="349" spans="6:21" x14ac:dyDescent="0.25">
      <c r="F349" s="25"/>
      <c r="R349" s="7"/>
      <c r="S349" s="7"/>
      <c r="U349" s="22"/>
    </row>
    <row r="350" spans="6:21" x14ac:dyDescent="0.25">
      <c r="F350" s="25"/>
      <c r="M350" s="25"/>
      <c r="R350" s="7"/>
      <c r="S350" s="7"/>
      <c r="U350" s="22"/>
    </row>
    <row r="351" spans="6:21" x14ac:dyDescent="0.25">
      <c r="F351" s="25"/>
      <c r="M351" s="25"/>
      <c r="R351" s="7"/>
      <c r="S351" s="7"/>
      <c r="U351" s="22"/>
    </row>
    <row r="352" spans="6:21" x14ac:dyDescent="0.25">
      <c r="F352" s="25"/>
      <c r="R352" s="7"/>
      <c r="S352" s="7"/>
      <c r="U352" s="22"/>
    </row>
    <row r="353" spans="6:21" x14ac:dyDescent="0.25">
      <c r="F353" s="25"/>
      <c r="M353" s="25"/>
      <c r="R353" s="7"/>
      <c r="S353" s="7"/>
      <c r="U353" s="22"/>
    </row>
    <row r="354" spans="6:21" x14ac:dyDescent="0.25">
      <c r="F354" s="25"/>
      <c r="R354" s="7"/>
      <c r="S354" s="7"/>
      <c r="U354" s="22"/>
    </row>
    <row r="355" spans="6:21" x14ac:dyDescent="0.25">
      <c r="F355" s="25"/>
      <c r="R355" s="7"/>
      <c r="S355" s="7"/>
      <c r="U355" s="22"/>
    </row>
    <row r="356" spans="6:21" x14ac:dyDescent="0.25">
      <c r="F356" s="25"/>
      <c r="R356" s="7"/>
      <c r="S356" s="7"/>
      <c r="U356" s="22"/>
    </row>
    <row r="357" spans="6:21" x14ac:dyDescent="0.25">
      <c r="F357" s="25"/>
      <c r="M357" s="25"/>
      <c r="R357" s="7"/>
      <c r="S357" s="7"/>
      <c r="U357" s="22"/>
    </row>
    <row r="358" spans="6:21" x14ac:dyDescent="0.25">
      <c r="F358" s="25"/>
      <c r="M358" s="25"/>
      <c r="R358" s="7"/>
      <c r="S358" s="7"/>
      <c r="U358" s="22"/>
    </row>
    <row r="359" spans="6:21" x14ac:dyDescent="0.25">
      <c r="F359" s="25"/>
      <c r="M359" s="25"/>
      <c r="R359" s="7"/>
      <c r="S359" s="7"/>
      <c r="U359" s="22"/>
    </row>
    <row r="360" spans="6:21" x14ac:dyDescent="0.25">
      <c r="F360" s="25"/>
      <c r="R360" s="7"/>
      <c r="S360" s="7"/>
      <c r="U360" s="22"/>
    </row>
    <row r="361" spans="6:21" x14ac:dyDescent="0.25">
      <c r="F361" s="25"/>
      <c r="R361" s="7"/>
      <c r="S361" s="7"/>
      <c r="U361" s="22"/>
    </row>
    <row r="362" spans="6:21" x14ac:dyDescent="0.25">
      <c r="F362" s="25"/>
      <c r="R362" s="7"/>
      <c r="S362" s="7"/>
      <c r="U362" s="22"/>
    </row>
    <row r="363" spans="6:21" x14ac:dyDescent="0.25">
      <c r="F363" s="25"/>
      <c r="M363" s="25"/>
      <c r="R363" s="7"/>
      <c r="S363" s="7"/>
      <c r="U363" s="22"/>
    </row>
    <row r="364" spans="6:21" x14ac:dyDescent="0.25">
      <c r="F364" s="25"/>
      <c r="M364" s="25"/>
      <c r="R364" s="7"/>
      <c r="S364" s="7"/>
      <c r="U364" s="22"/>
    </row>
    <row r="365" spans="6:21" x14ac:dyDescent="0.25">
      <c r="F365" s="25"/>
      <c r="R365" s="7"/>
      <c r="S365" s="7"/>
      <c r="U365" s="22"/>
    </row>
    <row r="366" spans="6:21" x14ac:dyDescent="0.25">
      <c r="F366" s="25"/>
      <c r="R366" s="7"/>
      <c r="S366" s="7"/>
      <c r="U366" s="22"/>
    </row>
    <row r="367" spans="6:21" x14ac:dyDescent="0.25">
      <c r="F367" s="25"/>
      <c r="R367" s="7"/>
      <c r="S367" s="7"/>
      <c r="U367" s="22"/>
    </row>
    <row r="368" spans="6:21" x14ac:dyDescent="0.25">
      <c r="F368" s="25"/>
      <c r="R368" s="7"/>
      <c r="S368" s="7"/>
      <c r="U368" s="22"/>
    </row>
    <row r="369" spans="6:21" x14ac:dyDescent="0.25">
      <c r="F369" s="25"/>
      <c r="R369" s="7"/>
      <c r="S369" s="7"/>
      <c r="U369" s="22"/>
    </row>
    <row r="370" spans="6:21" x14ac:dyDescent="0.25">
      <c r="F370" s="25"/>
      <c r="R370" s="7"/>
      <c r="S370" s="7"/>
      <c r="U370" s="22"/>
    </row>
    <row r="371" spans="6:21" x14ac:dyDescent="0.25">
      <c r="F371" s="25"/>
      <c r="M371" s="25"/>
      <c r="R371" s="7"/>
      <c r="S371" s="7"/>
      <c r="U371" s="22"/>
    </row>
    <row r="372" spans="6:21" x14ac:dyDescent="0.25">
      <c r="F372" s="25"/>
      <c r="M372" s="25"/>
      <c r="R372" s="7"/>
      <c r="S372" s="7"/>
      <c r="U372" s="22"/>
    </row>
    <row r="373" spans="6:21" x14ac:dyDescent="0.25">
      <c r="F373" s="25"/>
      <c r="R373" s="7"/>
      <c r="S373" s="7"/>
      <c r="U373" s="22"/>
    </row>
    <row r="374" spans="6:21" x14ac:dyDescent="0.25">
      <c r="F374" s="25"/>
      <c r="R374" s="7"/>
      <c r="S374" s="7"/>
      <c r="U374" s="22"/>
    </row>
    <row r="375" spans="6:21" x14ac:dyDescent="0.25">
      <c r="F375" s="25"/>
      <c r="R375" s="7"/>
      <c r="S375" s="7"/>
      <c r="U375" s="22"/>
    </row>
    <row r="376" spans="6:21" x14ac:dyDescent="0.25">
      <c r="F376" s="25"/>
      <c r="R376" s="7"/>
      <c r="S376" s="7"/>
      <c r="U376" s="22"/>
    </row>
    <row r="377" spans="6:21" x14ac:dyDescent="0.25">
      <c r="F377" s="25"/>
      <c r="M377" s="25"/>
      <c r="R377" s="7"/>
      <c r="S377" s="7"/>
      <c r="U377" s="22"/>
    </row>
    <row r="378" spans="6:21" x14ac:dyDescent="0.25">
      <c r="F378" s="25"/>
      <c r="M378" s="25"/>
      <c r="R378" s="7"/>
      <c r="S378" s="7"/>
      <c r="U378" s="22"/>
    </row>
    <row r="379" spans="6:21" x14ac:dyDescent="0.25">
      <c r="F379" s="25"/>
      <c r="R379" s="7"/>
      <c r="S379" s="7"/>
      <c r="U379" s="22"/>
    </row>
    <row r="380" spans="6:21" x14ac:dyDescent="0.25">
      <c r="F380" s="25"/>
      <c r="R380" s="7"/>
      <c r="S380" s="7"/>
      <c r="U380" s="22"/>
    </row>
    <row r="381" spans="6:21" x14ac:dyDescent="0.25">
      <c r="F381" s="25"/>
      <c r="M381" s="25"/>
      <c r="R381" s="7"/>
      <c r="S381" s="7"/>
      <c r="U381" s="22"/>
    </row>
    <row r="382" spans="6:21" x14ac:dyDescent="0.25">
      <c r="F382" s="25"/>
      <c r="R382" s="7"/>
      <c r="S382" s="7"/>
      <c r="U382" s="22"/>
    </row>
    <row r="383" spans="6:21" x14ac:dyDescent="0.25">
      <c r="F383" s="25"/>
      <c r="M383" s="25"/>
      <c r="R383" s="7"/>
      <c r="S383" s="7"/>
      <c r="U383" s="22"/>
    </row>
    <row r="384" spans="6:21" x14ac:dyDescent="0.25">
      <c r="F384" s="25"/>
      <c r="M384" s="25"/>
      <c r="R384" s="7"/>
      <c r="S384" s="7"/>
      <c r="U384" s="22"/>
    </row>
    <row r="385" spans="6:21" x14ac:dyDescent="0.25">
      <c r="F385" s="25"/>
      <c r="M385" s="25"/>
      <c r="R385" s="7"/>
      <c r="S385" s="7"/>
      <c r="U385" s="22"/>
    </row>
    <row r="386" spans="6:21" x14ac:dyDescent="0.25">
      <c r="F386" s="25"/>
      <c r="M386" s="25"/>
      <c r="R386" s="7"/>
      <c r="S386" s="7"/>
      <c r="U386" s="22"/>
    </row>
    <row r="387" spans="6:21" x14ac:dyDescent="0.25">
      <c r="F387" s="25"/>
      <c r="R387" s="7"/>
      <c r="S387" s="7"/>
      <c r="U387" s="22"/>
    </row>
    <row r="388" spans="6:21" x14ac:dyDescent="0.25">
      <c r="F388" s="25"/>
      <c r="M388" s="25"/>
      <c r="R388" s="7"/>
      <c r="S388" s="7"/>
      <c r="U388" s="22"/>
    </row>
    <row r="389" spans="6:21" x14ac:dyDescent="0.25">
      <c r="F389" s="25"/>
      <c r="R389" s="7"/>
      <c r="S389" s="7"/>
      <c r="U389" s="22"/>
    </row>
    <row r="390" spans="6:21" x14ac:dyDescent="0.25">
      <c r="F390" s="25"/>
      <c r="R390" s="7"/>
      <c r="S390" s="7"/>
      <c r="U390" s="22"/>
    </row>
    <row r="391" spans="6:21" x14ac:dyDescent="0.25">
      <c r="F391" s="25"/>
      <c r="M391" s="25"/>
      <c r="R391" s="7"/>
      <c r="S391" s="7"/>
      <c r="U391" s="22"/>
    </row>
    <row r="392" spans="6:21" x14ac:dyDescent="0.25">
      <c r="F392" s="25"/>
      <c r="M392" s="25"/>
      <c r="R392" s="7"/>
      <c r="S392" s="7"/>
      <c r="U392" s="22"/>
    </row>
    <row r="393" spans="6:21" x14ac:dyDescent="0.25">
      <c r="F393" s="25"/>
      <c r="M393" s="25"/>
      <c r="R393" s="7"/>
      <c r="S393" s="7"/>
      <c r="U393" s="22"/>
    </row>
    <row r="394" spans="6:21" x14ac:dyDescent="0.25">
      <c r="F394" s="25"/>
      <c r="R394" s="7"/>
      <c r="S394" s="7"/>
      <c r="U394" s="22"/>
    </row>
    <row r="395" spans="6:21" x14ac:dyDescent="0.25">
      <c r="F395" s="25"/>
      <c r="R395" s="7"/>
      <c r="S395" s="7"/>
      <c r="U395" s="22"/>
    </row>
    <row r="396" spans="6:21" x14ac:dyDescent="0.25">
      <c r="F396" s="25"/>
      <c r="M396" s="25"/>
      <c r="R396" s="7"/>
      <c r="S396" s="7"/>
      <c r="U396" s="22"/>
    </row>
    <row r="397" spans="6:21" x14ac:dyDescent="0.25">
      <c r="F397" s="25"/>
      <c r="M397" s="25"/>
      <c r="R397" s="7"/>
      <c r="S397" s="7"/>
      <c r="U397" s="22"/>
    </row>
    <row r="398" spans="6:21" x14ac:dyDescent="0.25">
      <c r="F398" s="25"/>
      <c r="R398" s="7"/>
      <c r="S398" s="7"/>
      <c r="U398" s="22"/>
    </row>
    <row r="399" spans="6:21" x14ac:dyDescent="0.25">
      <c r="F399" s="25"/>
      <c r="R399" s="7"/>
      <c r="S399" s="7"/>
      <c r="U399" s="22"/>
    </row>
    <row r="400" spans="6:21" x14ac:dyDescent="0.25">
      <c r="F400" s="25"/>
      <c r="R400" s="7"/>
      <c r="S400" s="7"/>
      <c r="U400" s="22"/>
    </row>
    <row r="401" spans="6:21" x14ac:dyDescent="0.25">
      <c r="F401" s="25"/>
      <c r="R401" s="7"/>
      <c r="S401" s="7"/>
      <c r="U401" s="22"/>
    </row>
    <row r="402" spans="6:21" x14ac:dyDescent="0.25">
      <c r="F402" s="25"/>
      <c r="M402" s="25"/>
      <c r="R402" s="7"/>
      <c r="S402" s="7"/>
      <c r="U402" s="22"/>
    </row>
    <row r="403" spans="6:21" x14ac:dyDescent="0.25">
      <c r="F403" s="25"/>
      <c r="M403" s="25"/>
      <c r="R403" s="7"/>
      <c r="S403" s="7"/>
      <c r="U403" s="22"/>
    </row>
    <row r="404" spans="6:21" x14ac:dyDescent="0.25">
      <c r="F404" s="25"/>
      <c r="R404" s="7"/>
      <c r="S404" s="7"/>
      <c r="U404" s="22"/>
    </row>
    <row r="405" spans="6:21" x14ac:dyDescent="0.25">
      <c r="F405" s="25"/>
      <c r="R405" s="7"/>
      <c r="S405" s="7"/>
      <c r="U405" s="22"/>
    </row>
    <row r="406" spans="6:21" x14ac:dyDescent="0.25">
      <c r="F406" s="25"/>
      <c r="R406" s="7"/>
      <c r="S406" s="7"/>
      <c r="U406" s="22"/>
    </row>
    <row r="407" spans="6:21" x14ac:dyDescent="0.25">
      <c r="F407" s="25"/>
      <c r="R407" s="7"/>
      <c r="S407" s="7"/>
      <c r="U407" s="22"/>
    </row>
    <row r="408" spans="6:21" x14ac:dyDescent="0.25">
      <c r="F408" s="25"/>
      <c r="R408" s="7"/>
      <c r="S408" s="7"/>
      <c r="U408" s="22"/>
    </row>
    <row r="409" spans="6:21" x14ac:dyDescent="0.25">
      <c r="F409" s="25"/>
      <c r="M409" s="25"/>
      <c r="R409" s="7"/>
      <c r="S409" s="7"/>
      <c r="U409" s="22"/>
    </row>
    <row r="410" spans="6:21" x14ac:dyDescent="0.25">
      <c r="F410" s="25"/>
      <c r="R410" s="7"/>
      <c r="S410" s="7"/>
      <c r="U410" s="22"/>
    </row>
    <row r="411" spans="6:21" x14ac:dyDescent="0.25">
      <c r="F411" s="25"/>
      <c r="R411" s="7"/>
      <c r="S411" s="7"/>
      <c r="U411" s="22"/>
    </row>
    <row r="412" spans="6:21" x14ac:dyDescent="0.25">
      <c r="F412" s="25"/>
      <c r="R412" s="7"/>
      <c r="S412" s="7"/>
      <c r="U412" s="22"/>
    </row>
    <row r="413" spans="6:21" x14ac:dyDescent="0.25">
      <c r="F413" s="25"/>
      <c r="M413" s="25"/>
      <c r="R413" s="7"/>
      <c r="S413" s="7"/>
      <c r="U413" s="22"/>
    </row>
    <row r="414" spans="6:21" x14ac:dyDescent="0.25">
      <c r="F414" s="25"/>
      <c r="R414" s="7"/>
      <c r="S414" s="7"/>
      <c r="U414" s="22"/>
    </row>
    <row r="415" spans="6:21" x14ac:dyDescent="0.25">
      <c r="F415" s="25"/>
      <c r="M415" s="25"/>
      <c r="R415" s="7"/>
      <c r="S415" s="7"/>
      <c r="U415" s="22"/>
    </row>
    <row r="416" spans="6:21" x14ac:dyDescent="0.25">
      <c r="F416" s="25"/>
      <c r="M416" s="25"/>
      <c r="R416" s="7"/>
      <c r="S416" s="7"/>
      <c r="U416" s="22"/>
    </row>
    <row r="417" spans="6:21" x14ac:dyDescent="0.25">
      <c r="F417" s="25"/>
      <c r="M417" s="25"/>
      <c r="R417" s="7"/>
      <c r="S417" s="7"/>
      <c r="U417" s="22"/>
    </row>
    <row r="418" spans="6:21" x14ac:dyDescent="0.25">
      <c r="F418" s="25"/>
      <c r="R418" s="7"/>
      <c r="S418" s="7"/>
      <c r="U418" s="22"/>
    </row>
    <row r="419" spans="6:21" x14ac:dyDescent="0.25">
      <c r="F419" s="25"/>
      <c r="M419" s="25"/>
      <c r="R419" s="7"/>
      <c r="S419" s="7"/>
      <c r="U419" s="22"/>
    </row>
    <row r="420" spans="6:21" x14ac:dyDescent="0.25">
      <c r="F420" s="25"/>
      <c r="R420" s="7"/>
      <c r="S420" s="7"/>
      <c r="U420" s="22"/>
    </row>
    <row r="421" spans="6:21" x14ac:dyDescent="0.25">
      <c r="F421" s="25"/>
      <c r="M421" s="25"/>
      <c r="R421" s="7"/>
      <c r="S421" s="7"/>
      <c r="U421" s="22"/>
    </row>
    <row r="422" spans="6:21" x14ac:dyDescent="0.25">
      <c r="F422" s="25"/>
      <c r="M422" s="25"/>
      <c r="R422" s="7"/>
      <c r="S422" s="7"/>
      <c r="U422" s="22"/>
    </row>
    <row r="423" spans="6:21" x14ac:dyDescent="0.25">
      <c r="F423" s="25"/>
      <c r="M423" s="25"/>
      <c r="R423" s="7"/>
      <c r="S423" s="7"/>
      <c r="U423" s="22"/>
    </row>
    <row r="424" spans="6:21" x14ac:dyDescent="0.25">
      <c r="F424" s="25"/>
      <c r="M424" s="25"/>
      <c r="R424" s="7"/>
      <c r="S424" s="7"/>
      <c r="U424" s="22"/>
    </row>
    <row r="425" spans="6:21" x14ac:dyDescent="0.25">
      <c r="F425" s="25"/>
      <c r="M425" s="25"/>
      <c r="R425" s="7"/>
      <c r="S425" s="7"/>
      <c r="U425" s="22"/>
    </row>
    <row r="426" spans="6:21" x14ac:dyDescent="0.25">
      <c r="F426" s="25"/>
      <c r="M426" s="25"/>
      <c r="R426" s="7"/>
      <c r="S426" s="7"/>
      <c r="U426" s="22"/>
    </row>
    <row r="427" spans="6:21" x14ac:dyDescent="0.25">
      <c r="F427" s="25"/>
      <c r="R427" s="7"/>
      <c r="S427" s="7"/>
      <c r="U427" s="22"/>
    </row>
    <row r="428" spans="6:21" x14ac:dyDescent="0.25">
      <c r="F428" s="25"/>
      <c r="R428" s="7"/>
      <c r="S428" s="7"/>
      <c r="U428" s="22"/>
    </row>
    <row r="429" spans="6:21" x14ac:dyDescent="0.25">
      <c r="F429" s="25"/>
      <c r="R429" s="7"/>
      <c r="S429" s="7"/>
      <c r="U429" s="22"/>
    </row>
    <row r="430" spans="6:21" x14ac:dyDescent="0.25">
      <c r="F430" s="25"/>
      <c r="M430" s="25"/>
      <c r="R430" s="7"/>
      <c r="S430" s="7"/>
      <c r="U430" s="22"/>
    </row>
    <row r="431" spans="6:21" x14ac:dyDescent="0.25">
      <c r="F431" s="25"/>
      <c r="R431" s="7"/>
      <c r="S431" s="7"/>
      <c r="U431" s="22"/>
    </row>
    <row r="432" spans="6:21" x14ac:dyDescent="0.25">
      <c r="F432" s="25"/>
      <c r="R432" s="7"/>
      <c r="S432" s="7"/>
      <c r="U432" s="22"/>
    </row>
    <row r="433" spans="6:21" x14ac:dyDescent="0.25">
      <c r="F433" s="25"/>
      <c r="M433" s="25"/>
      <c r="R433" s="7"/>
      <c r="S433" s="7"/>
      <c r="U433" s="22"/>
    </row>
    <row r="434" spans="6:21" x14ac:dyDescent="0.25">
      <c r="F434" s="25"/>
      <c r="M434" s="25"/>
      <c r="R434" s="7"/>
      <c r="S434" s="7"/>
      <c r="U434" s="22"/>
    </row>
    <row r="435" spans="6:21" x14ac:dyDescent="0.25">
      <c r="F435" s="25"/>
      <c r="M435" s="25"/>
      <c r="R435" s="7"/>
      <c r="S435" s="7"/>
      <c r="U435" s="22"/>
    </row>
    <row r="436" spans="6:21" x14ac:dyDescent="0.25">
      <c r="F436" s="25"/>
      <c r="M436" s="25"/>
      <c r="R436" s="7"/>
      <c r="S436" s="7"/>
      <c r="U436" s="22"/>
    </row>
    <row r="437" spans="6:21" x14ac:dyDescent="0.25">
      <c r="F437" s="25"/>
      <c r="R437" s="7"/>
      <c r="S437" s="7"/>
      <c r="U437" s="22"/>
    </row>
    <row r="438" spans="6:21" x14ac:dyDescent="0.25">
      <c r="F438" s="25"/>
      <c r="R438" s="7"/>
      <c r="S438" s="7"/>
      <c r="U438" s="22"/>
    </row>
    <row r="439" spans="6:21" x14ac:dyDescent="0.25">
      <c r="F439" s="25"/>
      <c r="M439" s="25"/>
      <c r="R439" s="7"/>
      <c r="S439" s="7"/>
      <c r="U439" s="22"/>
    </row>
    <row r="440" spans="6:21" x14ac:dyDescent="0.25">
      <c r="F440" s="25"/>
      <c r="M440" s="25"/>
      <c r="R440" s="7"/>
      <c r="S440" s="7"/>
      <c r="U440" s="22"/>
    </row>
    <row r="441" spans="6:21" x14ac:dyDescent="0.25">
      <c r="F441" s="25"/>
      <c r="M441" s="25"/>
      <c r="R441" s="7"/>
      <c r="S441" s="7"/>
      <c r="U441" s="22"/>
    </row>
    <row r="442" spans="6:21" x14ac:dyDescent="0.25">
      <c r="F442" s="25"/>
      <c r="R442" s="7"/>
      <c r="S442" s="7"/>
      <c r="U442" s="22"/>
    </row>
    <row r="443" spans="6:21" x14ac:dyDescent="0.25">
      <c r="F443" s="25"/>
      <c r="R443" s="7"/>
      <c r="S443" s="7"/>
      <c r="U443" s="22"/>
    </row>
    <row r="444" spans="6:21" x14ac:dyDescent="0.25">
      <c r="F444" s="25"/>
      <c r="M444" s="25"/>
      <c r="R444" s="7"/>
      <c r="S444" s="7"/>
      <c r="U444" s="22"/>
    </row>
    <row r="445" spans="6:21" x14ac:dyDescent="0.25">
      <c r="F445" s="25"/>
      <c r="R445" s="7"/>
      <c r="S445" s="7"/>
      <c r="U445" s="22"/>
    </row>
    <row r="446" spans="6:21" x14ac:dyDescent="0.25">
      <c r="F446" s="25"/>
      <c r="R446" s="7"/>
      <c r="S446" s="7"/>
      <c r="U446" s="22"/>
    </row>
    <row r="447" spans="6:21" x14ac:dyDescent="0.25">
      <c r="F447" s="25"/>
      <c r="R447" s="7"/>
      <c r="S447" s="7"/>
      <c r="U447" s="22"/>
    </row>
    <row r="448" spans="6:21" x14ac:dyDescent="0.25">
      <c r="F448" s="25"/>
      <c r="R448" s="7"/>
      <c r="S448" s="7"/>
      <c r="U448" s="22"/>
    </row>
    <row r="449" spans="6:21" x14ac:dyDescent="0.25">
      <c r="F449" s="25"/>
      <c r="R449" s="7"/>
      <c r="S449" s="7"/>
      <c r="U449" s="22"/>
    </row>
    <row r="450" spans="6:21" x14ac:dyDescent="0.25">
      <c r="F450" s="25"/>
      <c r="R450" s="7"/>
      <c r="S450" s="7"/>
      <c r="U450" s="22"/>
    </row>
    <row r="451" spans="6:21" x14ac:dyDescent="0.25">
      <c r="F451" s="25"/>
      <c r="R451" s="7"/>
      <c r="S451" s="7"/>
      <c r="U451" s="22"/>
    </row>
    <row r="452" spans="6:21" x14ac:dyDescent="0.25">
      <c r="F452" s="25"/>
      <c r="R452" s="7"/>
      <c r="S452" s="7"/>
      <c r="U452" s="22"/>
    </row>
    <row r="453" spans="6:21" x14ac:dyDescent="0.25">
      <c r="F453" s="25"/>
      <c r="R453" s="7"/>
      <c r="S453" s="7"/>
      <c r="U453" s="22"/>
    </row>
    <row r="454" spans="6:21" x14ac:dyDescent="0.25">
      <c r="F454" s="25"/>
      <c r="M454" s="25"/>
      <c r="R454" s="7"/>
      <c r="S454" s="7"/>
      <c r="U454" s="22"/>
    </row>
    <row r="455" spans="6:21" x14ac:dyDescent="0.25">
      <c r="F455" s="25"/>
      <c r="R455" s="7"/>
      <c r="S455" s="7"/>
      <c r="U455" s="22"/>
    </row>
    <row r="456" spans="6:21" x14ac:dyDescent="0.25">
      <c r="F456" s="25"/>
      <c r="R456" s="7"/>
      <c r="S456" s="7"/>
      <c r="U456" s="22"/>
    </row>
    <row r="457" spans="6:21" x14ac:dyDescent="0.25">
      <c r="F457" s="25"/>
      <c r="R457" s="7"/>
      <c r="S457" s="7"/>
      <c r="U457" s="22"/>
    </row>
    <row r="458" spans="6:21" x14ac:dyDescent="0.25">
      <c r="F458" s="25"/>
      <c r="R458" s="7"/>
      <c r="S458" s="7"/>
      <c r="U458" s="22"/>
    </row>
    <row r="459" spans="6:21" x14ac:dyDescent="0.25">
      <c r="F459" s="25"/>
      <c r="M459" s="25"/>
      <c r="R459" s="7"/>
      <c r="S459" s="7"/>
      <c r="U459" s="22"/>
    </row>
    <row r="460" spans="6:21" x14ac:dyDescent="0.25">
      <c r="F460" s="25"/>
      <c r="R460" s="7"/>
      <c r="S460" s="7"/>
      <c r="U460" s="22"/>
    </row>
    <row r="461" spans="6:21" x14ac:dyDescent="0.25">
      <c r="F461" s="25"/>
      <c r="R461" s="7"/>
      <c r="S461" s="7"/>
      <c r="U461" s="22"/>
    </row>
    <row r="462" spans="6:21" x14ac:dyDescent="0.25">
      <c r="F462" s="25"/>
      <c r="R462" s="7"/>
      <c r="S462" s="7"/>
      <c r="U462" s="22"/>
    </row>
    <row r="463" spans="6:21" x14ac:dyDescent="0.25">
      <c r="F463" s="25"/>
      <c r="R463" s="7"/>
      <c r="S463" s="7"/>
      <c r="U463" s="22"/>
    </row>
    <row r="464" spans="6:21" x14ac:dyDescent="0.25">
      <c r="F464" s="25"/>
      <c r="R464" s="7"/>
      <c r="S464" s="7"/>
      <c r="U464" s="22"/>
    </row>
    <row r="465" spans="6:21" x14ac:dyDescent="0.25">
      <c r="F465" s="25"/>
      <c r="M465" s="25"/>
      <c r="R465" s="7"/>
      <c r="S465" s="7"/>
      <c r="U465" s="22"/>
    </row>
    <row r="466" spans="6:21" x14ac:dyDescent="0.25">
      <c r="F466" s="25"/>
      <c r="M466" s="25"/>
      <c r="R466" s="7"/>
      <c r="S466" s="7"/>
      <c r="U466" s="22"/>
    </row>
    <row r="467" spans="6:21" x14ac:dyDescent="0.25">
      <c r="F467" s="25"/>
      <c r="M467" s="25"/>
      <c r="R467" s="7"/>
      <c r="S467" s="7"/>
      <c r="U467" s="22"/>
    </row>
    <row r="468" spans="6:21" x14ac:dyDescent="0.25">
      <c r="F468" s="25"/>
      <c r="R468" s="7"/>
      <c r="S468" s="7"/>
      <c r="U468" s="22"/>
    </row>
    <row r="469" spans="6:21" x14ac:dyDescent="0.25">
      <c r="F469" s="25"/>
      <c r="M469" s="25"/>
      <c r="R469" s="7"/>
      <c r="S469" s="7"/>
      <c r="U469" s="22"/>
    </row>
    <row r="470" spans="6:21" x14ac:dyDescent="0.25">
      <c r="F470" s="25"/>
      <c r="R470" s="7"/>
      <c r="S470" s="7"/>
      <c r="U470" s="22"/>
    </row>
    <row r="471" spans="6:21" x14ac:dyDescent="0.25">
      <c r="F471" s="25"/>
      <c r="M471" s="25"/>
      <c r="R471" s="7"/>
      <c r="S471" s="7"/>
      <c r="U471" s="22"/>
    </row>
    <row r="472" spans="6:21" x14ac:dyDescent="0.25">
      <c r="F472" s="25"/>
      <c r="M472" s="25"/>
      <c r="R472" s="7"/>
      <c r="S472" s="7"/>
      <c r="U472" s="22"/>
    </row>
    <row r="473" spans="6:21" x14ac:dyDescent="0.25">
      <c r="F473" s="25"/>
      <c r="M473" s="25"/>
      <c r="R473" s="7"/>
      <c r="S473" s="7"/>
      <c r="U473" s="22"/>
    </row>
    <row r="474" spans="6:21" x14ac:dyDescent="0.25">
      <c r="F474" s="25"/>
      <c r="M474" s="25"/>
      <c r="R474" s="7"/>
      <c r="S474" s="7"/>
      <c r="U474" s="22"/>
    </row>
    <row r="475" spans="6:21" x14ac:dyDescent="0.25">
      <c r="F475" s="25"/>
      <c r="M475" s="25"/>
      <c r="R475" s="7"/>
      <c r="S475" s="7"/>
      <c r="U475" s="22"/>
    </row>
    <row r="476" spans="6:21" x14ac:dyDescent="0.25">
      <c r="F476" s="25"/>
      <c r="R476" s="7"/>
      <c r="S476" s="7"/>
      <c r="U476" s="22"/>
    </row>
    <row r="477" spans="6:21" x14ac:dyDescent="0.25">
      <c r="F477" s="25"/>
      <c r="R477" s="7"/>
      <c r="S477" s="7"/>
      <c r="U477" s="22"/>
    </row>
    <row r="478" spans="6:21" x14ac:dyDescent="0.25">
      <c r="F478" s="25"/>
      <c r="M478" s="25"/>
      <c r="R478" s="7"/>
      <c r="S478" s="7"/>
      <c r="U478" s="22"/>
    </row>
    <row r="479" spans="6:21" x14ac:dyDescent="0.25">
      <c r="F479" s="25"/>
      <c r="R479" s="7"/>
      <c r="S479" s="7"/>
      <c r="U479" s="22"/>
    </row>
    <row r="480" spans="6:21" x14ac:dyDescent="0.25">
      <c r="F480" s="25"/>
      <c r="R480" s="7"/>
      <c r="S480" s="7"/>
      <c r="U480" s="22"/>
    </row>
    <row r="481" spans="6:21" x14ac:dyDescent="0.25">
      <c r="F481" s="25"/>
      <c r="R481" s="7"/>
      <c r="S481" s="7"/>
      <c r="U481" s="22"/>
    </row>
    <row r="482" spans="6:21" x14ac:dyDescent="0.25">
      <c r="F482" s="25"/>
      <c r="R482" s="7"/>
      <c r="S482" s="7"/>
      <c r="U482" s="22"/>
    </row>
    <row r="483" spans="6:21" x14ac:dyDescent="0.25">
      <c r="F483" s="25"/>
      <c r="M483" s="25"/>
      <c r="R483" s="7"/>
      <c r="S483" s="7"/>
      <c r="U483" s="22"/>
    </row>
    <row r="484" spans="6:21" x14ac:dyDescent="0.25">
      <c r="F484" s="25"/>
      <c r="M484" s="25"/>
      <c r="R484" s="7"/>
      <c r="S484" s="7"/>
      <c r="U484" s="22"/>
    </row>
    <row r="485" spans="6:21" x14ac:dyDescent="0.25">
      <c r="F485" s="25"/>
      <c r="M485" s="25"/>
      <c r="R485" s="7"/>
      <c r="S485" s="7"/>
      <c r="U485" s="22"/>
    </row>
    <row r="486" spans="6:21" x14ac:dyDescent="0.25">
      <c r="F486" s="25"/>
      <c r="R486" s="7"/>
      <c r="S486" s="7"/>
      <c r="U486" s="22"/>
    </row>
    <row r="487" spans="6:21" x14ac:dyDescent="0.25">
      <c r="F487" s="25"/>
      <c r="M487" s="25"/>
      <c r="R487" s="7"/>
      <c r="S487" s="7"/>
      <c r="U487" s="22"/>
    </row>
    <row r="488" spans="6:21" x14ac:dyDescent="0.25">
      <c r="F488" s="25"/>
      <c r="R488" s="7"/>
      <c r="S488" s="7"/>
      <c r="U488" s="22"/>
    </row>
    <row r="489" spans="6:21" x14ac:dyDescent="0.25">
      <c r="F489" s="25"/>
      <c r="R489" s="7"/>
      <c r="S489" s="7"/>
      <c r="U489" s="22"/>
    </row>
    <row r="490" spans="6:21" x14ac:dyDescent="0.25">
      <c r="F490" s="25"/>
      <c r="M490" s="25"/>
      <c r="R490" s="7"/>
      <c r="S490" s="7"/>
      <c r="U490" s="22"/>
    </row>
    <row r="491" spans="6:21" x14ac:dyDescent="0.25">
      <c r="F491" s="25"/>
      <c r="R491" s="7"/>
      <c r="S491" s="7"/>
      <c r="U491" s="22"/>
    </row>
    <row r="492" spans="6:21" x14ac:dyDescent="0.25">
      <c r="F492" s="25"/>
      <c r="M492" s="25"/>
      <c r="R492" s="7"/>
      <c r="S492" s="7"/>
      <c r="U492" s="22"/>
    </row>
    <row r="493" spans="6:21" x14ac:dyDescent="0.25">
      <c r="F493" s="25"/>
      <c r="M493" s="25"/>
      <c r="R493" s="7"/>
      <c r="S493" s="7"/>
      <c r="U493" s="22"/>
    </row>
    <row r="494" spans="6:21" x14ac:dyDescent="0.25">
      <c r="F494" s="25"/>
      <c r="R494" s="7"/>
      <c r="S494" s="7"/>
      <c r="U494" s="22"/>
    </row>
    <row r="495" spans="6:21" x14ac:dyDescent="0.25">
      <c r="F495" s="25"/>
      <c r="M495" s="25"/>
      <c r="R495" s="7"/>
      <c r="S495" s="7"/>
      <c r="U495" s="22"/>
    </row>
    <row r="496" spans="6:21" x14ac:dyDescent="0.25">
      <c r="F496" s="25"/>
      <c r="M496" s="25"/>
      <c r="R496" s="7"/>
      <c r="S496" s="7"/>
      <c r="U496" s="22"/>
    </row>
    <row r="497" spans="6:21" x14ac:dyDescent="0.25">
      <c r="F497" s="25"/>
      <c r="R497" s="7"/>
      <c r="S497" s="7"/>
      <c r="U497" s="22"/>
    </row>
    <row r="498" spans="6:21" x14ac:dyDescent="0.25">
      <c r="F498" s="25"/>
      <c r="M498" s="25"/>
      <c r="R498" s="7"/>
      <c r="S498" s="7"/>
      <c r="U498" s="22"/>
    </row>
    <row r="499" spans="6:21" x14ac:dyDescent="0.25">
      <c r="F499" s="25"/>
      <c r="M499" s="25"/>
      <c r="R499" s="7"/>
      <c r="S499" s="7"/>
      <c r="U499" s="22"/>
    </row>
    <row r="500" spans="6:21" x14ac:dyDescent="0.25">
      <c r="F500" s="25"/>
      <c r="M500" s="25"/>
      <c r="R500" s="7"/>
      <c r="S500" s="7"/>
      <c r="U500" s="22"/>
    </row>
    <row r="501" spans="6:21" x14ac:dyDescent="0.25">
      <c r="F501" s="25"/>
      <c r="R501" s="7"/>
      <c r="S501" s="9"/>
      <c r="U501" s="22"/>
    </row>
    <row r="502" spans="6:21" x14ac:dyDescent="0.25">
      <c r="F502" s="25"/>
      <c r="M502" s="25"/>
    </row>
    <row r="503" spans="6:21" x14ac:dyDescent="0.25">
      <c r="F503" s="25"/>
      <c r="M503" s="25"/>
    </row>
    <row r="504" spans="6:21" x14ac:dyDescent="0.25">
      <c r="F504" s="25"/>
    </row>
    <row r="505" spans="6:21" x14ac:dyDescent="0.25">
      <c r="F505" s="25"/>
      <c r="M505" s="25"/>
    </row>
    <row r="506" spans="6:21" x14ac:dyDescent="0.25">
      <c r="F506" s="25"/>
    </row>
    <row r="507" spans="6:21" x14ac:dyDescent="0.25">
      <c r="F507" s="25"/>
      <c r="M507" s="25"/>
    </row>
    <row r="508" spans="6:21" x14ac:dyDescent="0.25">
      <c r="F508" s="25"/>
    </row>
    <row r="509" spans="6:21" x14ac:dyDescent="0.25">
      <c r="F509" s="25"/>
      <c r="M509" s="25"/>
    </row>
    <row r="510" spans="6:21" x14ac:dyDescent="0.25">
      <c r="F510" s="25"/>
      <c r="M510" s="25"/>
    </row>
    <row r="511" spans="6:21" x14ac:dyDescent="0.25">
      <c r="F511" s="25"/>
    </row>
    <row r="512" spans="6:21" x14ac:dyDescent="0.25">
      <c r="F512" s="25"/>
    </row>
    <row r="513" spans="6:13" x14ac:dyDescent="0.25">
      <c r="F513" s="25"/>
    </row>
    <row r="514" spans="6:13" x14ac:dyDescent="0.25">
      <c r="F514" s="25"/>
      <c r="M514" s="25"/>
    </row>
    <row r="515" spans="6:13" x14ac:dyDescent="0.25">
      <c r="F515" s="25"/>
      <c r="M515" s="25"/>
    </row>
    <row r="516" spans="6:13" x14ac:dyDescent="0.25">
      <c r="F516" s="25"/>
      <c r="M516" s="25"/>
    </row>
    <row r="517" spans="6:13" x14ac:dyDescent="0.25">
      <c r="F517" s="25"/>
    </row>
    <row r="518" spans="6:13" x14ac:dyDescent="0.25">
      <c r="F518" s="25"/>
      <c r="M518" s="25"/>
    </row>
    <row r="519" spans="6:13" x14ac:dyDescent="0.25">
      <c r="F519" s="25"/>
    </row>
    <row r="520" spans="6:13" x14ac:dyDescent="0.25">
      <c r="F520" s="25"/>
      <c r="M520" s="25"/>
    </row>
    <row r="521" spans="6:13" x14ac:dyDescent="0.25">
      <c r="F521" s="25"/>
    </row>
    <row r="522" spans="6:13" x14ac:dyDescent="0.25">
      <c r="F522" s="25"/>
      <c r="M522" s="25"/>
    </row>
    <row r="523" spans="6:13" x14ac:dyDescent="0.25">
      <c r="F523" s="25"/>
    </row>
    <row r="524" spans="6:13" x14ac:dyDescent="0.25">
      <c r="F524" s="25"/>
    </row>
    <row r="525" spans="6:13" x14ac:dyDescent="0.25">
      <c r="F525" s="25"/>
    </row>
    <row r="526" spans="6:13" x14ac:dyDescent="0.25">
      <c r="F526" s="25"/>
    </row>
    <row r="527" spans="6:13" x14ac:dyDescent="0.25">
      <c r="F527" s="25"/>
    </row>
    <row r="528" spans="6:13" x14ac:dyDescent="0.25">
      <c r="F528" s="25"/>
    </row>
    <row r="529" spans="6:13" x14ac:dyDescent="0.25">
      <c r="F529" s="25"/>
    </row>
    <row r="530" spans="6:13" x14ac:dyDescent="0.25">
      <c r="F530" s="25"/>
    </row>
    <row r="531" spans="6:13" x14ac:dyDescent="0.25">
      <c r="F531" s="25"/>
    </row>
    <row r="532" spans="6:13" x14ac:dyDescent="0.25">
      <c r="F532" s="25"/>
    </row>
    <row r="533" spans="6:13" x14ac:dyDescent="0.25">
      <c r="F533" s="25"/>
    </row>
    <row r="534" spans="6:13" x14ac:dyDescent="0.25">
      <c r="F534" s="25"/>
    </row>
    <row r="535" spans="6:13" x14ac:dyDescent="0.25">
      <c r="F535" s="25"/>
      <c r="M535" s="25"/>
    </row>
    <row r="536" spans="6:13" x14ac:dyDescent="0.25">
      <c r="F536" s="25"/>
    </row>
    <row r="537" spans="6:13" x14ac:dyDescent="0.25">
      <c r="F537" s="25"/>
    </row>
    <row r="538" spans="6:13" x14ac:dyDescent="0.25">
      <c r="F538" s="25"/>
    </row>
    <row r="539" spans="6:13" x14ac:dyDescent="0.25">
      <c r="F539" s="25"/>
    </row>
    <row r="540" spans="6:13" x14ac:dyDescent="0.25">
      <c r="F540" s="25"/>
    </row>
    <row r="541" spans="6:13" x14ac:dyDescent="0.25">
      <c r="F541" s="25"/>
    </row>
    <row r="542" spans="6:13" x14ac:dyDescent="0.25">
      <c r="F542" s="25"/>
    </row>
    <row r="543" spans="6:13" x14ac:dyDescent="0.25">
      <c r="F543" s="25"/>
    </row>
    <row r="544" spans="6:13" x14ac:dyDescent="0.25">
      <c r="F544" s="25"/>
    </row>
    <row r="545" spans="6:6" x14ac:dyDescent="0.25">
      <c r="F545" s="25"/>
    </row>
    <row r="546" spans="6:6" x14ac:dyDescent="0.25">
      <c r="F546" s="25"/>
    </row>
    <row r="547" spans="6:6" x14ac:dyDescent="0.25">
      <c r="F547" s="25"/>
    </row>
    <row r="548" spans="6:6" x14ac:dyDescent="0.25">
      <c r="F548" s="25"/>
    </row>
    <row r="549" spans="6:6" x14ac:dyDescent="0.25">
      <c r="F549" s="25"/>
    </row>
    <row r="550" spans="6:6" x14ac:dyDescent="0.25">
      <c r="F550" s="25"/>
    </row>
    <row r="551" spans="6:6" x14ac:dyDescent="0.25">
      <c r="F551" s="25"/>
    </row>
    <row r="552" spans="6:6" x14ac:dyDescent="0.25">
      <c r="F552" s="25"/>
    </row>
    <row r="553" spans="6:6" x14ac:dyDescent="0.25">
      <c r="F553" s="25"/>
    </row>
    <row r="554" spans="6:6" x14ac:dyDescent="0.25">
      <c r="F554" s="25"/>
    </row>
    <row r="555" spans="6:6" x14ac:dyDescent="0.25">
      <c r="F555" s="25"/>
    </row>
    <row r="556" spans="6:6" x14ac:dyDescent="0.25">
      <c r="F556" s="25"/>
    </row>
    <row r="557" spans="6:6" x14ac:dyDescent="0.25">
      <c r="F557" s="25"/>
    </row>
    <row r="558" spans="6:6" x14ac:dyDescent="0.25">
      <c r="F558" s="25"/>
    </row>
    <row r="559" spans="6:6" x14ac:dyDescent="0.25">
      <c r="F559" s="25"/>
    </row>
    <row r="560" spans="6:6" x14ac:dyDescent="0.25">
      <c r="F560" s="25"/>
    </row>
    <row r="561" spans="6:6" x14ac:dyDescent="0.25">
      <c r="F561" s="25"/>
    </row>
    <row r="562" spans="6:6" x14ac:dyDescent="0.25">
      <c r="F562" s="25"/>
    </row>
    <row r="563" spans="6:6" x14ac:dyDescent="0.25">
      <c r="F563" s="25"/>
    </row>
    <row r="564" spans="6:6" x14ac:dyDescent="0.25">
      <c r="F564" s="25"/>
    </row>
    <row r="565" spans="6:6" x14ac:dyDescent="0.25">
      <c r="F565" s="25"/>
    </row>
    <row r="566" spans="6:6" x14ac:dyDescent="0.25">
      <c r="F566" s="25"/>
    </row>
    <row r="567" spans="6:6" x14ac:dyDescent="0.25">
      <c r="F567" s="25"/>
    </row>
    <row r="568" spans="6:6" x14ac:dyDescent="0.25">
      <c r="F568" s="25"/>
    </row>
    <row r="569" spans="6:6" x14ac:dyDescent="0.25">
      <c r="F569" s="25"/>
    </row>
    <row r="570" spans="6:6" x14ac:dyDescent="0.25">
      <c r="F570" s="25"/>
    </row>
    <row r="571" spans="6:6" x14ac:dyDescent="0.25">
      <c r="F571" s="25"/>
    </row>
    <row r="572" spans="6:6" x14ac:dyDescent="0.25">
      <c r="F572" s="25"/>
    </row>
    <row r="573" spans="6:6" x14ac:dyDescent="0.25">
      <c r="F573" s="25"/>
    </row>
    <row r="574" spans="6:6" x14ac:dyDescent="0.25">
      <c r="F574" s="25"/>
    </row>
    <row r="575" spans="6:6" x14ac:dyDescent="0.25">
      <c r="F575" s="25"/>
    </row>
    <row r="576" spans="6:6" x14ac:dyDescent="0.25">
      <c r="F576" s="25"/>
    </row>
    <row r="577" spans="6:6" x14ac:dyDescent="0.25">
      <c r="F577" s="25"/>
    </row>
    <row r="578" spans="6:6" x14ac:dyDescent="0.25">
      <c r="F578" s="25"/>
    </row>
    <row r="579" spans="6:6" x14ac:dyDescent="0.25">
      <c r="F579" s="25"/>
    </row>
    <row r="580" spans="6:6" x14ac:dyDescent="0.25">
      <c r="F580" s="25"/>
    </row>
    <row r="581" spans="6:6" x14ac:dyDescent="0.25">
      <c r="F581" s="25"/>
    </row>
    <row r="582" spans="6:6" x14ac:dyDescent="0.25">
      <c r="F582" s="25"/>
    </row>
    <row r="583" spans="6:6" x14ac:dyDescent="0.25">
      <c r="F583" s="25"/>
    </row>
    <row r="584" spans="6:6" x14ac:dyDescent="0.25">
      <c r="F584" s="25"/>
    </row>
    <row r="585" spans="6:6" x14ac:dyDescent="0.25">
      <c r="F585" s="25"/>
    </row>
    <row r="586" spans="6:6" x14ac:dyDescent="0.25">
      <c r="F586" s="25"/>
    </row>
    <row r="587" spans="6:6" x14ac:dyDescent="0.25">
      <c r="F587" s="25"/>
    </row>
    <row r="588" spans="6:6" x14ac:dyDescent="0.25">
      <c r="F588" s="25"/>
    </row>
    <row r="589" spans="6:6" x14ac:dyDescent="0.25">
      <c r="F589" s="25"/>
    </row>
    <row r="590" spans="6:6" x14ac:dyDescent="0.25">
      <c r="F590" s="25"/>
    </row>
    <row r="591" spans="6:6" x14ac:dyDescent="0.25">
      <c r="F591" s="25"/>
    </row>
    <row r="592" spans="6:6" x14ac:dyDescent="0.25">
      <c r="F592" s="25"/>
    </row>
    <row r="593" spans="6:13" x14ac:dyDescent="0.25">
      <c r="F593" s="25"/>
      <c r="M593" s="25"/>
    </row>
    <row r="594" spans="6:13" x14ac:dyDescent="0.25">
      <c r="F594" s="25"/>
      <c r="M594" s="25"/>
    </row>
    <row r="595" spans="6:13" x14ac:dyDescent="0.25">
      <c r="F595" s="25"/>
    </row>
    <row r="596" spans="6:13" x14ac:dyDescent="0.25">
      <c r="F596" s="25"/>
    </row>
    <row r="597" spans="6:13" x14ac:dyDescent="0.25">
      <c r="F597" s="25"/>
    </row>
    <row r="598" spans="6:13" x14ac:dyDescent="0.25">
      <c r="F598" s="25"/>
    </row>
    <row r="599" spans="6:13" x14ac:dyDescent="0.25">
      <c r="F599" s="25"/>
    </row>
    <row r="600" spans="6:13" x14ac:dyDescent="0.25">
      <c r="F600" s="25"/>
    </row>
    <row r="601" spans="6:13" x14ac:dyDescent="0.25">
      <c r="F601" s="25"/>
    </row>
    <row r="602" spans="6:13" x14ac:dyDescent="0.25">
      <c r="F602" s="25"/>
    </row>
    <row r="603" spans="6:13" x14ac:dyDescent="0.25">
      <c r="F603" s="25"/>
    </row>
    <row r="604" spans="6:13" x14ac:dyDescent="0.25">
      <c r="F604" s="25"/>
    </row>
    <row r="605" spans="6:13" x14ac:dyDescent="0.25">
      <c r="F605" s="25"/>
    </row>
    <row r="606" spans="6:13" x14ac:dyDescent="0.25">
      <c r="F606" s="25"/>
    </row>
    <row r="607" spans="6:13" x14ac:dyDescent="0.25">
      <c r="F607" s="25"/>
    </row>
    <row r="608" spans="6:13" x14ac:dyDescent="0.25">
      <c r="F608" s="25"/>
    </row>
    <row r="609" spans="6:13" x14ac:dyDescent="0.25">
      <c r="F609" s="25"/>
    </row>
    <row r="610" spans="6:13" x14ac:dyDescent="0.25">
      <c r="F610" s="25"/>
    </row>
    <row r="611" spans="6:13" x14ac:dyDescent="0.25">
      <c r="F611" s="25"/>
      <c r="M611" s="25"/>
    </row>
    <row r="612" spans="6:13" x14ac:dyDescent="0.25">
      <c r="F612" s="25"/>
    </row>
    <row r="613" spans="6:13" x14ac:dyDescent="0.25">
      <c r="F613" s="25"/>
    </row>
    <row r="614" spans="6:13" x14ac:dyDescent="0.25">
      <c r="F614" s="25"/>
    </row>
    <row r="615" spans="6:13" x14ac:dyDescent="0.25">
      <c r="F615" s="25"/>
    </row>
    <row r="616" spans="6:13" x14ac:dyDescent="0.25">
      <c r="F616" s="25"/>
      <c r="M616" s="25"/>
    </row>
    <row r="617" spans="6:13" x14ac:dyDescent="0.25">
      <c r="F617" s="25"/>
    </row>
    <row r="618" spans="6:13" x14ac:dyDescent="0.25">
      <c r="F618" s="25"/>
      <c r="M618" s="25"/>
    </row>
    <row r="619" spans="6:13" x14ac:dyDescent="0.25">
      <c r="F619" s="25"/>
    </row>
    <row r="620" spans="6:13" x14ac:dyDescent="0.25">
      <c r="F620" s="25"/>
    </row>
    <row r="621" spans="6:13" x14ac:dyDescent="0.25">
      <c r="F621" s="25"/>
    </row>
    <row r="622" spans="6:13" x14ac:dyDescent="0.25">
      <c r="F622" s="25"/>
      <c r="M622" s="25"/>
    </row>
    <row r="623" spans="6:13" x14ac:dyDescent="0.25">
      <c r="F623" s="25"/>
    </row>
    <row r="624" spans="6:13" x14ac:dyDescent="0.25">
      <c r="F624" s="25"/>
    </row>
    <row r="625" spans="6:13" x14ac:dyDescent="0.25">
      <c r="F625" s="25"/>
      <c r="M625" s="25"/>
    </row>
    <row r="626" spans="6:13" x14ac:dyDescent="0.25">
      <c r="F626" s="25"/>
      <c r="M626" s="25"/>
    </row>
    <row r="627" spans="6:13" x14ac:dyDescent="0.25">
      <c r="F627" s="25"/>
      <c r="M627" s="25"/>
    </row>
    <row r="628" spans="6:13" x14ac:dyDescent="0.25">
      <c r="F628" s="25"/>
      <c r="M628" s="25"/>
    </row>
    <row r="629" spans="6:13" x14ac:dyDescent="0.25">
      <c r="F629" s="25"/>
      <c r="M629" s="25"/>
    </row>
    <row r="630" spans="6:13" x14ac:dyDescent="0.25">
      <c r="F630" s="25"/>
      <c r="M630" s="25"/>
    </row>
    <row r="631" spans="6:13" x14ac:dyDescent="0.25">
      <c r="F631" s="25"/>
      <c r="M631" s="25"/>
    </row>
    <row r="632" spans="6:13" x14ac:dyDescent="0.25">
      <c r="F632" s="25"/>
      <c r="M632" s="25"/>
    </row>
    <row r="633" spans="6:13" x14ac:dyDescent="0.25">
      <c r="F633" s="25"/>
    </row>
    <row r="634" spans="6:13" x14ac:dyDescent="0.25">
      <c r="F634" s="25"/>
      <c r="M634" s="25"/>
    </row>
    <row r="635" spans="6:13" x14ac:dyDescent="0.25">
      <c r="F635" s="25"/>
      <c r="M635" s="25"/>
    </row>
    <row r="636" spans="6:13" x14ac:dyDescent="0.25">
      <c r="F636" s="25"/>
      <c r="M636" s="25"/>
    </row>
    <row r="637" spans="6:13" x14ac:dyDescent="0.25">
      <c r="F637" s="25"/>
    </row>
    <row r="638" spans="6:13" x14ac:dyDescent="0.25">
      <c r="F638" s="25"/>
      <c r="M638" s="25"/>
    </row>
    <row r="639" spans="6:13" x14ac:dyDescent="0.25">
      <c r="F639" s="25"/>
      <c r="M639" s="25"/>
    </row>
    <row r="640" spans="6:13" x14ac:dyDescent="0.25">
      <c r="F640" s="25"/>
      <c r="M640" s="25"/>
    </row>
    <row r="641" spans="6:13" x14ac:dyDescent="0.25">
      <c r="F641" s="25"/>
      <c r="M641" s="25"/>
    </row>
    <row r="642" spans="6:13" x14ac:dyDescent="0.25">
      <c r="F642" s="25"/>
      <c r="M642" s="25"/>
    </row>
    <row r="643" spans="6:13" x14ac:dyDescent="0.25">
      <c r="F643" s="25"/>
    </row>
    <row r="644" spans="6:13" x14ac:dyDescent="0.25">
      <c r="F644" s="25"/>
    </row>
    <row r="645" spans="6:13" x14ac:dyDescent="0.25">
      <c r="F645" s="25"/>
    </row>
    <row r="646" spans="6:13" x14ac:dyDescent="0.25">
      <c r="F646" s="25"/>
      <c r="M646" s="25"/>
    </row>
    <row r="647" spans="6:13" x14ac:dyDescent="0.25">
      <c r="F647" s="25"/>
      <c r="M647" s="25"/>
    </row>
    <row r="648" spans="6:13" x14ac:dyDescent="0.25">
      <c r="F648" s="25"/>
    </row>
    <row r="649" spans="6:13" x14ac:dyDescent="0.25">
      <c r="F649" s="25"/>
      <c r="M649" s="25"/>
    </row>
    <row r="650" spans="6:13" x14ac:dyDescent="0.25">
      <c r="F650" s="25"/>
    </row>
    <row r="651" spans="6:13" x14ac:dyDescent="0.25">
      <c r="F651" s="25"/>
      <c r="M651" s="25"/>
    </row>
    <row r="652" spans="6:13" x14ac:dyDescent="0.25">
      <c r="F652" s="25"/>
      <c r="M652" s="25"/>
    </row>
    <row r="653" spans="6:13" x14ac:dyDescent="0.25">
      <c r="F653" s="25"/>
      <c r="M653" s="25"/>
    </row>
    <row r="654" spans="6:13" x14ac:dyDescent="0.25">
      <c r="F654" s="25"/>
      <c r="M654" s="25"/>
    </row>
    <row r="655" spans="6:13" x14ac:dyDescent="0.25">
      <c r="F655" s="25"/>
      <c r="M655" s="25"/>
    </row>
    <row r="656" spans="6:13" x14ac:dyDescent="0.25">
      <c r="F656" s="25"/>
      <c r="M656" s="25"/>
    </row>
    <row r="657" spans="6:13" x14ac:dyDescent="0.25">
      <c r="F657" s="25"/>
      <c r="M657" s="25"/>
    </row>
    <row r="658" spans="6:13" x14ac:dyDescent="0.25">
      <c r="F658" s="25"/>
      <c r="M658" s="25"/>
    </row>
    <row r="659" spans="6:13" x14ac:dyDescent="0.25">
      <c r="F659" s="25"/>
    </row>
    <row r="660" spans="6:13" x14ac:dyDescent="0.25">
      <c r="F660" s="25"/>
    </row>
    <row r="661" spans="6:13" x14ac:dyDescent="0.25">
      <c r="F661" s="25"/>
    </row>
    <row r="662" spans="6:13" x14ac:dyDescent="0.25">
      <c r="F662" s="25"/>
    </row>
    <row r="663" spans="6:13" x14ac:dyDescent="0.25">
      <c r="F663" s="25"/>
      <c r="M663" s="25"/>
    </row>
    <row r="664" spans="6:13" x14ac:dyDescent="0.25">
      <c r="F664" s="25"/>
      <c r="M664" s="25"/>
    </row>
    <row r="665" spans="6:13" x14ac:dyDescent="0.25">
      <c r="F665" s="25"/>
      <c r="M665" s="25"/>
    </row>
    <row r="666" spans="6:13" x14ac:dyDescent="0.25">
      <c r="F666" s="25"/>
      <c r="M666" s="25"/>
    </row>
    <row r="667" spans="6:13" x14ac:dyDescent="0.25">
      <c r="F667" s="25"/>
      <c r="M667" s="25"/>
    </row>
    <row r="668" spans="6:13" x14ac:dyDescent="0.25">
      <c r="F668" s="25"/>
      <c r="M668" s="25"/>
    </row>
    <row r="669" spans="6:13" x14ac:dyDescent="0.25">
      <c r="F669" s="25"/>
      <c r="M669" s="25"/>
    </row>
    <row r="670" spans="6:13" x14ac:dyDescent="0.25">
      <c r="F670" s="25"/>
      <c r="M670" s="25"/>
    </row>
    <row r="671" spans="6:13" x14ac:dyDescent="0.25">
      <c r="F671" s="25"/>
      <c r="M671" s="25"/>
    </row>
    <row r="672" spans="6:13" x14ac:dyDescent="0.25">
      <c r="F672" s="25"/>
      <c r="M672" s="25"/>
    </row>
    <row r="673" spans="6:13" x14ac:dyDescent="0.25">
      <c r="F673" s="25"/>
    </row>
    <row r="674" spans="6:13" x14ac:dyDescent="0.25">
      <c r="F674" s="25"/>
      <c r="M674" s="25"/>
    </row>
    <row r="675" spans="6:13" x14ac:dyDescent="0.25">
      <c r="F675" s="25"/>
    </row>
    <row r="676" spans="6:13" x14ac:dyDescent="0.25">
      <c r="F676" s="25"/>
      <c r="M676" s="25"/>
    </row>
    <row r="677" spans="6:13" x14ac:dyDescent="0.25">
      <c r="F677" s="25"/>
    </row>
    <row r="678" spans="6:13" x14ac:dyDescent="0.25">
      <c r="F678" s="25"/>
      <c r="M678" s="25"/>
    </row>
    <row r="679" spans="6:13" x14ac:dyDescent="0.25">
      <c r="F679" s="25"/>
    </row>
    <row r="680" spans="6:13" x14ac:dyDescent="0.25">
      <c r="F680" s="25"/>
    </row>
    <row r="681" spans="6:13" x14ac:dyDescent="0.25">
      <c r="F681" s="25"/>
      <c r="M681" s="25"/>
    </row>
    <row r="682" spans="6:13" x14ac:dyDescent="0.25">
      <c r="F682" s="25"/>
    </row>
    <row r="683" spans="6:13" x14ac:dyDescent="0.25">
      <c r="F683" s="25"/>
      <c r="M683" s="25"/>
    </row>
    <row r="684" spans="6:13" x14ac:dyDescent="0.25">
      <c r="F684" s="25"/>
      <c r="M684" s="25"/>
    </row>
    <row r="685" spans="6:13" x14ac:dyDescent="0.25">
      <c r="F685" s="25"/>
    </row>
    <row r="686" spans="6:13" x14ac:dyDescent="0.25">
      <c r="F686" s="25"/>
    </row>
    <row r="687" spans="6:13" x14ac:dyDescent="0.25">
      <c r="F687" s="25"/>
    </row>
    <row r="688" spans="6:13" x14ac:dyDescent="0.25">
      <c r="F688" s="25"/>
    </row>
    <row r="689" spans="6:13" x14ac:dyDescent="0.25">
      <c r="F689" s="25"/>
      <c r="M689" s="25"/>
    </row>
    <row r="690" spans="6:13" x14ac:dyDescent="0.25">
      <c r="F690" s="25"/>
      <c r="M690" s="25"/>
    </row>
    <row r="691" spans="6:13" x14ac:dyDescent="0.25">
      <c r="F691" s="25"/>
    </row>
    <row r="692" spans="6:13" x14ac:dyDescent="0.25">
      <c r="F692" s="25"/>
      <c r="M692" s="25"/>
    </row>
    <row r="693" spans="6:13" x14ac:dyDescent="0.25">
      <c r="F693" s="25"/>
      <c r="M693" s="25"/>
    </row>
    <row r="694" spans="6:13" x14ac:dyDescent="0.25">
      <c r="F694" s="25"/>
      <c r="M694" s="25"/>
    </row>
    <row r="695" spans="6:13" x14ac:dyDescent="0.25">
      <c r="F695" s="25"/>
      <c r="M695" s="25"/>
    </row>
    <row r="696" spans="6:13" x14ac:dyDescent="0.25">
      <c r="F696" s="25"/>
    </row>
    <row r="697" spans="6:13" x14ac:dyDescent="0.25">
      <c r="F697" s="25"/>
    </row>
    <row r="698" spans="6:13" x14ac:dyDescent="0.25">
      <c r="F698" s="25"/>
      <c r="M698" s="25"/>
    </row>
    <row r="699" spans="6:13" x14ac:dyDescent="0.25">
      <c r="F699" s="25"/>
      <c r="M699" s="25"/>
    </row>
    <row r="700" spans="6:13" x14ac:dyDescent="0.25">
      <c r="F700" s="25"/>
      <c r="M700" s="25"/>
    </row>
    <row r="701" spans="6:13" x14ac:dyDescent="0.25">
      <c r="F701" s="25"/>
      <c r="M701" s="25"/>
    </row>
    <row r="702" spans="6:13" x14ac:dyDescent="0.25">
      <c r="F702" s="25"/>
    </row>
    <row r="703" spans="6:13" x14ac:dyDescent="0.25">
      <c r="F703" s="25"/>
      <c r="M703" s="25"/>
    </row>
    <row r="704" spans="6:13" x14ac:dyDescent="0.25">
      <c r="F704" s="25"/>
    </row>
    <row r="705" spans="6:13" x14ac:dyDescent="0.25">
      <c r="F705" s="25"/>
    </row>
    <row r="706" spans="6:13" x14ac:dyDescent="0.25">
      <c r="F706" s="25"/>
      <c r="M706" s="25"/>
    </row>
    <row r="707" spans="6:13" x14ac:dyDescent="0.25">
      <c r="F707" s="25"/>
    </row>
    <row r="708" spans="6:13" x14ac:dyDescent="0.25">
      <c r="F708" s="25"/>
      <c r="M708" s="25"/>
    </row>
    <row r="709" spans="6:13" x14ac:dyDescent="0.25">
      <c r="F709" s="25"/>
    </row>
    <row r="710" spans="6:13" x14ac:dyDescent="0.25">
      <c r="F710" s="25"/>
      <c r="M710" s="25"/>
    </row>
    <row r="711" spans="6:13" x14ac:dyDescent="0.25">
      <c r="F711" s="25"/>
    </row>
    <row r="712" spans="6:13" x14ac:dyDescent="0.25">
      <c r="F712" s="25"/>
      <c r="M712" s="25"/>
    </row>
    <row r="713" spans="6:13" x14ac:dyDescent="0.25">
      <c r="F713" s="25"/>
      <c r="M713" s="25"/>
    </row>
    <row r="714" spans="6:13" x14ac:dyDescent="0.25">
      <c r="F714" s="25"/>
      <c r="M714" s="25"/>
    </row>
    <row r="715" spans="6:13" x14ac:dyDescent="0.25">
      <c r="F715" s="25"/>
    </row>
    <row r="716" spans="6:13" x14ac:dyDescent="0.25">
      <c r="F716" s="25"/>
    </row>
    <row r="717" spans="6:13" x14ac:dyDescent="0.25">
      <c r="F717" s="25"/>
      <c r="M717" s="25"/>
    </row>
    <row r="718" spans="6:13" x14ac:dyDescent="0.25">
      <c r="F718" s="25"/>
      <c r="M718" s="25"/>
    </row>
    <row r="719" spans="6:13" x14ac:dyDescent="0.25">
      <c r="F719" s="25"/>
      <c r="M719" s="25"/>
    </row>
    <row r="720" spans="6:13" x14ac:dyDescent="0.25">
      <c r="F720" s="25"/>
    </row>
    <row r="721" spans="6:13" x14ac:dyDescent="0.25">
      <c r="F721" s="25"/>
      <c r="M721" s="25"/>
    </row>
    <row r="722" spans="6:13" x14ac:dyDescent="0.25">
      <c r="F722" s="25"/>
    </row>
    <row r="723" spans="6:13" x14ac:dyDescent="0.25">
      <c r="F723" s="25"/>
      <c r="M723" s="25"/>
    </row>
    <row r="724" spans="6:13" x14ac:dyDescent="0.25">
      <c r="F724" s="25"/>
      <c r="M724" s="25"/>
    </row>
    <row r="725" spans="6:13" x14ac:dyDescent="0.25">
      <c r="F725" s="25"/>
      <c r="M725" s="25"/>
    </row>
    <row r="726" spans="6:13" x14ac:dyDescent="0.25">
      <c r="F726" s="25"/>
      <c r="M726" s="25"/>
    </row>
    <row r="727" spans="6:13" x14ac:dyDescent="0.25">
      <c r="F727" s="25"/>
    </row>
    <row r="728" spans="6:13" x14ac:dyDescent="0.25">
      <c r="F728" s="25"/>
      <c r="M728" s="25"/>
    </row>
    <row r="729" spans="6:13" x14ac:dyDescent="0.25">
      <c r="F729" s="25"/>
      <c r="M729" s="25"/>
    </row>
    <row r="730" spans="6:13" x14ac:dyDescent="0.25">
      <c r="F730" s="25"/>
    </row>
    <row r="731" spans="6:13" x14ac:dyDescent="0.25">
      <c r="F731" s="25"/>
      <c r="M731" s="25"/>
    </row>
    <row r="732" spans="6:13" x14ac:dyDescent="0.25">
      <c r="F732" s="25"/>
      <c r="M732" s="25"/>
    </row>
    <row r="733" spans="6:13" x14ac:dyDescent="0.25">
      <c r="F733" s="25"/>
      <c r="M733" s="25"/>
    </row>
    <row r="734" spans="6:13" x14ac:dyDescent="0.25">
      <c r="F734" s="25"/>
      <c r="M734" s="25"/>
    </row>
    <row r="735" spans="6:13" x14ac:dyDescent="0.25">
      <c r="F735" s="25"/>
    </row>
    <row r="736" spans="6:13" x14ac:dyDescent="0.25">
      <c r="F736" s="25"/>
      <c r="M736" s="25"/>
    </row>
    <row r="737" spans="6:13" x14ac:dyDescent="0.25">
      <c r="F737" s="25"/>
    </row>
    <row r="738" spans="6:13" x14ac:dyDescent="0.25">
      <c r="F738" s="25"/>
      <c r="M738" s="25"/>
    </row>
    <row r="739" spans="6:13" x14ac:dyDescent="0.25">
      <c r="F739" s="25"/>
    </row>
    <row r="740" spans="6:13" x14ac:dyDescent="0.25">
      <c r="F740" s="25"/>
      <c r="M740" s="25"/>
    </row>
    <row r="741" spans="6:13" x14ac:dyDescent="0.25">
      <c r="F741" s="25"/>
      <c r="M741" s="25"/>
    </row>
    <row r="742" spans="6:13" x14ac:dyDescent="0.25">
      <c r="F742" s="25"/>
      <c r="M742" s="25"/>
    </row>
    <row r="743" spans="6:13" x14ac:dyDescent="0.25">
      <c r="F743" s="25"/>
    </row>
    <row r="744" spans="6:13" x14ac:dyDescent="0.25">
      <c r="F744" s="25"/>
    </row>
    <row r="745" spans="6:13" x14ac:dyDescent="0.25">
      <c r="F745" s="25"/>
      <c r="M745" s="25"/>
    </row>
    <row r="746" spans="6:13" x14ac:dyDescent="0.25">
      <c r="F746" s="25"/>
    </row>
    <row r="747" spans="6:13" x14ac:dyDescent="0.25">
      <c r="F747" s="25"/>
      <c r="M747" s="25"/>
    </row>
    <row r="748" spans="6:13" x14ac:dyDescent="0.25">
      <c r="F748" s="25"/>
    </row>
    <row r="749" spans="6:13" x14ac:dyDescent="0.25">
      <c r="F749" s="25"/>
    </row>
    <row r="750" spans="6:13" x14ac:dyDescent="0.25">
      <c r="F750" s="25"/>
    </row>
    <row r="751" spans="6:13" x14ac:dyDescent="0.25">
      <c r="F751" s="25"/>
      <c r="M751" s="25"/>
    </row>
    <row r="752" spans="6:13" x14ac:dyDescent="0.25">
      <c r="F752" s="25"/>
    </row>
    <row r="753" spans="6:13" x14ac:dyDescent="0.25">
      <c r="F753" s="25"/>
    </row>
    <row r="754" spans="6:13" x14ac:dyDescent="0.25">
      <c r="F754" s="25"/>
    </row>
    <row r="755" spans="6:13" x14ac:dyDescent="0.25">
      <c r="F755" s="25"/>
    </row>
    <row r="756" spans="6:13" x14ac:dyDescent="0.25">
      <c r="F756" s="25"/>
    </row>
    <row r="757" spans="6:13" x14ac:dyDescent="0.25">
      <c r="F757" s="25"/>
    </row>
    <row r="758" spans="6:13" x14ac:dyDescent="0.25">
      <c r="F758" s="25"/>
    </row>
    <row r="759" spans="6:13" x14ac:dyDescent="0.25">
      <c r="F759" s="25"/>
    </row>
    <row r="760" spans="6:13" x14ac:dyDescent="0.25">
      <c r="F760" s="25"/>
    </row>
    <row r="761" spans="6:13" x14ac:dyDescent="0.25">
      <c r="F761" s="25"/>
      <c r="M761" s="25"/>
    </row>
    <row r="762" spans="6:13" x14ac:dyDescent="0.25">
      <c r="F762" s="25"/>
    </row>
    <row r="763" spans="6:13" x14ac:dyDescent="0.25">
      <c r="F763" s="25"/>
    </row>
    <row r="764" spans="6:13" x14ac:dyDescent="0.25">
      <c r="F764" s="25"/>
    </row>
    <row r="765" spans="6:13" x14ac:dyDescent="0.25">
      <c r="F765" s="25"/>
      <c r="M765" s="25"/>
    </row>
    <row r="766" spans="6:13" x14ac:dyDescent="0.25">
      <c r="F766" s="25"/>
    </row>
    <row r="767" spans="6:13" x14ac:dyDescent="0.25">
      <c r="F767" s="25"/>
    </row>
    <row r="768" spans="6:13" x14ac:dyDescent="0.25">
      <c r="F768" s="25"/>
      <c r="M768" s="25"/>
    </row>
    <row r="769" spans="6:13" x14ac:dyDescent="0.25">
      <c r="F769" s="25"/>
      <c r="M769" s="25"/>
    </row>
    <row r="770" spans="6:13" x14ac:dyDescent="0.25">
      <c r="F770" s="25"/>
      <c r="M770" s="25"/>
    </row>
    <row r="771" spans="6:13" x14ac:dyDescent="0.25">
      <c r="F771" s="25"/>
      <c r="M771" s="25"/>
    </row>
    <row r="772" spans="6:13" x14ac:dyDescent="0.25">
      <c r="F772" s="25"/>
      <c r="M772" s="25"/>
    </row>
    <row r="773" spans="6:13" x14ac:dyDescent="0.25">
      <c r="F773" s="25"/>
    </row>
    <row r="774" spans="6:13" x14ac:dyDescent="0.25">
      <c r="F774" s="25"/>
    </row>
    <row r="775" spans="6:13" x14ac:dyDescent="0.25">
      <c r="F775" s="25"/>
      <c r="M775" s="25"/>
    </row>
    <row r="776" spans="6:13" x14ac:dyDescent="0.25">
      <c r="F776" s="25"/>
    </row>
    <row r="777" spans="6:13" x14ac:dyDescent="0.25">
      <c r="F777" s="25"/>
    </row>
    <row r="778" spans="6:13" x14ac:dyDescent="0.25">
      <c r="F778" s="25"/>
      <c r="M778" s="25"/>
    </row>
    <row r="779" spans="6:13" x14ac:dyDescent="0.25">
      <c r="F779" s="25"/>
      <c r="M779" s="25"/>
    </row>
    <row r="780" spans="6:13" x14ac:dyDescent="0.25">
      <c r="F780" s="25"/>
      <c r="M780" s="25"/>
    </row>
    <row r="781" spans="6:13" x14ac:dyDescent="0.25">
      <c r="F781" s="25"/>
      <c r="M781" s="25"/>
    </row>
    <row r="782" spans="6:13" x14ac:dyDescent="0.25">
      <c r="F782" s="25"/>
      <c r="M782" s="25"/>
    </row>
    <row r="783" spans="6:13" x14ac:dyDescent="0.25">
      <c r="F783" s="25"/>
      <c r="M783" s="25"/>
    </row>
    <row r="784" spans="6:13" x14ac:dyDescent="0.25">
      <c r="F784" s="25"/>
      <c r="M784" s="25"/>
    </row>
    <row r="785" spans="6:13" x14ac:dyDescent="0.25">
      <c r="F785" s="25"/>
      <c r="M785" s="25"/>
    </row>
    <row r="786" spans="6:13" x14ac:dyDescent="0.25">
      <c r="F786" s="25"/>
      <c r="M786" s="25"/>
    </row>
    <row r="787" spans="6:13" x14ac:dyDescent="0.25">
      <c r="F787" s="25"/>
      <c r="M787" s="25"/>
    </row>
    <row r="788" spans="6:13" x14ac:dyDescent="0.25">
      <c r="F788" s="25"/>
    </row>
    <row r="789" spans="6:13" x14ac:dyDescent="0.25">
      <c r="F789" s="25"/>
      <c r="M789" s="25"/>
    </row>
    <row r="790" spans="6:13" x14ac:dyDescent="0.25">
      <c r="F790" s="25"/>
      <c r="M790" s="25"/>
    </row>
    <row r="791" spans="6:13" x14ac:dyDescent="0.25">
      <c r="F791" s="25"/>
      <c r="M791" s="25"/>
    </row>
    <row r="792" spans="6:13" x14ac:dyDescent="0.25">
      <c r="F792" s="25"/>
      <c r="M792" s="25"/>
    </row>
    <row r="793" spans="6:13" x14ac:dyDescent="0.25">
      <c r="F793" s="25"/>
      <c r="M793" s="25"/>
    </row>
    <row r="794" spans="6:13" x14ac:dyDescent="0.25">
      <c r="F794" s="25"/>
      <c r="M794" s="25"/>
    </row>
    <row r="795" spans="6:13" x14ac:dyDescent="0.25">
      <c r="F795" s="25"/>
    </row>
    <row r="796" spans="6:13" x14ac:dyDescent="0.25">
      <c r="F796" s="25"/>
      <c r="M796" s="25"/>
    </row>
    <row r="797" spans="6:13" x14ac:dyDescent="0.25">
      <c r="F797" s="25"/>
      <c r="M797" s="25"/>
    </row>
    <row r="798" spans="6:13" x14ac:dyDescent="0.25">
      <c r="F798" s="25"/>
      <c r="M798" s="25"/>
    </row>
    <row r="799" spans="6:13" x14ac:dyDescent="0.25">
      <c r="F799" s="25"/>
    </row>
    <row r="800" spans="6:13" x14ac:dyDescent="0.25">
      <c r="F800" s="25"/>
    </row>
    <row r="801" spans="6:13" x14ac:dyDescent="0.25">
      <c r="F801" s="25"/>
      <c r="M801" s="25"/>
    </row>
    <row r="802" spans="6:13" x14ac:dyDescent="0.25">
      <c r="F802" s="25"/>
      <c r="M802" s="25"/>
    </row>
    <row r="803" spans="6:13" x14ac:dyDescent="0.25">
      <c r="F803" s="25"/>
    </row>
    <row r="804" spans="6:13" x14ac:dyDescent="0.25">
      <c r="F804" s="25"/>
      <c r="M804" s="25"/>
    </row>
    <row r="805" spans="6:13" x14ac:dyDescent="0.25">
      <c r="F805" s="25"/>
      <c r="M805" s="25"/>
    </row>
    <row r="806" spans="6:13" x14ac:dyDescent="0.25">
      <c r="F806" s="25"/>
    </row>
    <row r="807" spans="6:13" x14ac:dyDescent="0.25">
      <c r="F807" s="25"/>
      <c r="M807" s="25"/>
    </row>
    <row r="808" spans="6:13" x14ac:dyDescent="0.25">
      <c r="F808" s="25"/>
      <c r="M808" s="25"/>
    </row>
    <row r="809" spans="6:13" x14ac:dyDescent="0.25">
      <c r="F809" s="25"/>
    </row>
    <row r="810" spans="6:13" x14ac:dyDescent="0.25">
      <c r="F810" s="25"/>
      <c r="M810" s="25"/>
    </row>
    <row r="811" spans="6:13" x14ac:dyDescent="0.25">
      <c r="F811" s="25"/>
      <c r="M811" s="25"/>
    </row>
    <row r="812" spans="6:13" x14ac:dyDescent="0.25">
      <c r="F812" s="25"/>
      <c r="M812" s="25"/>
    </row>
    <row r="813" spans="6:13" x14ac:dyDescent="0.25">
      <c r="F813" s="25"/>
    </row>
    <row r="814" spans="6:13" x14ac:dyDescent="0.25">
      <c r="F814" s="25"/>
      <c r="M814" s="25"/>
    </row>
    <row r="815" spans="6:13" x14ac:dyDescent="0.25">
      <c r="F815" s="25"/>
    </row>
    <row r="816" spans="6:13" x14ac:dyDescent="0.25">
      <c r="F816" s="25"/>
    </row>
    <row r="817" spans="6:13" x14ac:dyDescent="0.25">
      <c r="F817" s="25"/>
    </row>
    <row r="818" spans="6:13" x14ac:dyDescent="0.25">
      <c r="F818" s="25"/>
    </row>
    <row r="819" spans="6:13" x14ac:dyDescent="0.25">
      <c r="F819" s="25"/>
    </row>
    <row r="820" spans="6:13" x14ac:dyDescent="0.25">
      <c r="F820" s="25"/>
      <c r="M820" s="25"/>
    </row>
    <row r="821" spans="6:13" x14ac:dyDescent="0.25">
      <c r="F821" s="25"/>
    </row>
    <row r="822" spans="6:13" x14ac:dyDescent="0.25">
      <c r="F822" s="25"/>
    </row>
  </sheetData>
  <sheetProtection selectLockedCells="1"/>
  <autoFilter ref="A1:T434" xr:uid="{00000000-0009-0000-0000-00000B000000}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&amp;LProblem Status Report Template (RAG) V4.19&amp;C_x000D_&amp;1#&amp;"Arial"&amp;9&amp;K000000 Confidential&amp;RLast Updated: 07/06/2019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Lookups!$B$2:$B$3</xm:f>
          </x14:formula1>
          <xm:sqref>R502:R1001 S2:S501</xm:sqref>
        </x14:dataValidation>
      </x14:dataValidations>
    </ext>
  </extLst>
</worksheet>
</file>

<file path=docMetadata/LabelInfo.xml><?xml version="1.0" encoding="utf-8"?>
<clbl:labelList xmlns:clbl="http://schemas.microsoft.com/office/2020/mipLabelMetadata">
  <clbl:label id="{820d33d7-bbe4-47b8-a5ad-6a3992657a09}" enabled="1" method="Privileged" siteId="{b9fec68c-c92d-461e-9a97-3d03a0f18b82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Agenda &amp; Attendance</vt:lpstr>
      <vt:lpstr>AOB</vt:lpstr>
      <vt:lpstr>Control</vt:lpstr>
      <vt:lpstr>PRB Prob Summary</vt:lpstr>
      <vt:lpstr>PRB KE Summary</vt:lpstr>
      <vt:lpstr>Problem Master Data</vt:lpstr>
      <vt:lpstr>KE Master Data</vt:lpstr>
      <vt:lpstr>Recommendations</vt:lpstr>
      <vt:lpstr>CSIP Register</vt:lpstr>
      <vt:lpstr>AOB!Print_Area</vt:lpstr>
      <vt:lpstr>Recommendations!Print_Area</vt:lpstr>
    </vt:vector>
  </TitlesOfParts>
  <Company>CGI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Nobes, Edward Philip</dc:creator>
  <cp:lastModifiedBy>Kerr, Mason</cp:lastModifiedBy>
  <cp:lastPrinted>2025-05-09T13:34:55Z</cp:lastPrinted>
  <dcterms:created xsi:type="dcterms:W3CDTF">2020-02-18T12:20:52Z</dcterms:created>
  <dcterms:modified xsi:type="dcterms:W3CDTF">2025-05-09T13:49:49Z</dcterms:modified>
</cp:coreProperties>
</file>